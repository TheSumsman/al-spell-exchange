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pells" sheetId="2" state="visible" r:id="rId2"/>
    <sheet xmlns:r="http://schemas.openxmlformats.org/officeDocument/2006/relationships" name="Form Responses" sheetId="3" state="visible" r:id="rId3"/>
    <sheet xmlns:r="http://schemas.openxmlformats.org/officeDocument/2006/relationships" name="Wizards" sheetId="4" state="visible" r:id="rId4"/>
    <sheet xmlns:r="http://schemas.openxmlformats.org/officeDocument/2006/relationships" name="Matrix" sheetId="5" state="visible" r:id="rId5"/>
    <sheet xmlns:r="http://schemas.openxmlformats.org/officeDocument/2006/relationships" name="Copy Planner" sheetId="6" state="visible" r:id="rId6"/>
    <sheet xmlns:r="http://schemas.openxmlformats.org/officeDocument/2006/relationships" name="Calc" sheetId="7" state="hidden" r:id="rId7"/>
    <sheet xmlns:r="http://schemas.openxmlformats.org/officeDocument/2006/relationships" name="Copy Log" sheetId="8" state="visible" r:id="rId8"/>
  </sheets>
  <definedNames>
    <definedName name="_xlnm._FilterDatabase" localSheetId="1" hidden="1">'Spells'!$A$1:$G$351</definedName>
    <definedName name="_xlnm._FilterDatabase" localSheetId="5" hidden="1">'Copy Planner'!$A$10:$I$360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555555"/>
    </font>
    <font>
      <b val="1"/>
      <color rgb="00FFFFFF"/>
    </font>
    <font>
      <b val="1"/>
      <sz val="9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F3E46"/>
      </patternFill>
    </fill>
    <fill>
      <patternFill patternType="solid">
        <fgColor rgb="00FFF3B0"/>
      </patternFill>
    </fill>
    <fill>
      <patternFill patternType="solid">
        <fgColor rgb="00EDF2F4"/>
      </patternFill>
    </fill>
  </fills>
  <borders count="7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/>
    </xf>
    <xf numFmtId="0" fontId="0" fillId="0" borderId="0" applyAlignment="1" pivotButton="0" quotePrefix="0" xfId="0">
      <alignment/>
    </xf>
    <xf numFmtId="0" fontId="2" fillId="0" borderId="0" applyAlignment="1" pivotButton="0" quotePrefix="0" xfId="0">
      <alignment/>
    </xf>
    <xf numFmtId="0" fontId="3" fillId="0" borderId="0" applyAlignment="1" pivotButton="0" quotePrefix="0" xfId="0">
      <alignment/>
    </xf>
    <xf numFmtId="0" fontId="4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2" borderId="0" pivotButton="0" quotePrefix="0" xfId="0"/>
    <xf numFmtId="0" fontId="2" fillId="0" borderId="0" pivotButton="0" quotePrefix="0" xfId="0"/>
    <xf numFmtId="0" fontId="0" fillId="3" borderId="1" pivotButton="0" quotePrefix="0" xfId="0"/>
    <xf numFmtId="0" fontId="5" fillId="0" borderId="2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1" fillId="0" borderId="0" pivotButton="0" quotePrefix="0" xfId="0"/>
    <xf numFmtId="0" fontId="5" fillId="0" borderId="0" pivotButton="0" quotePrefix="0" xfId="0"/>
    <xf numFmtId="0" fontId="6" fillId="4" borderId="1" pivotButton="0" quotePrefix="0" xfId="0"/>
    <xf numFmtId="0" fontId="0" fillId="3" borderId="1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Wizard Spell Exchange - AL Epic (Forgotten Realms)</t>
        </is>
      </c>
    </row>
    <row r="2">
      <c r="A2" s="2" t="inlineStr"/>
    </row>
    <row r="3">
      <c r="A3" s="2" t="inlineStr">
        <is>
          <t>Players register their spellbook via the Google Form. Everything else on this workbook is calculated - do not type into any tab except the yellow cells on Copy Planner.</t>
        </is>
      </c>
    </row>
    <row r="4">
      <c r="A4" s="2" t="inlineStr"/>
    </row>
    <row r="5">
      <c r="A5" s="1" t="inlineStr">
        <is>
          <t>HOW TO USE</t>
        </is>
      </c>
    </row>
    <row r="6">
      <c r="A6" s="2" t="inlineStr">
        <is>
          <t>1. Fill in the Google Form at the event (one submission per wizard character).</t>
        </is>
      </c>
    </row>
    <row r="7">
      <c r="A7" s="2" t="inlineStr">
        <is>
          <t>2. Open the 'Copy Planner' tab and fill in the yellow cells at the top: your character, their</t>
        </is>
      </c>
    </row>
    <row r="8">
      <c r="A8" s="2" t="inlineStr">
        <is>
          <t xml:space="preserve">   gold and downtime, and - if levelling up at the end of this Epic - their new wizard level.</t>
        </is>
      </c>
    </row>
    <row r="9">
      <c r="A9" s="2" t="inlineStr">
        <is>
          <t>3. Filter the Status column to 'CAN COPY' to see what is available to you.</t>
        </is>
      </c>
    </row>
    <row r="10">
      <c r="A10" s="2" t="inlineStr">
        <is>
          <t>4. Tick the 'Want' checkbox. The panel at the top shows what the ticked spells cost, what you</t>
        </is>
      </c>
    </row>
    <row r="11">
      <c r="A11" s="2" t="inlineStr">
        <is>
          <t xml:space="preserve">   have left, and turns red if either gold or downtime is over budget.</t>
        </is>
      </c>
    </row>
    <row r="12">
      <c r="A12" s="2" t="inlineStr">
        <is>
          <t>5. Open 'Copy Log' for the list of what you copied, what it cost, and from</t>
        </is>
      </c>
    </row>
    <row r="13">
      <c r="A13" s="2" t="inlineStr">
        <is>
          <t xml:space="preserve">   whom - plus a line of text ready to paste into your character log.</t>
        </is>
      </c>
    </row>
    <row r="14">
      <c r="A14" s="2" t="inlineStr"/>
    </row>
    <row r="15">
      <c r="A15" s="1" t="inlineStr">
        <is>
          <t>THE COST</t>
        </is>
      </c>
    </row>
    <row r="16">
      <c r="A16" s="2" t="inlineStr">
        <is>
          <t>50 GP per spell level, and 1 Downtime Day per spell for spell levels 1-4, 2 DT per spell for levels 5-9.</t>
        </is>
      </c>
    </row>
    <row r="17">
      <c r="A17" s="2" t="inlineStr"/>
    </row>
    <row r="18">
      <c r="A18" s="3" t="inlineStr">
        <is>
          <t>PHB 2024, Wizard - 'Expanding and Replacing a Spellbook':</t>
        </is>
      </c>
    </row>
    <row r="19">
      <c r="A19" s="4" t="inlineStr">
        <is>
          <t xml:space="preserve">  "When you find a level 1+ Wizard spell, you can copy it into your spellbook if it's of a level you can</t>
        </is>
      </c>
    </row>
    <row r="20">
      <c r="A20" s="4" t="inlineStr">
        <is>
          <t xml:space="preserve">   prepare and if you have time to copy it. For each level of the spell, the transcription takes 2 hours</t>
        </is>
      </c>
    </row>
    <row r="21">
      <c r="A21" s="4" t="inlineStr">
        <is>
          <t xml:space="preserve">   and costs 50 GP."</t>
        </is>
      </c>
    </row>
    <row r="22">
      <c r="A22" s="2" t="inlineStr"/>
    </row>
    <row r="23">
      <c r="A23" s="3" t="inlineStr">
        <is>
          <t>ALPG v2026.4 p.3, Downtime - 'Copying Spells':</t>
        </is>
      </c>
    </row>
    <row r="24">
      <c r="A24" s="4" t="inlineStr">
        <is>
          <t xml:space="preserve">  "Use 'Expanding and Replacing a Spellbook' (PH) to copy spells found in adventures at 1 DT per spell</t>
        </is>
      </c>
    </row>
    <row r="25">
      <c r="A25" s="4" t="inlineStr">
        <is>
          <t xml:space="preserve">   up to level 4 and 2 DT per spell at levels 5-9. You may copy spells from a character's spellbook</t>
        </is>
      </c>
    </row>
    <row r="26">
      <c r="A26" s="4" t="inlineStr">
        <is>
          <t xml:space="preserve">   immediately after a session in which you both played."</t>
        </is>
      </c>
    </row>
    <row r="27">
      <c r="A27" s="2" t="inlineStr"/>
    </row>
    <row r="28">
      <c r="A28" s="2" t="inlineStr">
        <is>
          <t>ALPG p.2 - Order of Scribes wizards copy ten level 1-4 spells, or five level 5-9 spells, for 1 DT.</t>
        </is>
      </c>
    </row>
    <row r="29">
      <c r="A29" s="4" t="inlineStr">
        <is>
          <t>This workbook applies that rate automatically when the subclass is recorded.</t>
        </is>
      </c>
    </row>
    <row r="30">
      <c r="A30" s="2" t="inlineStr"/>
    </row>
    <row r="31">
      <c r="A31" s="1" t="inlineStr">
        <is>
          <t>GOLD AND DOWNTIME</t>
        </is>
      </c>
    </row>
    <row r="32">
      <c r="A32" s="2" t="inlineStr">
        <is>
          <t>Copying spends both, so Copy Planner compares both against the totals you enter from your</t>
        </is>
      </c>
    </row>
    <row r="33">
      <c r="A33" s="2" t="inlineStr">
        <is>
          <t>character's log. Which one runs out first depends on the character.</t>
        </is>
      </c>
    </row>
    <row r="34">
      <c r="A34" s="2" t="inlineStr"/>
    </row>
    <row r="35">
      <c r="A35" s="4" t="inlineStr">
        <is>
          <t>Gold starts blank - the workbook cannot guess it. Downtime starts at 10, one session's award</t>
        </is>
      </c>
    </row>
    <row r="36">
      <c r="A36" s="4" t="inlineStr">
        <is>
          <t>(ALPG p.6). Change both to your real totals, after anything else you are spending them on.</t>
        </is>
      </c>
    </row>
    <row r="37">
      <c r="A37" s="2" t="inlineStr"/>
    </row>
    <row r="38">
      <c r="A38" s="1" t="inlineStr">
        <is>
          <t>LEVELLING UP</t>
        </is>
      </c>
    </row>
    <row r="39">
      <c r="A39" s="2" t="inlineStr">
        <is>
          <t>A character who levels up at the end of this Epic can copy spells of the level they can prepare</t>
        </is>
      </c>
    </row>
    <row r="40">
      <c r="A40" s="2" t="inlineStr">
        <is>
          <t>once levelled. Enter the new wizard level on Copy Planner; the form keeps the level you registered at.</t>
        </is>
      </c>
    </row>
    <row r="41">
      <c r="A41" s="2" t="inlineStr"/>
    </row>
    <row r="42">
      <c r="A42" s="1" t="inlineStr">
        <is>
          <t>RULING FOR THIS EVENT</t>
        </is>
      </c>
    </row>
    <row r="43">
      <c r="A43" s="2" t="inlineStr">
        <is>
          <t>* The whole Epic counts as one session: any wizard present may copy from any other wizard present.</t>
        </is>
      </c>
    </row>
    <row r="44">
      <c r="A44" s="4" t="inlineStr">
        <is>
          <t xml:space="preserve">  ALPG does not address multi-table Epics, so this fills a genuine gap.</t>
        </is>
      </c>
    </row>
    <row r="45">
      <c r="A45" s="2" t="inlineStr"/>
    </row>
    <row r="46">
      <c r="A46" s="2" t="inlineStr">
        <is>
          <t>Everything else here is the rules as written, quoted above - 50 GP per spell level, and you may</t>
        </is>
      </c>
    </row>
    <row r="47">
      <c r="A47" s="2" t="inlineStr">
        <is>
          <t>only copy a spell of a level you can already prepare. Neither is a judgement call.</t>
        </is>
      </c>
    </row>
    <row r="48">
      <c r="A48" s="2" t="inlineStr"/>
    </row>
    <row r="49">
      <c r="A49" s="4" t="inlineStr">
        <is>
          <t>If a player cites the PHB's 'Copying the Book' clause at 10 GP per level: that covers duplicating</t>
        </is>
      </c>
    </row>
    <row r="50">
      <c r="A50" s="4" t="inlineStr">
        <is>
          <t>your own spellbook into a replacement, not learning a spell from another wizard. It does not apply.</t>
        </is>
      </c>
    </row>
    <row r="51">
      <c r="A51" s="2" t="inlineStr"/>
    </row>
    <row r="52">
      <c r="A52" s="4" t="inlineStr">
        <is>
          <t>Spell list: 350 leveled wizard spells from the AL-legal Forgotten Realms sources. Cantrips are excluded</t>
        </is>
      </c>
    </row>
    <row r="53">
      <c r="A53" s="4" t="inlineStr">
        <is>
          <t>- they are never kept in a spellbook.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5" customWidth="1" min="3" max="3"/>
    <col width="22" customWidth="1" min="4" max="4"/>
    <col width="22" customWidth="1" min="5" max="5"/>
    <col width="8" customWidth="1" min="6" max="6"/>
    <col width="6" customWidth="1" min="7" max="7"/>
  </cols>
  <sheetData>
    <row r="1">
      <c r="A1" s="5" t="inlineStr">
        <is>
          <t>Level</t>
        </is>
      </c>
      <c r="B1" s="5" t="inlineStr">
        <is>
          <t>Spell</t>
        </is>
      </c>
      <c r="C1" s="5" t="inlineStr">
        <is>
          <t>School</t>
        </is>
      </c>
      <c r="D1" s="5" t="inlineStr">
        <is>
          <t>Source</t>
        </is>
      </c>
      <c r="E1" s="5" t="inlineStr">
        <is>
          <t>Restriction</t>
        </is>
      </c>
      <c r="F1" s="5" t="inlineStr">
        <is>
          <t>GP</t>
        </is>
      </c>
      <c r="G1" s="5" t="inlineStr">
        <is>
          <t>DT</t>
        </is>
      </c>
    </row>
    <row r="2">
      <c r="A2" t="n">
        <v>1</v>
      </c>
      <c r="B2" t="inlineStr">
        <is>
          <t>Absorb Elements</t>
        </is>
      </c>
      <c r="C2" t="inlineStr">
        <is>
          <t>Abjuration</t>
        </is>
      </c>
      <c r="D2" t="inlineStr">
        <is>
          <t>Xanathar's Guide</t>
        </is>
      </c>
      <c r="E2" t="inlineStr"/>
      <c r="F2">
        <f>A2*50</f>
        <v/>
      </c>
      <c r="G2">
        <f>IF(A2&lt;=4,1,2)</f>
        <v/>
      </c>
    </row>
    <row r="3">
      <c r="A3" t="n">
        <v>1</v>
      </c>
      <c r="B3" t="inlineStr">
        <is>
          <t>Alarm</t>
        </is>
      </c>
      <c r="C3" t="inlineStr">
        <is>
          <t>Abjuration</t>
        </is>
      </c>
      <c r="D3" t="inlineStr">
        <is>
          <t>PHB 2024</t>
        </is>
      </c>
      <c r="E3" t="inlineStr"/>
      <c r="F3">
        <f>A3*50</f>
        <v/>
      </c>
      <c r="G3">
        <f>IF(A3&lt;=4,1,2)</f>
        <v/>
      </c>
    </row>
    <row r="4">
      <c r="A4" t="n">
        <v>1</v>
      </c>
      <c r="B4" t="inlineStr">
        <is>
          <t>Burning Hands</t>
        </is>
      </c>
      <c r="C4" t="inlineStr">
        <is>
          <t>Evocation</t>
        </is>
      </c>
      <c r="D4" t="inlineStr">
        <is>
          <t>PHB 2024</t>
        </is>
      </c>
      <c r="E4" t="inlineStr"/>
      <c r="F4">
        <f>A4*50</f>
        <v/>
      </c>
      <c r="G4">
        <f>IF(A4&lt;=4,1,2)</f>
        <v/>
      </c>
    </row>
    <row r="5">
      <c r="A5" t="n">
        <v>1</v>
      </c>
      <c r="B5" t="inlineStr">
        <is>
          <t>Catapult</t>
        </is>
      </c>
      <c r="C5" t="inlineStr">
        <is>
          <t>Transmutation</t>
        </is>
      </c>
      <c r="D5" t="inlineStr">
        <is>
          <t>Xanathar's Guide</t>
        </is>
      </c>
      <c r="E5" t="inlineStr"/>
      <c r="F5">
        <f>A5*50</f>
        <v/>
      </c>
      <c r="G5">
        <f>IF(A5&lt;=4,1,2)</f>
        <v/>
      </c>
    </row>
    <row r="6">
      <c r="A6" t="n">
        <v>1</v>
      </c>
      <c r="B6" t="inlineStr">
        <is>
          <t>Cause Fear</t>
        </is>
      </c>
      <c r="C6" t="inlineStr">
        <is>
          <t>Necromancy</t>
        </is>
      </c>
      <c r="D6" t="inlineStr">
        <is>
          <t>Xanathar's Guide</t>
        </is>
      </c>
      <c r="E6" t="inlineStr"/>
      <c r="F6">
        <f>A6*50</f>
        <v/>
      </c>
      <c r="G6">
        <f>IF(A6&lt;=4,1,2)</f>
        <v/>
      </c>
    </row>
    <row r="7">
      <c r="A7" t="n">
        <v>1</v>
      </c>
      <c r="B7" t="inlineStr">
        <is>
          <t>Charm Person</t>
        </is>
      </c>
      <c r="C7" t="inlineStr">
        <is>
          <t>Enchantment</t>
        </is>
      </c>
      <c r="D7" t="inlineStr">
        <is>
          <t>PHB 2024</t>
        </is>
      </c>
      <c r="E7" t="inlineStr"/>
      <c r="F7">
        <f>A7*50</f>
        <v/>
      </c>
      <c r="G7">
        <f>IF(A7&lt;=4,1,2)</f>
        <v/>
      </c>
    </row>
    <row r="8">
      <c r="A8" t="n">
        <v>1</v>
      </c>
      <c r="B8" t="inlineStr">
        <is>
          <t>Chromatic Orb</t>
        </is>
      </c>
      <c r="C8" t="inlineStr">
        <is>
          <t>Evocation</t>
        </is>
      </c>
      <c r="D8" t="inlineStr">
        <is>
          <t>PHB 2024</t>
        </is>
      </c>
      <c r="E8" t="inlineStr"/>
      <c r="F8">
        <f>A8*50</f>
        <v/>
      </c>
      <c r="G8">
        <f>IF(A8&lt;=4,1,2)</f>
        <v/>
      </c>
    </row>
    <row r="9">
      <c r="A9" t="n">
        <v>1</v>
      </c>
      <c r="B9" t="inlineStr">
        <is>
          <t>Color Spray</t>
        </is>
      </c>
      <c r="C9" t="inlineStr">
        <is>
          <t>Illusion</t>
        </is>
      </c>
      <c r="D9" t="inlineStr">
        <is>
          <t>PHB 2024</t>
        </is>
      </c>
      <c r="E9" t="inlineStr"/>
      <c r="F9">
        <f>A9*50</f>
        <v/>
      </c>
      <c r="G9">
        <f>IF(A9&lt;=4,1,2)</f>
        <v/>
      </c>
    </row>
    <row r="10">
      <c r="A10" t="n">
        <v>1</v>
      </c>
      <c r="B10" t="inlineStr">
        <is>
          <t>Comprehend Languages</t>
        </is>
      </c>
      <c r="C10" t="inlineStr">
        <is>
          <t>Divination</t>
        </is>
      </c>
      <c r="D10" t="inlineStr">
        <is>
          <t>PHB 2024</t>
        </is>
      </c>
      <c r="E10" t="inlineStr"/>
      <c r="F10">
        <f>A10*50</f>
        <v/>
      </c>
      <c r="G10">
        <f>IF(A10&lt;=4,1,2)</f>
        <v/>
      </c>
    </row>
    <row r="11">
      <c r="A11" t="n">
        <v>1</v>
      </c>
      <c r="B11" t="inlineStr">
        <is>
          <t>Detect Magic</t>
        </is>
      </c>
      <c r="C11" t="inlineStr">
        <is>
          <t>Divination</t>
        </is>
      </c>
      <c r="D11" t="inlineStr">
        <is>
          <t>PHB 2024</t>
        </is>
      </c>
      <c r="E11" t="inlineStr"/>
      <c r="F11">
        <f>A11*50</f>
        <v/>
      </c>
      <c r="G11">
        <f>IF(A11&lt;=4,1,2)</f>
        <v/>
      </c>
    </row>
    <row r="12">
      <c r="A12" t="n">
        <v>1</v>
      </c>
      <c r="B12" t="inlineStr">
        <is>
          <t>Disguise Self</t>
        </is>
      </c>
      <c r="C12" t="inlineStr">
        <is>
          <t>Illusion</t>
        </is>
      </c>
      <c r="D12" t="inlineStr">
        <is>
          <t>PHB 2024</t>
        </is>
      </c>
      <c r="E12" t="inlineStr"/>
      <c r="F12">
        <f>A12*50</f>
        <v/>
      </c>
      <c r="G12">
        <f>IF(A12&lt;=4,1,2)</f>
        <v/>
      </c>
    </row>
    <row r="13">
      <c r="A13" t="n">
        <v>1</v>
      </c>
      <c r="B13" t="inlineStr">
        <is>
          <t>Earth Tremor</t>
        </is>
      </c>
      <c r="C13" t="inlineStr">
        <is>
          <t>Evocation</t>
        </is>
      </c>
      <c r="D13" t="inlineStr">
        <is>
          <t>Xanathar's Guide</t>
        </is>
      </c>
      <c r="E13" t="inlineStr"/>
      <c r="F13">
        <f>A13*50</f>
        <v/>
      </c>
      <c r="G13">
        <f>IF(A13&lt;=4,1,2)</f>
        <v/>
      </c>
    </row>
    <row r="14">
      <c r="A14" t="n">
        <v>1</v>
      </c>
      <c r="B14" t="inlineStr">
        <is>
          <t>Expeditious Retreat</t>
        </is>
      </c>
      <c r="C14" t="inlineStr">
        <is>
          <t>Transmutation</t>
        </is>
      </c>
      <c r="D14" t="inlineStr">
        <is>
          <t>PHB 2024</t>
        </is>
      </c>
      <c r="E14" t="inlineStr"/>
      <c r="F14">
        <f>A14*50</f>
        <v/>
      </c>
      <c r="G14">
        <f>IF(A14&lt;=4,1,2)</f>
        <v/>
      </c>
    </row>
    <row r="15">
      <c r="A15" t="n">
        <v>1</v>
      </c>
      <c r="B15" t="inlineStr">
        <is>
          <t>False Life</t>
        </is>
      </c>
      <c r="C15" t="inlineStr">
        <is>
          <t>Necromancy</t>
        </is>
      </c>
      <c r="D15" t="inlineStr">
        <is>
          <t>PHB 2024</t>
        </is>
      </c>
      <c r="E15" t="inlineStr"/>
      <c r="F15">
        <f>A15*50</f>
        <v/>
      </c>
      <c r="G15">
        <f>IF(A15&lt;=4,1,2)</f>
        <v/>
      </c>
    </row>
    <row r="16">
      <c r="A16" t="n">
        <v>1</v>
      </c>
      <c r="B16" t="inlineStr">
        <is>
          <t>Feather Fall</t>
        </is>
      </c>
      <c r="C16" t="inlineStr">
        <is>
          <t>Transmutation</t>
        </is>
      </c>
      <c r="D16" t="inlineStr">
        <is>
          <t>PHB 2024</t>
        </is>
      </c>
      <c r="E16" t="inlineStr"/>
      <c r="F16">
        <f>A16*50</f>
        <v/>
      </c>
      <c r="G16">
        <f>IF(A16&lt;=4,1,2)</f>
        <v/>
      </c>
    </row>
    <row r="17">
      <c r="A17" t="n">
        <v>1</v>
      </c>
      <c r="B17" t="inlineStr">
        <is>
          <t>Find Familiar</t>
        </is>
      </c>
      <c r="C17" t="inlineStr">
        <is>
          <t>Conjuration</t>
        </is>
      </c>
      <c r="D17" t="inlineStr">
        <is>
          <t>PHB 2024</t>
        </is>
      </c>
      <c r="E17" t="inlineStr"/>
      <c r="F17">
        <f>A17*50</f>
        <v/>
      </c>
      <c r="G17">
        <f>IF(A17&lt;=4,1,2)</f>
        <v/>
      </c>
    </row>
    <row r="18">
      <c r="A18" t="n">
        <v>1</v>
      </c>
      <c r="B18" t="inlineStr">
        <is>
          <t>Fog Cloud</t>
        </is>
      </c>
      <c r="C18" t="inlineStr">
        <is>
          <t>Conjuration</t>
        </is>
      </c>
      <c r="D18" t="inlineStr">
        <is>
          <t>PHB 2024</t>
        </is>
      </c>
      <c r="E18" t="inlineStr"/>
      <c r="F18">
        <f>A18*50</f>
        <v/>
      </c>
      <c r="G18">
        <f>IF(A18&lt;=4,1,2)</f>
        <v/>
      </c>
    </row>
    <row r="19">
      <c r="A19" t="n">
        <v>1</v>
      </c>
      <c r="B19" t="inlineStr">
        <is>
          <t>Frost Fingers</t>
        </is>
      </c>
      <c r="C19" t="inlineStr">
        <is>
          <t>Evocation</t>
        </is>
      </c>
      <c r="D19" t="inlineStr">
        <is>
          <t>Icewind Dale</t>
        </is>
      </c>
      <c r="E19" t="inlineStr"/>
      <c r="F19">
        <f>A19*50</f>
        <v/>
      </c>
      <c r="G19">
        <f>IF(A19&lt;=4,1,2)</f>
        <v/>
      </c>
    </row>
    <row r="20">
      <c r="A20" t="n">
        <v>1</v>
      </c>
      <c r="B20" t="inlineStr">
        <is>
          <t>Grease</t>
        </is>
      </c>
      <c r="C20" t="inlineStr">
        <is>
          <t>Conjuration</t>
        </is>
      </c>
      <c r="D20" t="inlineStr">
        <is>
          <t>PHB 2024</t>
        </is>
      </c>
      <c r="E20" t="inlineStr"/>
      <c r="F20">
        <f>A20*50</f>
        <v/>
      </c>
      <c r="G20">
        <f>IF(A20&lt;=4,1,2)</f>
        <v/>
      </c>
    </row>
    <row r="21">
      <c r="A21" t="n">
        <v>1</v>
      </c>
      <c r="B21" t="inlineStr">
        <is>
          <t>Ice Knife</t>
        </is>
      </c>
      <c r="C21" t="inlineStr">
        <is>
          <t>Conjuration</t>
        </is>
      </c>
      <c r="D21" t="inlineStr">
        <is>
          <t>PHB 2024</t>
        </is>
      </c>
      <c r="E21" t="inlineStr"/>
      <c r="F21">
        <f>A21*50</f>
        <v/>
      </c>
      <c r="G21">
        <f>IF(A21&lt;=4,1,2)</f>
        <v/>
      </c>
    </row>
    <row r="22">
      <c r="A22" t="n">
        <v>1</v>
      </c>
      <c r="B22" t="inlineStr">
        <is>
          <t>Identify</t>
        </is>
      </c>
      <c r="C22" t="inlineStr">
        <is>
          <t>Divination</t>
        </is>
      </c>
      <c r="D22" t="inlineStr">
        <is>
          <t>PHB 2024</t>
        </is>
      </c>
      <c r="E22" t="inlineStr"/>
      <c r="F22">
        <f>A22*50</f>
        <v/>
      </c>
      <c r="G22">
        <f>IF(A22&lt;=4,1,2)</f>
        <v/>
      </c>
    </row>
    <row r="23">
      <c r="A23" t="n">
        <v>1</v>
      </c>
      <c r="B23" t="inlineStr">
        <is>
          <t>Illusory Script</t>
        </is>
      </c>
      <c r="C23" t="inlineStr">
        <is>
          <t>Illusion</t>
        </is>
      </c>
      <c r="D23" t="inlineStr">
        <is>
          <t>PHB 2024</t>
        </is>
      </c>
      <c r="E23" t="inlineStr"/>
      <c r="F23">
        <f>A23*50</f>
        <v/>
      </c>
      <c r="G23">
        <f>IF(A23&lt;=4,1,2)</f>
        <v/>
      </c>
    </row>
    <row r="24">
      <c r="A24" t="n">
        <v>1</v>
      </c>
      <c r="B24" t="inlineStr">
        <is>
          <t>Jump</t>
        </is>
      </c>
      <c r="C24" t="inlineStr">
        <is>
          <t>Transmutation</t>
        </is>
      </c>
      <c r="D24" t="inlineStr">
        <is>
          <t>PHB 2024</t>
        </is>
      </c>
      <c r="E24" t="inlineStr"/>
      <c r="F24">
        <f>A24*50</f>
        <v/>
      </c>
      <c r="G24">
        <f>IF(A24&lt;=4,1,2)</f>
        <v/>
      </c>
    </row>
    <row r="25">
      <c r="A25" t="n">
        <v>1</v>
      </c>
      <c r="B25" t="inlineStr">
        <is>
          <t>Longstrider</t>
        </is>
      </c>
      <c r="C25" t="inlineStr">
        <is>
          <t>Transmutation</t>
        </is>
      </c>
      <c r="D25" t="inlineStr">
        <is>
          <t>PHB 2024</t>
        </is>
      </c>
      <c r="E25" t="inlineStr"/>
      <c r="F25">
        <f>A25*50</f>
        <v/>
      </c>
      <c r="G25">
        <f>IF(A25&lt;=4,1,2)</f>
        <v/>
      </c>
    </row>
    <row r="26">
      <c r="A26" t="n">
        <v>1</v>
      </c>
      <c r="B26" t="inlineStr">
        <is>
          <t>Mage Armor</t>
        </is>
      </c>
      <c r="C26" t="inlineStr">
        <is>
          <t>Abjuration</t>
        </is>
      </c>
      <c r="D26" t="inlineStr">
        <is>
          <t>PHB 2024</t>
        </is>
      </c>
      <c r="E26" t="inlineStr"/>
      <c r="F26">
        <f>A26*50</f>
        <v/>
      </c>
      <c r="G26">
        <f>IF(A26&lt;=4,1,2)</f>
        <v/>
      </c>
    </row>
    <row r="27">
      <c r="A27" t="n">
        <v>1</v>
      </c>
      <c r="B27" t="inlineStr">
        <is>
          <t>Magic Missile</t>
        </is>
      </c>
      <c r="C27" t="inlineStr">
        <is>
          <t>Evocation</t>
        </is>
      </c>
      <c r="D27" t="inlineStr">
        <is>
          <t>PHB 2024</t>
        </is>
      </c>
      <c r="E27" t="inlineStr"/>
      <c r="F27">
        <f>A27*50</f>
        <v/>
      </c>
      <c r="G27">
        <f>IF(A27&lt;=4,1,2)</f>
        <v/>
      </c>
    </row>
    <row r="28">
      <c r="A28" t="n">
        <v>1</v>
      </c>
      <c r="B28" t="inlineStr">
        <is>
          <t>Protection from Evil and Good</t>
        </is>
      </c>
      <c r="C28" t="inlineStr">
        <is>
          <t>Abjuration</t>
        </is>
      </c>
      <c r="D28" t="inlineStr">
        <is>
          <t>PHB 2024</t>
        </is>
      </c>
      <c r="E28" t="inlineStr"/>
      <c r="F28">
        <f>A28*50</f>
        <v/>
      </c>
      <c r="G28">
        <f>IF(A28&lt;=4,1,2)</f>
        <v/>
      </c>
    </row>
    <row r="29">
      <c r="A29" t="n">
        <v>1</v>
      </c>
      <c r="B29" t="inlineStr">
        <is>
          <t>Ray of Sickness</t>
        </is>
      </c>
      <c r="C29" t="inlineStr">
        <is>
          <t>Necromancy</t>
        </is>
      </c>
      <c r="D29" t="inlineStr">
        <is>
          <t>PHB 2024</t>
        </is>
      </c>
      <c r="E29" t="inlineStr"/>
      <c r="F29">
        <f>A29*50</f>
        <v/>
      </c>
      <c r="G29">
        <f>IF(A29&lt;=4,1,2)</f>
        <v/>
      </c>
    </row>
    <row r="30">
      <c r="A30" t="n">
        <v>1</v>
      </c>
      <c r="B30" t="inlineStr">
        <is>
          <t>Shield</t>
        </is>
      </c>
      <c r="C30" t="inlineStr">
        <is>
          <t>Abjuration</t>
        </is>
      </c>
      <c r="D30" t="inlineStr">
        <is>
          <t>PHB 2024</t>
        </is>
      </c>
      <c r="E30" t="inlineStr"/>
      <c r="F30">
        <f>A30*50</f>
        <v/>
      </c>
      <c r="G30">
        <f>IF(A30&lt;=4,1,2)</f>
        <v/>
      </c>
    </row>
    <row r="31">
      <c r="A31" t="n">
        <v>1</v>
      </c>
      <c r="B31" t="inlineStr">
        <is>
          <t>Silent Image</t>
        </is>
      </c>
      <c r="C31" t="inlineStr">
        <is>
          <t>Illusion</t>
        </is>
      </c>
      <c r="D31" t="inlineStr">
        <is>
          <t>PHB 2024</t>
        </is>
      </c>
      <c r="E31" t="inlineStr"/>
      <c r="F31">
        <f>A31*50</f>
        <v/>
      </c>
      <c r="G31">
        <f>IF(A31&lt;=4,1,2)</f>
        <v/>
      </c>
    </row>
    <row r="32">
      <c r="A32" t="n">
        <v>1</v>
      </c>
      <c r="B32" t="inlineStr">
        <is>
          <t>Sleep</t>
        </is>
      </c>
      <c r="C32" t="inlineStr">
        <is>
          <t>Enchantment</t>
        </is>
      </c>
      <c r="D32" t="inlineStr">
        <is>
          <t>PHB 2024</t>
        </is>
      </c>
      <c r="E32" t="inlineStr"/>
      <c r="F32">
        <f>A32*50</f>
        <v/>
      </c>
      <c r="G32">
        <f>IF(A32&lt;=4,1,2)</f>
        <v/>
      </c>
    </row>
    <row r="33">
      <c r="A33" t="n">
        <v>1</v>
      </c>
      <c r="B33" t="inlineStr">
        <is>
          <t>Snare</t>
        </is>
      </c>
      <c r="C33" t="inlineStr">
        <is>
          <t>Abjuration</t>
        </is>
      </c>
      <c r="D33" t="inlineStr">
        <is>
          <t>Xanathar's Guide</t>
        </is>
      </c>
      <c r="E33" t="inlineStr"/>
      <c r="F33">
        <f>A33*50</f>
        <v/>
      </c>
      <c r="G33">
        <f>IF(A33&lt;=4,1,2)</f>
        <v/>
      </c>
    </row>
    <row r="34">
      <c r="A34" t="n">
        <v>1</v>
      </c>
      <c r="B34" t="inlineStr">
        <is>
          <t>Spellfire Flare</t>
        </is>
      </c>
      <c r="C34" t="inlineStr">
        <is>
          <t>Evocation</t>
        </is>
      </c>
      <c r="D34" t="inlineStr">
        <is>
          <t>Heroes of Faerun</t>
        </is>
      </c>
      <c r="E34" t="inlineStr"/>
      <c r="F34">
        <f>A34*50</f>
        <v/>
      </c>
      <c r="G34">
        <f>IF(A34&lt;=4,1,2)</f>
        <v/>
      </c>
    </row>
    <row r="35">
      <c r="A35" t="n">
        <v>1</v>
      </c>
      <c r="B35" t="inlineStr">
        <is>
          <t>Tasha's Caustic Brew</t>
        </is>
      </c>
      <c r="C35" t="inlineStr">
        <is>
          <t>Evocation</t>
        </is>
      </c>
      <c r="D35" t="inlineStr">
        <is>
          <t>Tasha's Cauldron</t>
        </is>
      </c>
      <c r="E35" t="inlineStr"/>
      <c r="F35">
        <f>A35*50</f>
        <v/>
      </c>
      <c r="G35">
        <f>IF(A35&lt;=4,1,2)</f>
        <v/>
      </c>
    </row>
    <row r="36">
      <c r="A36" t="n">
        <v>1</v>
      </c>
      <c r="B36" t="inlineStr">
        <is>
          <t>Tasha's Hideous Laughter</t>
        </is>
      </c>
      <c r="C36" t="inlineStr">
        <is>
          <t>Enchantment</t>
        </is>
      </c>
      <c r="D36" t="inlineStr">
        <is>
          <t>PHB 2024</t>
        </is>
      </c>
      <c r="E36" t="inlineStr"/>
      <c r="F36">
        <f>A36*50</f>
        <v/>
      </c>
      <c r="G36">
        <f>IF(A36&lt;=4,1,2)</f>
        <v/>
      </c>
    </row>
    <row r="37">
      <c r="A37" t="n">
        <v>1</v>
      </c>
      <c r="B37" t="inlineStr">
        <is>
          <t>Tenser's Floating Disk</t>
        </is>
      </c>
      <c r="C37" t="inlineStr">
        <is>
          <t>Conjuration</t>
        </is>
      </c>
      <c r="D37" t="inlineStr">
        <is>
          <t>PHB 2024</t>
        </is>
      </c>
      <c r="E37" t="inlineStr"/>
      <c r="F37">
        <f>A37*50</f>
        <v/>
      </c>
      <c r="G37">
        <f>IF(A37&lt;=4,1,2)</f>
        <v/>
      </c>
    </row>
    <row r="38">
      <c r="A38" t="n">
        <v>1</v>
      </c>
      <c r="B38" t="inlineStr">
        <is>
          <t>Thunderwave</t>
        </is>
      </c>
      <c r="C38" t="inlineStr">
        <is>
          <t>Evocation</t>
        </is>
      </c>
      <c r="D38" t="inlineStr">
        <is>
          <t>PHB 2024</t>
        </is>
      </c>
      <c r="E38" t="inlineStr"/>
      <c r="F38">
        <f>A38*50</f>
        <v/>
      </c>
      <c r="G38">
        <f>IF(A38&lt;=4,1,2)</f>
        <v/>
      </c>
    </row>
    <row r="39">
      <c r="A39" t="n">
        <v>1</v>
      </c>
      <c r="B39" t="inlineStr">
        <is>
          <t>Unseen Servant</t>
        </is>
      </c>
      <c r="C39" t="inlineStr">
        <is>
          <t>Conjuration</t>
        </is>
      </c>
      <c r="D39" t="inlineStr">
        <is>
          <t>PHB 2024</t>
        </is>
      </c>
      <c r="E39" t="inlineStr"/>
      <c r="F39">
        <f>A39*50</f>
        <v/>
      </c>
      <c r="G39">
        <f>IF(A39&lt;=4,1,2)</f>
        <v/>
      </c>
    </row>
    <row r="40">
      <c r="A40" t="n">
        <v>1</v>
      </c>
      <c r="B40" t="inlineStr">
        <is>
          <t>Wardaway</t>
        </is>
      </c>
      <c r="C40" t="inlineStr">
        <is>
          <t>Abjuration</t>
        </is>
      </c>
      <c r="D40" t="inlineStr">
        <is>
          <t>Heroes of Faerun</t>
        </is>
      </c>
      <c r="E40" t="inlineStr"/>
      <c r="F40">
        <f>A40*50</f>
        <v/>
      </c>
      <c r="G40">
        <f>IF(A40&lt;=4,1,2)</f>
        <v/>
      </c>
    </row>
    <row r="41">
      <c r="A41" t="n">
        <v>1</v>
      </c>
      <c r="B41" t="inlineStr">
        <is>
          <t>Witch Bolt</t>
        </is>
      </c>
      <c r="C41" t="inlineStr">
        <is>
          <t>Evocation</t>
        </is>
      </c>
      <c r="D41" t="inlineStr">
        <is>
          <t>PHB 2024</t>
        </is>
      </c>
      <c r="E41" t="inlineStr"/>
      <c r="F41">
        <f>A41*50</f>
        <v/>
      </c>
      <c r="G41">
        <f>IF(A41&lt;=4,1,2)</f>
        <v/>
      </c>
    </row>
    <row r="42">
      <c r="A42" t="n">
        <v>2</v>
      </c>
      <c r="B42" t="inlineStr">
        <is>
          <t>Aganazzar's Scorcher</t>
        </is>
      </c>
      <c r="C42" t="inlineStr">
        <is>
          <t>Evocation</t>
        </is>
      </c>
      <c r="D42" t="inlineStr">
        <is>
          <t>Xanathar's Guide</t>
        </is>
      </c>
      <c r="E42" t="inlineStr"/>
      <c r="F42">
        <f>A42*50</f>
        <v/>
      </c>
      <c r="G42">
        <f>IF(A42&lt;=4,1,2)</f>
        <v/>
      </c>
    </row>
    <row r="43">
      <c r="A43" t="n">
        <v>2</v>
      </c>
      <c r="B43" t="inlineStr">
        <is>
          <t>Air Bubble</t>
        </is>
      </c>
      <c r="C43" t="inlineStr">
        <is>
          <t>Conjuration</t>
        </is>
      </c>
      <c r="D43" t="inlineStr">
        <is>
          <t>Spelljammer</t>
        </is>
      </c>
      <c r="E43" t="inlineStr"/>
      <c r="F43">
        <f>A43*50</f>
        <v/>
      </c>
      <c r="G43">
        <f>IF(A43&lt;=4,1,2)</f>
        <v/>
      </c>
    </row>
    <row r="44">
      <c r="A44" t="n">
        <v>2</v>
      </c>
      <c r="B44" t="inlineStr">
        <is>
          <t>Alter Self</t>
        </is>
      </c>
      <c r="C44" t="inlineStr">
        <is>
          <t>Transmutation</t>
        </is>
      </c>
      <c r="D44" t="inlineStr">
        <is>
          <t>PHB 2024</t>
        </is>
      </c>
      <c r="E44" t="inlineStr"/>
      <c r="F44">
        <f>A44*50</f>
        <v/>
      </c>
      <c r="G44">
        <f>IF(A44&lt;=4,1,2)</f>
        <v/>
      </c>
    </row>
    <row r="45">
      <c r="A45" t="n">
        <v>2</v>
      </c>
      <c r="B45" t="inlineStr">
        <is>
          <t>Arcane Lock</t>
        </is>
      </c>
      <c r="C45" t="inlineStr">
        <is>
          <t>Abjuration</t>
        </is>
      </c>
      <c r="D45" t="inlineStr">
        <is>
          <t>PHB 2024</t>
        </is>
      </c>
      <c r="E45" t="inlineStr"/>
      <c r="F45">
        <f>A45*50</f>
        <v/>
      </c>
      <c r="G45">
        <f>IF(A45&lt;=4,1,2)</f>
        <v/>
      </c>
    </row>
    <row r="46">
      <c r="A46" t="n">
        <v>2</v>
      </c>
      <c r="B46" t="inlineStr">
        <is>
          <t>Arcane Vigor</t>
        </is>
      </c>
      <c r="C46" t="inlineStr">
        <is>
          <t>Abjuration</t>
        </is>
      </c>
      <c r="D46" t="inlineStr">
        <is>
          <t>PHB 2024</t>
        </is>
      </c>
      <c r="E46" t="inlineStr"/>
      <c r="F46">
        <f>A46*50</f>
        <v/>
      </c>
      <c r="G46">
        <f>IF(A46&lt;=4,1,2)</f>
        <v/>
      </c>
    </row>
    <row r="47">
      <c r="A47" t="n">
        <v>2</v>
      </c>
      <c r="B47" t="inlineStr">
        <is>
          <t>Augury</t>
        </is>
      </c>
      <c r="C47" t="inlineStr">
        <is>
          <t>Divination</t>
        </is>
      </c>
      <c r="D47" t="inlineStr">
        <is>
          <t>PHB 2024</t>
        </is>
      </c>
      <c r="E47" t="inlineStr"/>
      <c r="F47">
        <f>A47*50</f>
        <v/>
      </c>
      <c r="G47">
        <f>IF(A47&lt;=4,1,2)</f>
        <v/>
      </c>
    </row>
    <row r="48">
      <c r="A48" t="n">
        <v>2</v>
      </c>
      <c r="B48" t="inlineStr">
        <is>
          <t>Battle Familiar</t>
        </is>
      </c>
      <c r="C48" t="inlineStr">
        <is>
          <t>Conjuration</t>
        </is>
      </c>
      <c r="D48" t="inlineStr">
        <is>
          <t>Arcana Unleashed</t>
        </is>
      </c>
      <c r="E48" t="inlineStr"/>
      <c r="F48">
        <f>A48*50</f>
        <v/>
      </c>
      <c r="G48">
        <f>IF(A48&lt;=4,1,2)</f>
        <v/>
      </c>
    </row>
    <row r="49">
      <c r="A49" t="n">
        <v>2</v>
      </c>
      <c r="B49" t="inlineStr">
        <is>
          <t>Blindness/Deafness</t>
        </is>
      </c>
      <c r="C49" t="inlineStr">
        <is>
          <t>Transmutation</t>
        </is>
      </c>
      <c r="D49" t="inlineStr">
        <is>
          <t>PHB 2024</t>
        </is>
      </c>
      <c r="E49" t="inlineStr"/>
      <c r="F49">
        <f>A49*50</f>
        <v/>
      </c>
      <c r="G49">
        <f>IF(A49&lt;=4,1,2)</f>
        <v/>
      </c>
    </row>
    <row r="50">
      <c r="A50" t="n">
        <v>2</v>
      </c>
      <c r="B50" t="inlineStr">
        <is>
          <t>Blur</t>
        </is>
      </c>
      <c r="C50" t="inlineStr">
        <is>
          <t>Illusion</t>
        </is>
      </c>
      <c r="D50" t="inlineStr">
        <is>
          <t>PHB 2024</t>
        </is>
      </c>
      <c r="E50" t="inlineStr"/>
      <c r="F50">
        <f>A50*50</f>
        <v/>
      </c>
      <c r="G50">
        <f>IF(A50&lt;=4,1,2)</f>
        <v/>
      </c>
    </row>
    <row r="51">
      <c r="A51" t="n">
        <v>2</v>
      </c>
      <c r="B51" t="inlineStr">
        <is>
          <t>Cloud of Daggers</t>
        </is>
      </c>
      <c r="C51" t="inlineStr">
        <is>
          <t>Conjuration</t>
        </is>
      </c>
      <c r="D51" t="inlineStr">
        <is>
          <t>PHB 2024</t>
        </is>
      </c>
      <c r="E51" t="inlineStr"/>
      <c r="F51">
        <f>A51*50</f>
        <v/>
      </c>
      <c r="G51">
        <f>IF(A51&lt;=4,1,2)</f>
        <v/>
      </c>
    </row>
    <row r="52">
      <c r="A52" t="n">
        <v>2</v>
      </c>
      <c r="B52" t="inlineStr">
        <is>
          <t>Continual Flame</t>
        </is>
      </c>
      <c r="C52" t="inlineStr">
        <is>
          <t>Evocation</t>
        </is>
      </c>
      <c r="D52" t="inlineStr">
        <is>
          <t>PHB 2024</t>
        </is>
      </c>
      <c r="E52" t="inlineStr"/>
      <c r="F52">
        <f>A52*50</f>
        <v/>
      </c>
      <c r="G52">
        <f>IF(A52&lt;=4,1,2)</f>
        <v/>
      </c>
    </row>
    <row r="53">
      <c r="A53" t="n">
        <v>2</v>
      </c>
      <c r="B53" t="inlineStr">
        <is>
          <t>Crown of Madness</t>
        </is>
      </c>
      <c r="C53" t="inlineStr">
        <is>
          <t>Enchantment</t>
        </is>
      </c>
      <c r="D53" t="inlineStr">
        <is>
          <t>PHB 2024</t>
        </is>
      </c>
      <c r="E53" t="inlineStr"/>
      <c r="F53">
        <f>A53*50</f>
        <v/>
      </c>
      <c r="G53">
        <f>IF(A53&lt;=4,1,2)</f>
        <v/>
      </c>
    </row>
    <row r="54">
      <c r="A54" t="n">
        <v>2</v>
      </c>
      <c r="B54" t="inlineStr">
        <is>
          <t>Darkness</t>
        </is>
      </c>
      <c r="C54" t="inlineStr">
        <is>
          <t>Evocation</t>
        </is>
      </c>
      <c r="D54" t="inlineStr">
        <is>
          <t>PHB 2024</t>
        </is>
      </c>
      <c r="E54" t="inlineStr"/>
      <c r="F54">
        <f>A54*50</f>
        <v/>
      </c>
      <c r="G54">
        <f>IF(A54&lt;=4,1,2)</f>
        <v/>
      </c>
    </row>
    <row r="55">
      <c r="A55" t="n">
        <v>2</v>
      </c>
      <c r="B55" t="inlineStr">
        <is>
          <t>Darkvision</t>
        </is>
      </c>
      <c r="C55" t="inlineStr">
        <is>
          <t>Transmutation</t>
        </is>
      </c>
      <c r="D55" t="inlineStr">
        <is>
          <t>PHB 2024</t>
        </is>
      </c>
      <c r="E55" t="inlineStr"/>
      <c r="F55">
        <f>A55*50</f>
        <v/>
      </c>
      <c r="G55">
        <f>IF(A55&lt;=4,1,2)</f>
        <v/>
      </c>
    </row>
    <row r="56">
      <c r="A56" t="n">
        <v>2</v>
      </c>
      <c r="B56" t="inlineStr">
        <is>
          <t>Death Armor</t>
        </is>
      </c>
      <c r="C56" t="inlineStr">
        <is>
          <t>Necromancy</t>
        </is>
      </c>
      <c r="D56" t="inlineStr">
        <is>
          <t>Heroes of Faerun</t>
        </is>
      </c>
      <c r="E56" t="inlineStr"/>
      <c r="F56">
        <f>A56*50</f>
        <v/>
      </c>
      <c r="G56">
        <f>IF(A56&lt;=4,1,2)</f>
        <v/>
      </c>
    </row>
    <row r="57">
      <c r="A57" t="n">
        <v>2</v>
      </c>
      <c r="B57" t="inlineStr">
        <is>
          <t>Deryan's Helpful Homunculi</t>
        </is>
      </c>
      <c r="C57" t="inlineStr">
        <is>
          <t>Conjuration</t>
        </is>
      </c>
      <c r="D57" t="inlineStr">
        <is>
          <t>Heroes of Faerun</t>
        </is>
      </c>
      <c r="E57" t="inlineStr"/>
      <c r="F57">
        <f>A57*50</f>
        <v/>
      </c>
      <c r="G57">
        <f>IF(A57&lt;=4,1,2)</f>
        <v/>
      </c>
    </row>
    <row r="58">
      <c r="A58" t="n">
        <v>2</v>
      </c>
      <c r="B58" t="inlineStr">
        <is>
          <t>Detect Thoughts</t>
        </is>
      </c>
      <c r="C58" t="inlineStr">
        <is>
          <t>Divination</t>
        </is>
      </c>
      <c r="D58" t="inlineStr">
        <is>
          <t>PHB 2024</t>
        </is>
      </c>
      <c r="E58" t="inlineStr"/>
      <c r="F58">
        <f>A58*50</f>
        <v/>
      </c>
      <c r="G58">
        <f>IF(A58&lt;=4,1,2)</f>
        <v/>
      </c>
    </row>
    <row r="59">
      <c r="A59" t="n">
        <v>2</v>
      </c>
      <c r="B59" t="inlineStr">
        <is>
          <t>Disruptive Tune</t>
        </is>
      </c>
      <c r="C59" t="inlineStr">
        <is>
          <t>Abjuration</t>
        </is>
      </c>
      <c r="D59" t="inlineStr">
        <is>
          <t>Arcana Unleashed</t>
        </is>
      </c>
      <c r="E59" t="inlineStr"/>
      <c r="F59">
        <f>A59*50</f>
        <v/>
      </c>
      <c r="G59">
        <f>IF(A59&lt;=4,1,2)</f>
        <v/>
      </c>
    </row>
    <row r="60">
      <c r="A60" t="n">
        <v>2</v>
      </c>
      <c r="B60" t="inlineStr">
        <is>
          <t>Dragon's Breath</t>
        </is>
      </c>
      <c r="C60" t="inlineStr">
        <is>
          <t>Transmutation</t>
        </is>
      </c>
      <c r="D60" t="inlineStr">
        <is>
          <t>PHB 2024</t>
        </is>
      </c>
      <c r="E60" t="inlineStr"/>
      <c r="F60">
        <f>A60*50</f>
        <v/>
      </c>
      <c r="G60">
        <f>IF(A60&lt;=4,1,2)</f>
        <v/>
      </c>
    </row>
    <row r="61">
      <c r="A61" t="n">
        <v>2</v>
      </c>
      <c r="B61" t="inlineStr">
        <is>
          <t>Dueling Ground</t>
        </is>
      </c>
      <c r="C61" t="inlineStr">
        <is>
          <t>Abjuration</t>
        </is>
      </c>
      <c r="D61" t="inlineStr">
        <is>
          <t>Arcana Unleashed</t>
        </is>
      </c>
      <c r="E61" t="inlineStr"/>
      <c r="F61">
        <f>A61*50</f>
        <v/>
      </c>
      <c r="G61">
        <f>IF(A61&lt;=4,1,2)</f>
        <v/>
      </c>
    </row>
    <row r="62">
      <c r="A62" t="n">
        <v>2</v>
      </c>
      <c r="B62" t="inlineStr">
        <is>
          <t>Dust Devil</t>
        </is>
      </c>
      <c r="C62" t="inlineStr">
        <is>
          <t>Conjuration</t>
        </is>
      </c>
      <c r="D62" t="inlineStr">
        <is>
          <t>Xanathar's Guide</t>
        </is>
      </c>
      <c r="E62" t="inlineStr"/>
      <c r="F62">
        <f>A62*50</f>
        <v/>
      </c>
      <c r="G62">
        <f>IF(A62&lt;=4,1,2)</f>
        <v/>
      </c>
    </row>
    <row r="63">
      <c r="A63" t="n">
        <v>2</v>
      </c>
      <c r="B63" t="inlineStr">
        <is>
          <t>Earthbind</t>
        </is>
      </c>
      <c r="C63" t="inlineStr">
        <is>
          <t>Transmutation</t>
        </is>
      </c>
      <c r="D63" t="inlineStr">
        <is>
          <t>Xanathar's Guide</t>
        </is>
      </c>
      <c r="E63" t="inlineStr"/>
      <c r="F63">
        <f>A63*50</f>
        <v/>
      </c>
      <c r="G63">
        <f>IF(A63&lt;=4,1,2)</f>
        <v/>
      </c>
    </row>
    <row r="64">
      <c r="A64" t="n">
        <v>2</v>
      </c>
      <c r="B64" t="inlineStr">
        <is>
          <t>Elminster's Elusion</t>
        </is>
      </c>
      <c r="C64" t="inlineStr">
        <is>
          <t>Abjuration</t>
        </is>
      </c>
      <c r="D64" t="inlineStr">
        <is>
          <t>Heroes of Faerun</t>
        </is>
      </c>
      <c r="E64" t="inlineStr"/>
      <c r="F64">
        <f>A64*50</f>
        <v/>
      </c>
      <c r="G64">
        <f>IF(A64&lt;=4,1,2)</f>
        <v/>
      </c>
    </row>
    <row r="65">
      <c r="A65" t="n">
        <v>2</v>
      </c>
      <c r="B65" t="inlineStr">
        <is>
          <t>Enhance Ability</t>
        </is>
      </c>
      <c r="C65" t="inlineStr">
        <is>
          <t>Transmutation</t>
        </is>
      </c>
      <c r="D65" t="inlineStr">
        <is>
          <t>PHB 2024</t>
        </is>
      </c>
      <c r="E65" t="inlineStr"/>
      <c r="F65">
        <f>A65*50</f>
        <v/>
      </c>
      <c r="G65">
        <f>IF(A65&lt;=4,1,2)</f>
        <v/>
      </c>
    </row>
    <row r="66">
      <c r="A66" t="n">
        <v>2</v>
      </c>
      <c r="B66" t="inlineStr">
        <is>
          <t>Enlarge/Reduce</t>
        </is>
      </c>
      <c r="C66" t="inlineStr">
        <is>
          <t>Transmutation</t>
        </is>
      </c>
      <c r="D66" t="inlineStr">
        <is>
          <t>PHB 2024</t>
        </is>
      </c>
      <c r="E66" t="inlineStr"/>
      <c r="F66">
        <f>A66*50</f>
        <v/>
      </c>
      <c r="G66">
        <f>IF(A66&lt;=4,1,2)</f>
        <v/>
      </c>
    </row>
    <row r="67">
      <c r="A67" t="n">
        <v>2</v>
      </c>
      <c r="B67" t="inlineStr">
        <is>
          <t>Flaming Sphere</t>
        </is>
      </c>
      <c r="C67" t="inlineStr">
        <is>
          <t>Conjuration</t>
        </is>
      </c>
      <c r="D67" t="inlineStr">
        <is>
          <t>PHB 2024</t>
        </is>
      </c>
      <c r="E67" t="inlineStr"/>
      <c r="F67">
        <f>A67*50</f>
        <v/>
      </c>
      <c r="G67">
        <f>IF(A67&lt;=4,1,2)</f>
        <v/>
      </c>
    </row>
    <row r="68">
      <c r="A68" t="n">
        <v>2</v>
      </c>
      <c r="B68" t="inlineStr">
        <is>
          <t>Flock of Familiars</t>
        </is>
      </c>
      <c r="C68" t="inlineStr">
        <is>
          <t>Conjuration</t>
        </is>
      </c>
      <c r="D68" t="inlineStr">
        <is>
          <t>Kwalish</t>
        </is>
      </c>
      <c r="E68" t="inlineStr"/>
      <c r="F68">
        <f>A68*50</f>
        <v/>
      </c>
      <c r="G68">
        <f>IF(A68&lt;=4,1,2)</f>
        <v/>
      </c>
    </row>
    <row r="69">
      <c r="A69" t="n">
        <v>2</v>
      </c>
      <c r="B69" t="inlineStr">
        <is>
          <t>Gentle Repose</t>
        </is>
      </c>
      <c r="C69" t="inlineStr">
        <is>
          <t>Necromancy</t>
        </is>
      </c>
      <c r="D69" t="inlineStr">
        <is>
          <t>PHB 2024</t>
        </is>
      </c>
      <c r="E69" t="inlineStr"/>
      <c r="F69">
        <f>A69*50</f>
        <v/>
      </c>
      <c r="G69">
        <f>IF(A69&lt;=4,1,2)</f>
        <v/>
      </c>
    </row>
    <row r="70">
      <c r="A70" t="n">
        <v>2</v>
      </c>
      <c r="B70" t="inlineStr">
        <is>
          <t>Gust of Wind</t>
        </is>
      </c>
      <c r="C70" t="inlineStr">
        <is>
          <t>Evocation</t>
        </is>
      </c>
      <c r="D70" t="inlineStr">
        <is>
          <t>PHB 2024</t>
        </is>
      </c>
      <c r="E70" t="inlineStr"/>
      <c r="F70">
        <f>A70*50</f>
        <v/>
      </c>
      <c r="G70">
        <f>IF(A70&lt;=4,1,2)</f>
        <v/>
      </c>
    </row>
    <row r="71">
      <c r="A71" t="n">
        <v>2</v>
      </c>
      <c r="B71" t="inlineStr">
        <is>
          <t>Hold Person</t>
        </is>
      </c>
      <c r="C71" t="inlineStr">
        <is>
          <t>Enchantment</t>
        </is>
      </c>
      <c r="D71" t="inlineStr">
        <is>
          <t>PHB 2024</t>
        </is>
      </c>
      <c r="E71" t="inlineStr"/>
      <c r="F71">
        <f>A71*50</f>
        <v/>
      </c>
      <c r="G71">
        <f>IF(A71&lt;=4,1,2)</f>
        <v/>
      </c>
    </row>
    <row r="72">
      <c r="A72" t="n">
        <v>2</v>
      </c>
      <c r="B72" t="inlineStr">
        <is>
          <t>Invisibility</t>
        </is>
      </c>
      <c r="C72" t="inlineStr">
        <is>
          <t>Illusion</t>
        </is>
      </c>
      <c r="D72" t="inlineStr">
        <is>
          <t>PHB 2024</t>
        </is>
      </c>
      <c r="E72" t="inlineStr"/>
      <c r="F72">
        <f>A72*50</f>
        <v/>
      </c>
      <c r="G72">
        <f>IF(A72&lt;=4,1,2)</f>
        <v/>
      </c>
    </row>
    <row r="73">
      <c r="A73" t="n">
        <v>2</v>
      </c>
      <c r="B73" t="inlineStr">
        <is>
          <t>Knock</t>
        </is>
      </c>
      <c r="C73" t="inlineStr">
        <is>
          <t>Transmutation</t>
        </is>
      </c>
      <c r="D73" t="inlineStr">
        <is>
          <t>PHB 2024</t>
        </is>
      </c>
      <c r="E73" t="inlineStr"/>
      <c r="F73">
        <f>A73*50</f>
        <v/>
      </c>
      <c r="G73">
        <f>IF(A73&lt;=4,1,2)</f>
        <v/>
      </c>
    </row>
    <row r="74">
      <c r="A74" t="n">
        <v>2</v>
      </c>
      <c r="B74" t="inlineStr">
        <is>
          <t>Levitate</t>
        </is>
      </c>
      <c r="C74" t="inlineStr">
        <is>
          <t>Transmutation</t>
        </is>
      </c>
      <c r="D74" t="inlineStr">
        <is>
          <t>PHB 2024</t>
        </is>
      </c>
      <c r="E74" t="inlineStr"/>
      <c r="F74">
        <f>A74*50</f>
        <v/>
      </c>
      <c r="G74">
        <f>IF(A74&lt;=4,1,2)</f>
        <v/>
      </c>
    </row>
    <row r="75">
      <c r="A75" t="n">
        <v>2</v>
      </c>
      <c r="B75" t="inlineStr">
        <is>
          <t>Locate Object</t>
        </is>
      </c>
      <c r="C75" t="inlineStr">
        <is>
          <t>Divination</t>
        </is>
      </c>
      <c r="D75" t="inlineStr">
        <is>
          <t>PHB 2024</t>
        </is>
      </c>
      <c r="E75" t="inlineStr"/>
      <c r="F75">
        <f>A75*50</f>
        <v/>
      </c>
      <c r="G75">
        <f>IF(A75&lt;=4,1,2)</f>
        <v/>
      </c>
    </row>
    <row r="76">
      <c r="A76" t="n">
        <v>2</v>
      </c>
      <c r="B76" t="inlineStr">
        <is>
          <t>Magic Mouth</t>
        </is>
      </c>
      <c r="C76" t="inlineStr">
        <is>
          <t>Illusion</t>
        </is>
      </c>
      <c r="D76" t="inlineStr">
        <is>
          <t>PHB 2024</t>
        </is>
      </c>
      <c r="E76" t="inlineStr"/>
      <c r="F76">
        <f>A76*50</f>
        <v/>
      </c>
      <c r="G76">
        <f>IF(A76&lt;=4,1,2)</f>
        <v/>
      </c>
    </row>
    <row r="77">
      <c r="A77" t="n">
        <v>2</v>
      </c>
      <c r="B77" t="inlineStr">
        <is>
          <t>Magic Weapon</t>
        </is>
      </c>
      <c r="C77" t="inlineStr">
        <is>
          <t>Transmutation</t>
        </is>
      </c>
      <c r="D77" t="inlineStr">
        <is>
          <t>PHB 2024</t>
        </is>
      </c>
      <c r="E77" t="inlineStr"/>
      <c r="F77">
        <f>A77*50</f>
        <v/>
      </c>
      <c r="G77">
        <f>IF(A77&lt;=4,1,2)</f>
        <v/>
      </c>
    </row>
    <row r="78">
      <c r="A78" t="n">
        <v>2</v>
      </c>
      <c r="B78" t="inlineStr">
        <is>
          <t>Maximilian's Earthen Grasp</t>
        </is>
      </c>
      <c r="C78" t="inlineStr">
        <is>
          <t>Transmutation</t>
        </is>
      </c>
      <c r="D78" t="inlineStr">
        <is>
          <t>Xanathar's Guide</t>
        </is>
      </c>
      <c r="E78" t="inlineStr"/>
      <c r="F78">
        <f>A78*50</f>
        <v/>
      </c>
      <c r="G78">
        <f>IF(A78&lt;=4,1,2)</f>
        <v/>
      </c>
    </row>
    <row r="79">
      <c r="A79" t="n">
        <v>2</v>
      </c>
      <c r="B79" t="inlineStr">
        <is>
          <t>Melf's Acid Arrow</t>
        </is>
      </c>
      <c r="C79" t="inlineStr">
        <is>
          <t>Evocation</t>
        </is>
      </c>
      <c r="D79" t="inlineStr">
        <is>
          <t>PHB 2024</t>
        </is>
      </c>
      <c r="E79" t="inlineStr"/>
      <c r="F79">
        <f>A79*50</f>
        <v/>
      </c>
      <c r="G79">
        <f>IF(A79&lt;=4,1,2)</f>
        <v/>
      </c>
    </row>
    <row r="80">
      <c r="A80" t="n">
        <v>2</v>
      </c>
      <c r="B80" t="inlineStr">
        <is>
          <t>Mind Spike</t>
        </is>
      </c>
      <c r="C80" t="inlineStr">
        <is>
          <t>Divination</t>
        </is>
      </c>
      <c r="D80" t="inlineStr">
        <is>
          <t>PHB 2024</t>
        </is>
      </c>
      <c r="E80" t="inlineStr"/>
      <c r="F80">
        <f>A80*50</f>
        <v/>
      </c>
      <c r="G80">
        <f>IF(A80&lt;=4,1,2)</f>
        <v/>
      </c>
    </row>
    <row r="81">
      <c r="A81" t="n">
        <v>2</v>
      </c>
      <c r="B81" t="inlineStr">
        <is>
          <t>Mirror Image</t>
        </is>
      </c>
      <c r="C81" t="inlineStr">
        <is>
          <t>Illusion</t>
        </is>
      </c>
      <c r="D81" t="inlineStr">
        <is>
          <t>PHB 2024</t>
        </is>
      </c>
      <c r="E81" t="inlineStr"/>
      <c r="F81">
        <f>A81*50</f>
        <v/>
      </c>
      <c r="G81">
        <f>IF(A81&lt;=4,1,2)</f>
        <v/>
      </c>
    </row>
    <row r="82">
      <c r="A82" t="n">
        <v>2</v>
      </c>
      <c r="B82" t="inlineStr">
        <is>
          <t>Misty Step</t>
        </is>
      </c>
      <c r="C82" t="inlineStr">
        <is>
          <t>Conjuration</t>
        </is>
      </c>
      <c r="D82" t="inlineStr">
        <is>
          <t>PHB 2024</t>
        </is>
      </c>
      <c r="E82" t="inlineStr"/>
      <c r="F82">
        <f>A82*50</f>
        <v/>
      </c>
      <c r="G82">
        <f>IF(A82&lt;=4,1,2)</f>
        <v/>
      </c>
    </row>
    <row r="83">
      <c r="A83" t="n">
        <v>2</v>
      </c>
      <c r="B83" t="inlineStr">
        <is>
          <t>Nathair's Mischief</t>
        </is>
      </c>
      <c r="C83" t="inlineStr">
        <is>
          <t>Illusion</t>
        </is>
      </c>
      <c r="D83" t="inlineStr">
        <is>
          <t>Fizban's</t>
        </is>
      </c>
      <c r="E83" t="inlineStr"/>
      <c r="F83">
        <f>A83*50</f>
        <v/>
      </c>
      <c r="G83">
        <f>IF(A83&lt;=4,1,2)</f>
        <v/>
      </c>
    </row>
    <row r="84">
      <c r="A84" t="n">
        <v>2</v>
      </c>
      <c r="B84" t="inlineStr">
        <is>
          <t>Nystul's Magic Aura</t>
        </is>
      </c>
      <c r="C84" t="inlineStr">
        <is>
          <t>Illusion</t>
        </is>
      </c>
      <c r="D84" t="inlineStr">
        <is>
          <t>PHB 2024</t>
        </is>
      </c>
      <c r="E84" t="inlineStr"/>
      <c r="F84">
        <f>A84*50</f>
        <v/>
      </c>
      <c r="G84">
        <f>IF(A84&lt;=4,1,2)</f>
        <v/>
      </c>
    </row>
    <row r="85">
      <c r="A85" t="n">
        <v>2</v>
      </c>
      <c r="B85" t="inlineStr">
        <is>
          <t>Phantasmal Force</t>
        </is>
      </c>
      <c r="C85" t="inlineStr">
        <is>
          <t>Illusion</t>
        </is>
      </c>
      <c r="D85" t="inlineStr">
        <is>
          <t>PHB 2024</t>
        </is>
      </c>
      <c r="E85" t="inlineStr"/>
      <c r="F85">
        <f>A85*50</f>
        <v/>
      </c>
      <c r="G85">
        <f>IF(A85&lt;=4,1,2)</f>
        <v/>
      </c>
    </row>
    <row r="86">
      <c r="A86" t="n">
        <v>2</v>
      </c>
      <c r="B86" t="inlineStr">
        <is>
          <t>Pyrotechnics</t>
        </is>
      </c>
      <c r="C86" t="inlineStr">
        <is>
          <t>Transmutation</t>
        </is>
      </c>
      <c r="D86" t="inlineStr">
        <is>
          <t>Xanathar's Guide</t>
        </is>
      </c>
      <c r="E86" t="inlineStr"/>
      <c r="F86">
        <f>A86*50</f>
        <v/>
      </c>
      <c r="G86">
        <f>IF(A86&lt;=4,1,2)</f>
        <v/>
      </c>
    </row>
    <row r="87">
      <c r="A87" t="n">
        <v>2</v>
      </c>
      <c r="B87" t="inlineStr">
        <is>
          <t>Ray of Enfeeblement</t>
        </is>
      </c>
      <c r="C87" t="inlineStr">
        <is>
          <t>Necromancy</t>
        </is>
      </c>
      <c r="D87" t="inlineStr">
        <is>
          <t>PHB 2024</t>
        </is>
      </c>
      <c r="E87" t="inlineStr"/>
      <c r="F87">
        <f>A87*50</f>
        <v/>
      </c>
      <c r="G87">
        <f>IF(A87&lt;=4,1,2)</f>
        <v/>
      </c>
    </row>
    <row r="88">
      <c r="A88" t="n">
        <v>2</v>
      </c>
      <c r="B88" t="inlineStr">
        <is>
          <t>Rime's Binding Ice</t>
        </is>
      </c>
      <c r="C88" t="inlineStr">
        <is>
          <t>Evocation</t>
        </is>
      </c>
      <c r="D88" t="inlineStr">
        <is>
          <t>Fizban's</t>
        </is>
      </c>
      <c r="E88" t="inlineStr"/>
      <c r="F88">
        <f>A88*50</f>
        <v/>
      </c>
      <c r="G88">
        <f>IF(A88&lt;=4,1,2)</f>
        <v/>
      </c>
    </row>
    <row r="89">
      <c r="A89" t="n">
        <v>2</v>
      </c>
      <c r="B89" t="inlineStr">
        <is>
          <t>Rope Trick</t>
        </is>
      </c>
      <c r="C89" t="inlineStr">
        <is>
          <t>Transmutation</t>
        </is>
      </c>
      <c r="D89" t="inlineStr">
        <is>
          <t>PHB 2024</t>
        </is>
      </c>
      <c r="E89" t="inlineStr"/>
      <c r="F89">
        <f>A89*50</f>
        <v/>
      </c>
      <c r="G89">
        <f>IF(A89&lt;=4,1,2)</f>
        <v/>
      </c>
    </row>
    <row r="90">
      <c r="A90" t="n">
        <v>2</v>
      </c>
      <c r="B90" t="inlineStr">
        <is>
          <t>Scorching Ray</t>
        </is>
      </c>
      <c r="C90" t="inlineStr">
        <is>
          <t>Evocation</t>
        </is>
      </c>
      <c r="D90" t="inlineStr">
        <is>
          <t>PHB 2024</t>
        </is>
      </c>
      <c r="E90" t="inlineStr"/>
      <c r="F90">
        <f>A90*50</f>
        <v/>
      </c>
      <c r="G90">
        <f>IF(A90&lt;=4,1,2)</f>
        <v/>
      </c>
    </row>
    <row r="91">
      <c r="A91" t="n">
        <v>2</v>
      </c>
      <c r="B91" t="inlineStr">
        <is>
          <t>See Invisibility</t>
        </is>
      </c>
      <c r="C91" t="inlineStr">
        <is>
          <t>Divination</t>
        </is>
      </c>
      <c r="D91" t="inlineStr">
        <is>
          <t>PHB 2024</t>
        </is>
      </c>
      <c r="E91" t="inlineStr"/>
      <c r="F91">
        <f>A91*50</f>
        <v/>
      </c>
      <c r="G91">
        <f>IF(A91&lt;=4,1,2)</f>
        <v/>
      </c>
    </row>
    <row r="92">
      <c r="A92" t="n">
        <v>2</v>
      </c>
      <c r="B92" t="inlineStr">
        <is>
          <t>Shadow Blade</t>
        </is>
      </c>
      <c r="C92" t="inlineStr">
        <is>
          <t>Illusion</t>
        </is>
      </c>
      <c r="D92" t="inlineStr">
        <is>
          <t>Xanathar's Guide</t>
        </is>
      </c>
      <c r="E92" t="inlineStr"/>
      <c r="F92">
        <f>A92*50</f>
        <v/>
      </c>
      <c r="G92">
        <f>IF(A92&lt;=4,1,2)</f>
        <v/>
      </c>
    </row>
    <row r="93">
      <c r="A93" t="n">
        <v>2</v>
      </c>
      <c r="B93" t="inlineStr">
        <is>
          <t>Shatter</t>
        </is>
      </c>
      <c r="C93" t="inlineStr">
        <is>
          <t>Evocation</t>
        </is>
      </c>
      <c r="D93" t="inlineStr">
        <is>
          <t>PHB 2024</t>
        </is>
      </c>
      <c r="E93" t="inlineStr"/>
      <c r="F93">
        <f>A93*50</f>
        <v/>
      </c>
      <c r="G93">
        <f>IF(A93&lt;=4,1,2)</f>
        <v/>
      </c>
    </row>
    <row r="94">
      <c r="A94" t="n">
        <v>2</v>
      </c>
      <c r="B94" t="inlineStr">
        <is>
          <t>Skywrite</t>
        </is>
      </c>
      <c r="C94" t="inlineStr">
        <is>
          <t>Transmutation</t>
        </is>
      </c>
      <c r="D94" t="inlineStr">
        <is>
          <t>Xanathar's Guide</t>
        </is>
      </c>
      <c r="E94" t="inlineStr"/>
      <c r="F94">
        <f>A94*50</f>
        <v/>
      </c>
      <c r="G94">
        <f>IF(A94&lt;=4,1,2)</f>
        <v/>
      </c>
    </row>
    <row r="95">
      <c r="A95" t="n">
        <v>2</v>
      </c>
      <c r="B95" t="inlineStr">
        <is>
          <t>Snilloc's Snowball Swarm</t>
        </is>
      </c>
      <c r="C95" t="inlineStr">
        <is>
          <t>Evocation</t>
        </is>
      </c>
      <c r="D95" t="inlineStr">
        <is>
          <t>Xanathar's Guide</t>
        </is>
      </c>
      <c r="E95" t="inlineStr"/>
      <c r="F95">
        <f>A95*50</f>
        <v/>
      </c>
      <c r="G95">
        <f>IF(A95&lt;=4,1,2)</f>
        <v/>
      </c>
    </row>
    <row r="96">
      <c r="A96" t="n">
        <v>2</v>
      </c>
      <c r="B96" t="inlineStr">
        <is>
          <t>Spider Climb</t>
        </is>
      </c>
      <c r="C96" t="inlineStr">
        <is>
          <t>Transmutation</t>
        </is>
      </c>
      <c r="D96" t="inlineStr">
        <is>
          <t>PHB 2024</t>
        </is>
      </c>
      <c r="E96" t="inlineStr"/>
      <c r="F96">
        <f>A96*50</f>
        <v/>
      </c>
      <c r="G96">
        <f>IF(A96&lt;=4,1,2)</f>
        <v/>
      </c>
    </row>
    <row r="97">
      <c r="A97" t="n">
        <v>2</v>
      </c>
      <c r="B97" t="inlineStr">
        <is>
          <t>Spray of Cards</t>
        </is>
      </c>
      <c r="C97" t="inlineStr">
        <is>
          <t>Conjuration</t>
        </is>
      </c>
      <c r="D97" t="inlineStr">
        <is>
          <t>Book of Many Things</t>
        </is>
      </c>
      <c r="E97" t="inlineStr"/>
      <c r="F97">
        <f>A97*50</f>
        <v/>
      </c>
      <c r="G97">
        <f>IF(A97&lt;=4,1,2)</f>
        <v/>
      </c>
    </row>
    <row r="98">
      <c r="A98" t="n">
        <v>2</v>
      </c>
      <c r="B98" t="inlineStr">
        <is>
          <t>Suggestion</t>
        </is>
      </c>
      <c r="C98" t="inlineStr">
        <is>
          <t>Enchantment</t>
        </is>
      </c>
      <c r="D98" t="inlineStr">
        <is>
          <t>PHB 2024</t>
        </is>
      </c>
      <c r="E98" t="inlineStr"/>
      <c r="F98">
        <f>A98*50</f>
        <v/>
      </c>
      <c r="G98">
        <f>IF(A98&lt;=4,1,2)</f>
        <v/>
      </c>
    </row>
    <row r="99">
      <c r="A99" t="n">
        <v>2</v>
      </c>
      <c r="B99" t="inlineStr">
        <is>
          <t>Tasha's Mind Whip</t>
        </is>
      </c>
      <c r="C99" t="inlineStr">
        <is>
          <t>Enchantment</t>
        </is>
      </c>
      <c r="D99" t="inlineStr">
        <is>
          <t>Tasha's Cauldron</t>
        </is>
      </c>
      <c r="E99" t="inlineStr"/>
      <c r="F99">
        <f>A99*50</f>
        <v/>
      </c>
      <c r="G99">
        <f>IF(A99&lt;=4,1,2)</f>
        <v/>
      </c>
    </row>
    <row r="100">
      <c r="A100" t="n">
        <v>2</v>
      </c>
      <c r="B100" t="inlineStr">
        <is>
          <t>Uncertain Footing</t>
        </is>
      </c>
      <c r="C100" t="inlineStr">
        <is>
          <t>Illusion</t>
        </is>
      </c>
      <c r="D100" t="inlineStr">
        <is>
          <t>Arcana Unleashed</t>
        </is>
      </c>
      <c r="E100" t="inlineStr"/>
      <c r="F100">
        <f>A100*50</f>
        <v/>
      </c>
      <c r="G100">
        <f>IF(A100&lt;=4,1,2)</f>
        <v/>
      </c>
    </row>
    <row r="101">
      <c r="A101" t="n">
        <v>2</v>
      </c>
      <c r="B101" t="inlineStr">
        <is>
          <t>Warding Wind</t>
        </is>
      </c>
      <c r="C101" t="inlineStr">
        <is>
          <t>Evocation</t>
        </is>
      </c>
      <c r="D101" t="inlineStr">
        <is>
          <t>Xanathar's Guide</t>
        </is>
      </c>
      <c r="E101" t="inlineStr"/>
      <c r="F101">
        <f>A101*50</f>
        <v/>
      </c>
      <c r="G101">
        <f>IF(A101&lt;=4,1,2)</f>
        <v/>
      </c>
    </row>
    <row r="102">
      <c r="A102" t="n">
        <v>2</v>
      </c>
      <c r="B102" t="inlineStr">
        <is>
          <t>Warp Sense</t>
        </is>
      </c>
      <c r="C102" t="inlineStr">
        <is>
          <t>Divination</t>
        </is>
      </c>
      <c r="D102" t="inlineStr">
        <is>
          <t>Planescape</t>
        </is>
      </c>
      <c r="E102" t="inlineStr"/>
      <c r="F102">
        <f>A102*50</f>
        <v/>
      </c>
      <c r="G102">
        <f>IF(A102&lt;=4,1,2)</f>
        <v/>
      </c>
    </row>
    <row r="103">
      <c r="A103" t="n">
        <v>2</v>
      </c>
      <c r="B103" t="inlineStr">
        <is>
          <t>Web</t>
        </is>
      </c>
      <c r="C103" t="inlineStr">
        <is>
          <t>Conjuration</t>
        </is>
      </c>
      <c r="D103" t="inlineStr">
        <is>
          <t>PHB 2024</t>
        </is>
      </c>
      <c r="E103" t="inlineStr"/>
      <c r="F103">
        <f>A103*50</f>
        <v/>
      </c>
      <c r="G103">
        <f>IF(A103&lt;=4,1,2)</f>
        <v/>
      </c>
    </row>
    <row r="104">
      <c r="A104" t="n">
        <v>2</v>
      </c>
      <c r="B104" t="inlineStr">
        <is>
          <t>Wither and Bloom</t>
        </is>
      </c>
      <c r="C104" t="inlineStr">
        <is>
          <t>Necromancy</t>
        </is>
      </c>
      <c r="D104" t="inlineStr">
        <is>
          <t>Arcana Unleashed</t>
        </is>
      </c>
      <c r="E104" t="inlineStr"/>
      <c r="F104">
        <f>A104*50</f>
        <v/>
      </c>
      <c r="G104">
        <f>IF(A104&lt;=4,1,2)</f>
        <v/>
      </c>
    </row>
    <row r="105">
      <c r="A105" t="n">
        <v>3</v>
      </c>
      <c r="B105" t="inlineStr">
        <is>
          <t>Animate Dead</t>
        </is>
      </c>
      <c r="C105" t="inlineStr">
        <is>
          <t>Necromancy</t>
        </is>
      </c>
      <c r="D105" t="inlineStr">
        <is>
          <t>PHB 2024</t>
        </is>
      </c>
      <c r="E105" t="inlineStr"/>
      <c r="F105">
        <f>A105*50</f>
        <v/>
      </c>
      <c r="G105">
        <f>IF(A105&lt;=4,1,2)</f>
        <v/>
      </c>
    </row>
    <row r="106">
      <c r="A106" t="n">
        <v>3</v>
      </c>
      <c r="B106" t="inlineStr">
        <is>
          <t>Antagonize</t>
        </is>
      </c>
      <c r="C106" t="inlineStr">
        <is>
          <t>Enchantment</t>
        </is>
      </c>
      <c r="D106" t="inlineStr">
        <is>
          <t>Book of Many Things</t>
        </is>
      </c>
      <c r="E106" t="inlineStr"/>
      <c r="F106">
        <f>A106*50</f>
        <v/>
      </c>
      <c r="G106">
        <f>IF(A106&lt;=4,1,2)</f>
        <v/>
      </c>
    </row>
    <row r="107">
      <c r="A107" t="n">
        <v>3</v>
      </c>
      <c r="B107" t="inlineStr">
        <is>
          <t>Ashardalon's Stride</t>
        </is>
      </c>
      <c r="C107" t="inlineStr">
        <is>
          <t>Transmutation</t>
        </is>
      </c>
      <c r="D107" t="inlineStr">
        <is>
          <t>Fizban's</t>
        </is>
      </c>
      <c r="E107" t="inlineStr"/>
      <c r="F107">
        <f>A107*50</f>
        <v/>
      </c>
      <c r="G107">
        <f>IF(A107&lt;=4,1,2)</f>
        <v/>
      </c>
    </row>
    <row r="108">
      <c r="A108" t="n">
        <v>3</v>
      </c>
      <c r="B108" t="inlineStr">
        <is>
          <t>Bestow Curse</t>
        </is>
      </c>
      <c r="C108" t="inlineStr">
        <is>
          <t>Necromancy</t>
        </is>
      </c>
      <c r="D108" t="inlineStr">
        <is>
          <t>PHB 2024</t>
        </is>
      </c>
      <c r="E108" t="inlineStr"/>
      <c r="F108">
        <f>A108*50</f>
        <v/>
      </c>
      <c r="G108">
        <f>IF(A108&lt;=4,1,2)</f>
        <v/>
      </c>
    </row>
    <row r="109">
      <c r="A109" t="n">
        <v>3</v>
      </c>
      <c r="B109" t="inlineStr">
        <is>
          <t>Blink</t>
        </is>
      </c>
      <c r="C109" t="inlineStr">
        <is>
          <t>Transmutation</t>
        </is>
      </c>
      <c r="D109" t="inlineStr">
        <is>
          <t>PHB 2024</t>
        </is>
      </c>
      <c r="E109" t="inlineStr"/>
      <c r="F109">
        <f>A109*50</f>
        <v/>
      </c>
      <c r="G109">
        <f>IF(A109&lt;=4,1,2)</f>
        <v/>
      </c>
    </row>
    <row r="110">
      <c r="A110" t="n">
        <v>3</v>
      </c>
      <c r="B110" t="inlineStr">
        <is>
          <t>Cacophonic Shield</t>
        </is>
      </c>
      <c r="C110" t="inlineStr">
        <is>
          <t>Evocation</t>
        </is>
      </c>
      <c r="D110" t="inlineStr">
        <is>
          <t>Heroes of Faerun</t>
        </is>
      </c>
      <c r="E110" t="inlineStr"/>
      <c r="F110">
        <f>A110*50</f>
        <v/>
      </c>
      <c r="G110">
        <f>IF(A110&lt;=4,1,2)</f>
        <v/>
      </c>
    </row>
    <row r="111">
      <c r="A111" t="n">
        <v>3</v>
      </c>
      <c r="B111" t="inlineStr">
        <is>
          <t>Catnap</t>
        </is>
      </c>
      <c r="C111" t="inlineStr">
        <is>
          <t>Enchantment</t>
        </is>
      </c>
      <c r="D111" t="inlineStr">
        <is>
          <t>Arcana Unleashed</t>
        </is>
      </c>
      <c r="E111" t="inlineStr"/>
      <c r="F111">
        <f>A111*50</f>
        <v/>
      </c>
      <c r="G111">
        <f>IF(A111&lt;=4,1,2)</f>
        <v/>
      </c>
    </row>
    <row r="112">
      <c r="A112" t="n">
        <v>3</v>
      </c>
      <c r="B112" t="inlineStr">
        <is>
          <t>Clairvoyance</t>
        </is>
      </c>
      <c r="C112" t="inlineStr">
        <is>
          <t>Divination</t>
        </is>
      </c>
      <c r="D112" t="inlineStr">
        <is>
          <t>PHB 2024</t>
        </is>
      </c>
      <c r="E112" t="inlineStr"/>
      <c r="F112">
        <f>A112*50</f>
        <v/>
      </c>
      <c r="G112">
        <f>IF(A112&lt;=4,1,2)</f>
        <v/>
      </c>
    </row>
    <row r="113">
      <c r="A113" t="n">
        <v>3</v>
      </c>
      <c r="B113" t="inlineStr">
        <is>
          <t>Conjure Constructs</t>
        </is>
      </c>
      <c r="C113" t="inlineStr">
        <is>
          <t>Conjuration</t>
        </is>
      </c>
      <c r="D113" t="inlineStr">
        <is>
          <t>Heroes of Faerun</t>
        </is>
      </c>
      <c r="E113" t="inlineStr"/>
      <c r="F113">
        <f>A113*50</f>
        <v/>
      </c>
      <c r="G113">
        <f>IF(A113&lt;=4,1,2)</f>
        <v/>
      </c>
    </row>
    <row r="114">
      <c r="A114" t="n">
        <v>3</v>
      </c>
      <c r="B114" t="inlineStr">
        <is>
          <t>Counterspell</t>
        </is>
      </c>
      <c r="C114" t="inlineStr">
        <is>
          <t>Abjuration</t>
        </is>
      </c>
      <c r="D114" t="inlineStr">
        <is>
          <t>PHB 2024</t>
        </is>
      </c>
      <c r="E114" t="inlineStr"/>
      <c r="F114">
        <f>A114*50</f>
        <v/>
      </c>
      <c r="G114">
        <f>IF(A114&lt;=4,1,2)</f>
        <v/>
      </c>
    </row>
    <row r="115">
      <c r="A115" t="n">
        <v>3</v>
      </c>
      <c r="B115" t="inlineStr">
        <is>
          <t>Dispel Magic</t>
        </is>
      </c>
      <c r="C115" t="inlineStr">
        <is>
          <t>Abjuration</t>
        </is>
      </c>
      <c r="D115" t="inlineStr">
        <is>
          <t>PHB 2024</t>
        </is>
      </c>
      <c r="E115" t="inlineStr"/>
      <c r="F115">
        <f>A115*50</f>
        <v/>
      </c>
      <c r="G115">
        <f>IF(A115&lt;=4,1,2)</f>
        <v/>
      </c>
    </row>
    <row r="116">
      <c r="A116" t="n">
        <v>3</v>
      </c>
      <c r="B116" t="inlineStr">
        <is>
          <t>Enemies Abound</t>
        </is>
      </c>
      <c r="C116" t="inlineStr">
        <is>
          <t>Enchantment</t>
        </is>
      </c>
      <c r="D116" t="inlineStr">
        <is>
          <t>Xanathar's Guide</t>
        </is>
      </c>
      <c r="E116" t="inlineStr"/>
      <c r="F116">
        <f>A116*50</f>
        <v/>
      </c>
      <c r="G116">
        <f>IF(A116&lt;=4,1,2)</f>
        <v/>
      </c>
    </row>
    <row r="117">
      <c r="A117" t="n">
        <v>3</v>
      </c>
      <c r="B117" t="inlineStr">
        <is>
          <t>Erupting Earth</t>
        </is>
      </c>
      <c r="C117" t="inlineStr">
        <is>
          <t>Transmutation</t>
        </is>
      </c>
      <c r="D117" t="inlineStr">
        <is>
          <t>Xanathar's Guide</t>
        </is>
      </c>
      <c r="E117" t="inlineStr"/>
      <c r="F117">
        <f>A117*50</f>
        <v/>
      </c>
      <c r="G117">
        <f>IF(A117&lt;=4,1,2)</f>
        <v/>
      </c>
    </row>
    <row r="118">
      <c r="A118" t="n">
        <v>3</v>
      </c>
      <c r="B118" t="inlineStr">
        <is>
          <t>Fear</t>
        </is>
      </c>
      <c r="C118" t="inlineStr">
        <is>
          <t>Illusion</t>
        </is>
      </c>
      <c r="D118" t="inlineStr">
        <is>
          <t>PHB 2024</t>
        </is>
      </c>
      <c r="E118" t="inlineStr"/>
      <c r="F118">
        <f>A118*50</f>
        <v/>
      </c>
      <c r="G118">
        <f>IF(A118&lt;=4,1,2)</f>
        <v/>
      </c>
    </row>
    <row r="119">
      <c r="A119" t="n">
        <v>3</v>
      </c>
      <c r="B119" t="inlineStr">
        <is>
          <t>Feign Death</t>
        </is>
      </c>
      <c r="C119" t="inlineStr">
        <is>
          <t>Necromancy</t>
        </is>
      </c>
      <c r="D119" t="inlineStr">
        <is>
          <t>PHB 2024</t>
        </is>
      </c>
      <c r="E119" t="inlineStr"/>
      <c r="F119">
        <f>A119*50</f>
        <v/>
      </c>
      <c r="G119">
        <f>IF(A119&lt;=4,1,2)</f>
        <v/>
      </c>
    </row>
    <row r="120">
      <c r="A120" t="n">
        <v>3</v>
      </c>
      <c r="B120" t="inlineStr">
        <is>
          <t>Fireball</t>
        </is>
      </c>
      <c r="C120" t="inlineStr">
        <is>
          <t>Evocation</t>
        </is>
      </c>
      <c r="D120" t="inlineStr">
        <is>
          <t>PHB 2024</t>
        </is>
      </c>
      <c r="E120" t="inlineStr"/>
      <c r="F120">
        <f>A120*50</f>
        <v/>
      </c>
      <c r="G120">
        <f>IF(A120&lt;=4,1,2)</f>
        <v/>
      </c>
    </row>
    <row r="121">
      <c r="A121" t="n">
        <v>3</v>
      </c>
      <c r="B121" t="inlineStr">
        <is>
          <t>Flame Arrows</t>
        </is>
      </c>
      <c r="C121" t="inlineStr">
        <is>
          <t>Transmutation</t>
        </is>
      </c>
      <c r="D121" t="inlineStr">
        <is>
          <t>Xanathar's Guide</t>
        </is>
      </c>
      <c r="E121" t="inlineStr"/>
      <c r="F121">
        <f>A121*50</f>
        <v/>
      </c>
      <c r="G121">
        <f>IF(A121&lt;=4,1,2)</f>
        <v/>
      </c>
    </row>
    <row r="122">
      <c r="A122" t="n">
        <v>3</v>
      </c>
      <c r="B122" t="inlineStr">
        <is>
          <t>Fly</t>
        </is>
      </c>
      <c r="C122" t="inlineStr">
        <is>
          <t>Transmutation</t>
        </is>
      </c>
      <c r="D122" t="inlineStr">
        <is>
          <t>PHB 2024</t>
        </is>
      </c>
      <c r="E122" t="inlineStr"/>
      <c r="F122">
        <f>A122*50</f>
        <v/>
      </c>
      <c r="G122">
        <f>IF(A122&lt;=4,1,2)</f>
        <v/>
      </c>
    </row>
    <row r="123">
      <c r="A123" t="n">
        <v>3</v>
      </c>
      <c r="B123" t="inlineStr">
        <is>
          <t>Galder's Tower</t>
        </is>
      </c>
      <c r="C123" t="inlineStr">
        <is>
          <t>Conjuration</t>
        </is>
      </c>
      <c r="D123" t="inlineStr">
        <is>
          <t>Kwalish</t>
        </is>
      </c>
      <c r="E123" t="inlineStr"/>
      <c r="F123">
        <f>A123*50</f>
        <v/>
      </c>
      <c r="G123">
        <f>IF(A123&lt;=4,1,2)</f>
        <v/>
      </c>
    </row>
    <row r="124">
      <c r="A124" t="n">
        <v>3</v>
      </c>
      <c r="B124" t="inlineStr">
        <is>
          <t>Gaseous Form</t>
        </is>
      </c>
      <c r="C124" t="inlineStr">
        <is>
          <t>Transmutation</t>
        </is>
      </c>
      <c r="D124" t="inlineStr">
        <is>
          <t>PHB 2024</t>
        </is>
      </c>
      <c r="E124" t="inlineStr"/>
      <c r="F124">
        <f>A124*50</f>
        <v/>
      </c>
      <c r="G124">
        <f>IF(A124&lt;=4,1,2)</f>
        <v/>
      </c>
    </row>
    <row r="125">
      <c r="A125" t="n">
        <v>3</v>
      </c>
      <c r="B125" t="inlineStr">
        <is>
          <t>Glyph of Warding</t>
        </is>
      </c>
      <c r="C125" t="inlineStr">
        <is>
          <t>Abjuration</t>
        </is>
      </c>
      <c r="D125" t="inlineStr">
        <is>
          <t>PHB 2024</t>
        </is>
      </c>
      <c r="E125" t="inlineStr"/>
      <c r="F125">
        <f>A125*50</f>
        <v/>
      </c>
      <c r="G125">
        <f>IF(A125&lt;=4,1,2)</f>
        <v/>
      </c>
    </row>
    <row r="126">
      <c r="A126" t="n">
        <v>3</v>
      </c>
      <c r="B126" t="inlineStr">
        <is>
          <t>Haste</t>
        </is>
      </c>
      <c r="C126" t="inlineStr">
        <is>
          <t>Transmutation</t>
        </is>
      </c>
      <c r="D126" t="inlineStr">
        <is>
          <t>PHB 2024</t>
        </is>
      </c>
      <c r="E126" t="inlineStr"/>
      <c r="F126">
        <f>A126*50</f>
        <v/>
      </c>
      <c r="G126">
        <f>IF(A126&lt;=4,1,2)</f>
        <v/>
      </c>
    </row>
    <row r="127">
      <c r="A127" t="n">
        <v>3</v>
      </c>
      <c r="B127" t="inlineStr">
        <is>
          <t>Hypnotic Pattern</t>
        </is>
      </c>
      <c r="C127" t="inlineStr">
        <is>
          <t>Illusion</t>
        </is>
      </c>
      <c r="D127" t="inlineStr">
        <is>
          <t>PHB 2024</t>
        </is>
      </c>
      <c r="E127" t="inlineStr"/>
      <c r="F127">
        <f>A127*50</f>
        <v/>
      </c>
      <c r="G127">
        <f>IF(A127&lt;=4,1,2)</f>
        <v/>
      </c>
    </row>
    <row r="128">
      <c r="A128" t="n">
        <v>3</v>
      </c>
      <c r="B128" t="inlineStr">
        <is>
          <t>Inflict Doubt</t>
        </is>
      </c>
      <c r="C128" t="inlineStr">
        <is>
          <t>Enchantment</t>
        </is>
      </c>
      <c r="D128" t="inlineStr">
        <is>
          <t>Arcana Unleashed</t>
        </is>
      </c>
      <c r="E128" t="inlineStr"/>
      <c r="F128">
        <f>A128*50</f>
        <v/>
      </c>
      <c r="G128">
        <f>IF(A128&lt;=4,1,2)</f>
        <v/>
      </c>
    </row>
    <row r="129">
      <c r="A129" t="n">
        <v>3</v>
      </c>
      <c r="B129" t="inlineStr">
        <is>
          <t>Intellect Fortress</t>
        </is>
      </c>
      <c r="C129" t="inlineStr">
        <is>
          <t>Abjuration</t>
        </is>
      </c>
      <c r="D129" t="inlineStr">
        <is>
          <t>Tasha's Cauldron</t>
        </is>
      </c>
      <c r="E129" t="inlineStr"/>
      <c r="F129">
        <f>A129*50</f>
        <v/>
      </c>
      <c r="G129">
        <f>IF(A129&lt;=4,1,2)</f>
        <v/>
      </c>
    </row>
    <row r="130">
      <c r="A130" t="n">
        <v>3</v>
      </c>
      <c r="B130" t="inlineStr">
        <is>
          <t>Laeral's Silver Lance</t>
        </is>
      </c>
      <c r="C130" t="inlineStr">
        <is>
          <t>Evocation</t>
        </is>
      </c>
      <c r="D130" t="inlineStr">
        <is>
          <t>Heroes of Faerun</t>
        </is>
      </c>
      <c r="E130" t="inlineStr"/>
      <c r="F130">
        <f>A130*50</f>
        <v/>
      </c>
      <c r="G130">
        <f>IF(A130&lt;=4,1,2)</f>
        <v/>
      </c>
    </row>
    <row r="131">
      <c r="A131" t="n">
        <v>3</v>
      </c>
      <c r="B131" t="inlineStr">
        <is>
          <t>Leomund's Tiny Hut</t>
        </is>
      </c>
      <c r="C131" t="inlineStr">
        <is>
          <t>Evocation</t>
        </is>
      </c>
      <c r="D131" t="inlineStr">
        <is>
          <t>PHB 2024</t>
        </is>
      </c>
      <c r="E131" t="inlineStr"/>
      <c r="F131">
        <f>A131*50</f>
        <v/>
      </c>
      <c r="G131">
        <f>IF(A131&lt;=4,1,2)</f>
        <v/>
      </c>
    </row>
    <row r="132">
      <c r="A132" t="n">
        <v>3</v>
      </c>
      <c r="B132" t="inlineStr">
        <is>
          <t>Life Transference</t>
        </is>
      </c>
      <c r="C132" t="inlineStr">
        <is>
          <t>Necromancy</t>
        </is>
      </c>
      <c r="D132" t="inlineStr">
        <is>
          <t>Xanathar's Guide</t>
        </is>
      </c>
      <c r="E132" t="inlineStr"/>
      <c r="F132">
        <f>A132*50</f>
        <v/>
      </c>
      <c r="G132">
        <f>IF(A132&lt;=4,1,2)</f>
        <v/>
      </c>
    </row>
    <row r="133">
      <c r="A133" t="n">
        <v>3</v>
      </c>
      <c r="B133" t="inlineStr">
        <is>
          <t>Lightning Bolt</t>
        </is>
      </c>
      <c r="C133" t="inlineStr">
        <is>
          <t>Evocation</t>
        </is>
      </c>
      <c r="D133" t="inlineStr">
        <is>
          <t>PHB 2024</t>
        </is>
      </c>
      <c r="E133" t="inlineStr"/>
      <c r="F133">
        <f>A133*50</f>
        <v/>
      </c>
      <c r="G133">
        <f>IF(A133&lt;=4,1,2)</f>
        <v/>
      </c>
    </row>
    <row r="134">
      <c r="A134" t="n">
        <v>3</v>
      </c>
      <c r="B134" t="inlineStr">
        <is>
          <t>Magic Circle</t>
        </is>
      </c>
      <c r="C134" t="inlineStr">
        <is>
          <t>Abjuration</t>
        </is>
      </c>
      <c r="D134" t="inlineStr">
        <is>
          <t>PHB 2024</t>
        </is>
      </c>
      <c r="E134" t="inlineStr"/>
      <c r="F134">
        <f>A134*50</f>
        <v/>
      </c>
      <c r="G134">
        <f>IF(A134&lt;=4,1,2)</f>
        <v/>
      </c>
    </row>
    <row r="135">
      <c r="A135" t="n">
        <v>3</v>
      </c>
      <c r="B135" t="inlineStr">
        <is>
          <t>Major Image</t>
        </is>
      </c>
      <c r="C135" t="inlineStr">
        <is>
          <t>Illusion</t>
        </is>
      </c>
      <c r="D135" t="inlineStr">
        <is>
          <t>PHB 2024</t>
        </is>
      </c>
      <c r="E135" t="inlineStr"/>
      <c r="F135">
        <f>A135*50</f>
        <v/>
      </c>
      <c r="G135">
        <f>IF(A135&lt;=4,1,2)</f>
        <v/>
      </c>
    </row>
    <row r="136">
      <c r="A136" t="n">
        <v>3</v>
      </c>
      <c r="B136" t="inlineStr">
        <is>
          <t>Melf's Minute Meteors</t>
        </is>
      </c>
      <c r="C136" t="inlineStr">
        <is>
          <t>Evocation</t>
        </is>
      </c>
      <c r="D136" t="inlineStr">
        <is>
          <t>Xanathar's Guide</t>
        </is>
      </c>
      <c r="E136" t="inlineStr"/>
      <c r="F136">
        <f>A136*50</f>
        <v/>
      </c>
      <c r="G136">
        <f>IF(A136&lt;=4,1,2)</f>
        <v/>
      </c>
    </row>
    <row r="137">
      <c r="A137" t="n">
        <v>3</v>
      </c>
      <c r="B137" t="inlineStr">
        <is>
          <t>Nondetection</t>
        </is>
      </c>
      <c r="C137" t="inlineStr">
        <is>
          <t>Abjuration</t>
        </is>
      </c>
      <c r="D137" t="inlineStr">
        <is>
          <t>PHB 2024</t>
        </is>
      </c>
      <c r="E137" t="inlineStr"/>
      <c r="F137">
        <f>A137*50</f>
        <v/>
      </c>
      <c r="G137">
        <f>IF(A137&lt;=4,1,2)</f>
        <v/>
      </c>
    </row>
    <row r="138">
      <c r="A138" t="n">
        <v>3</v>
      </c>
      <c r="B138" t="inlineStr">
        <is>
          <t>Phantom Steed</t>
        </is>
      </c>
      <c r="C138" t="inlineStr">
        <is>
          <t>Illusion</t>
        </is>
      </c>
      <c r="D138" t="inlineStr">
        <is>
          <t>PHB 2024</t>
        </is>
      </c>
      <c r="E138" t="inlineStr"/>
      <c r="F138">
        <f>A138*50</f>
        <v/>
      </c>
      <c r="G138">
        <f>IF(A138&lt;=4,1,2)</f>
        <v/>
      </c>
    </row>
    <row r="139">
      <c r="A139" t="n">
        <v>3</v>
      </c>
      <c r="B139" t="inlineStr">
        <is>
          <t>Protection from Energy</t>
        </is>
      </c>
      <c r="C139" t="inlineStr">
        <is>
          <t>Abjuration</t>
        </is>
      </c>
      <c r="D139" t="inlineStr">
        <is>
          <t>PHB 2024</t>
        </is>
      </c>
      <c r="E139" t="inlineStr"/>
      <c r="F139">
        <f>A139*50</f>
        <v/>
      </c>
      <c r="G139">
        <f>IF(A139&lt;=4,1,2)</f>
        <v/>
      </c>
    </row>
    <row r="140">
      <c r="A140" t="n">
        <v>3</v>
      </c>
      <c r="B140" t="inlineStr">
        <is>
          <t>Remove Curse</t>
        </is>
      </c>
      <c r="C140" t="inlineStr">
        <is>
          <t>Abjuration</t>
        </is>
      </c>
      <c r="D140" t="inlineStr">
        <is>
          <t>PHB 2024</t>
        </is>
      </c>
      <c r="E140" t="inlineStr"/>
      <c r="F140">
        <f>A140*50</f>
        <v/>
      </c>
      <c r="G140">
        <f>IF(A140&lt;=4,1,2)</f>
        <v/>
      </c>
    </row>
    <row r="141">
      <c r="A141" t="n">
        <v>3</v>
      </c>
      <c r="B141" t="inlineStr">
        <is>
          <t>Sending</t>
        </is>
      </c>
      <c r="C141" t="inlineStr">
        <is>
          <t>Divination</t>
        </is>
      </c>
      <c r="D141" t="inlineStr">
        <is>
          <t>PHB 2024</t>
        </is>
      </c>
      <c r="E141" t="inlineStr"/>
      <c r="F141">
        <f>A141*50</f>
        <v/>
      </c>
      <c r="G141">
        <f>IF(A141&lt;=4,1,2)</f>
        <v/>
      </c>
    </row>
    <row r="142">
      <c r="A142" t="n">
        <v>3</v>
      </c>
      <c r="B142" t="inlineStr">
        <is>
          <t>Sleet Storm</t>
        </is>
      </c>
      <c r="C142" t="inlineStr">
        <is>
          <t>Conjuration</t>
        </is>
      </c>
      <c r="D142" t="inlineStr">
        <is>
          <t>PHB 2024</t>
        </is>
      </c>
      <c r="E142" t="inlineStr"/>
      <c r="F142">
        <f>A142*50</f>
        <v/>
      </c>
      <c r="G142">
        <f>IF(A142&lt;=4,1,2)</f>
        <v/>
      </c>
    </row>
    <row r="143">
      <c r="A143" t="n">
        <v>3</v>
      </c>
      <c r="B143" t="inlineStr">
        <is>
          <t>Slow</t>
        </is>
      </c>
      <c r="C143" t="inlineStr">
        <is>
          <t>Transmutation</t>
        </is>
      </c>
      <c r="D143" t="inlineStr">
        <is>
          <t>PHB 2024</t>
        </is>
      </c>
      <c r="E143" t="inlineStr"/>
      <c r="F143">
        <f>A143*50</f>
        <v/>
      </c>
      <c r="G143">
        <f>IF(A143&lt;=4,1,2)</f>
        <v/>
      </c>
    </row>
    <row r="144">
      <c r="A144" t="n">
        <v>3</v>
      </c>
      <c r="B144" t="inlineStr">
        <is>
          <t>Speak with Dead</t>
        </is>
      </c>
      <c r="C144" t="inlineStr">
        <is>
          <t>Necromancy</t>
        </is>
      </c>
      <c r="D144" t="inlineStr">
        <is>
          <t>PHB 2024</t>
        </is>
      </c>
      <c r="E144" t="inlineStr"/>
      <c r="F144">
        <f>A144*50</f>
        <v/>
      </c>
      <c r="G144">
        <f>IF(A144&lt;=4,1,2)</f>
        <v/>
      </c>
    </row>
    <row r="145">
      <c r="A145" t="n">
        <v>3</v>
      </c>
      <c r="B145" t="inlineStr">
        <is>
          <t>Spirit Shroud</t>
        </is>
      </c>
      <c r="C145" t="inlineStr">
        <is>
          <t>Necromancy</t>
        </is>
      </c>
      <c r="D145" t="inlineStr">
        <is>
          <t>Tasha's Cauldron</t>
        </is>
      </c>
      <c r="E145" t="inlineStr"/>
      <c r="F145">
        <f>A145*50</f>
        <v/>
      </c>
      <c r="G145">
        <f>IF(A145&lt;=4,1,2)</f>
        <v/>
      </c>
    </row>
    <row r="146">
      <c r="A146" t="n">
        <v>3</v>
      </c>
      <c r="B146" t="inlineStr">
        <is>
          <t>Stinking Cloud</t>
        </is>
      </c>
      <c r="C146" t="inlineStr">
        <is>
          <t>Conjuration</t>
        </is>
      </c>
      <c r="D146" t="inlineStr">
        <is>
          <t>PHB 2024</t>
        </is>
      </c>
      <c r="E146" t="inlineStr"/>
      <c r="F146">
        <f>A146*50</f>
        <v/>
      </c>
      <c r="G146">
        <f>IF(A146&lt;=4,1,2)</f>
        <v/>
      </c>
    </row>
    <row r="147">
      <c r="A147" t="n">
        <v>3</v>
      </c>
      <c r="B147" t="inlineStr">
        <is>
          <t>Summon Fey</t>
        </is>
      </c>
      <c r="C147" t="inlineStr">
        <is>
          <t>Conjuration</t>
        </is>
      </c>
      <c r="D147" t="inlineStr">
        <is>
          <t>PHB 2024</t>
        </is>
      </c>
      <c r="E147" t="inlineStr"/>
      <c r="F147">
        <f>A147*50</f>
        <v/>
      </c>
      <c r="G147">
        <f>IF(A147&lt;=4,1,2)</f>
        <v/>
      </c>
    </row>
    <row r="148">
      <c r="A148" t="n">
        <v>3</v>
      </c>
      <c r="B148" t="inlineStr">
        <is>
          <t>Summon Lesser Demons</t>
        </is>
      </c>
      <c r="C148" t="inlineStr">
        <is>
          <t>Conjuration</t>
        </is>
      </c>
      <c r="D148" t="inlineStr">
        <is>
          <t>Xanathar's Guide</t>
        </is>
      </c>
      <c r="E148" t="inlineStr"/>
      <c r="F148">
        <f>A148*50</f>
        <v/>
      </c>
      <c r="G148">
        <f>IF(A148&lt;=4,1,2)</f>
        <v/>
      </c>
    </row>
    <row r="149">
      <c r="A149" t="n">
        <v>3</v>
      </c>
      <c r="B149" t="inlineStr">
        <is>
          <t>Summon Shadowspawn</t>
        </is>
      </c>
      <c r="C149" t="inlineStr">
        <is>
          <t>Conjuration</t>
        </is>
      </c>
      <c r="D149" t="inlineStr">
        <is>
          <t>Tasha's Cauldron</t>
        </is>
      </c>
      <c r="E149" t="inlineStr"/>
      <c r="F149">
        <f>A149*50</f>
        <v/>
      </c>
      <c r="G149">
        <f>IF(A149&lt;=4,1,2)</f>
        <v/>
      </c>
    </row>
    <row r="150">
      <c r="A150" t="n">
        <v>3</v>
      </c>
      <c r="B150" t="inlineStr">
        <is>
          <t>Summon Undead</t>
        </is>
      </c>
      <c r="C150" t="inlineStr">
        <is>
          <t>Necromancy</t>
        </is>
      </c>
      <c r="D150" t="inlineStr">
        <is>
          <t>PHB 2024</t>
        </is>
      </c>
      <c r="E150" t="inlineStr"/>
      <c r="F150">
        <f>A150*50</f>
        <v/>
      </c>
      <c r="G150">
        <f>IF(A150&lt;=4,1,2)</f>
        <v/>
      </c>
    </row>
    <row r="151">
      <c r="A151" t="n">
        <v>3</v>
      </c>
      <c r="B151" t="inlineStr">
        <is>
          <t>Syluné’s Viper</t>
        </is>
      </c>
      <c r="C151" t="inlineStr">
        <is>
          <t>Conjuration</t>
        </is>
      </c>
      <c r="D151" t="inlineStr">
        <is>
          <t>Heroes of Faerun</t>
        </is>
      </c>
      <c r="E151" t="inlineStr"/>
      <c r="F151">
        <f>A151*50</f>
        <v/>
      </c>
      <c r="G151">
        <f>IF(A151&lt;=4,1,2)</f>
        <v/>
      </c>
    </row>
    <row r="152">
      <c r="A152" t="n">
        <v>3</v>
      </c>
      <c r="B152" t="inlineStr">
        <is>
          <t>Thunder Step</t>
        </is>
      </c>
      <c r="C152" t="inlineStr">
        <is>
          <t>Conjuration</t>
        </is>
      </c>
      <c r="D152" t="inlineStr">
        <is>
          <t>Xanathar's Guide</t>
        </is>
      </c>
      <c r="E152" t="inlineStr"/>
      <c r="F152">
        <f>A152*50</f>
        <v/>
      </c>
      <c r="G152">
        <f>IF(A152&lt;=4,1,2)</f>
        <v/>
      </c>
    </row>
    <row r="153">
      <c r="A153" t="n">
        <v>3</v>
      </c>
      <c r="B153" t="inlineStr">
        <is>
          <t>Tidal Wave</t>
        </is>
      </c>
      <c r="C153" t="inlineStr">
        <is>
          <t>Conjuration</t>
        </is>
      </c>
      <c r="D153" t="inlineStr">
        <is>
          <t>Xanathar's Guide</t>
        </is>
      </c>
      <c r="E153" t="inlineStr"/>
      <c r="F153">
        <f>A153*50</f>
        <v/>
      </c>
      <c r="G153">
        <f>IF(A153&lt;=4,1,2)</f>
        <v/>
      </c>
    </row>
    <row r="154">
      <c r="A154" t="n">
        <v>3</v>
      </c>
      <c r="B154" t="inlineStr">
        <is>
          <t>Tiny Servant</t>
        </is>
      </c>
      <c r="C154" t="inlineStr">
        <is>
          <t>Transmutation</t>
        </is>
      </c>
      <c r="D154" t="inlineStr">
        <is>
          <t>Xanathar's Guide</t>
        </is>
      </c>
      <c r="E154" t="inlineStr"/>
      <c r="F154">
        <f>A154*50</f>
        <v/>
      </c>
      <c r="G154">
        <f>IF(A154&lt;=4,1,2)</f>
        <v/>
      </c>
    </row>
    <row r="155">
      <c r="A155" t="n">
        <v>3</v>
      </c>
      <c r="B155" t="inlineStr">
        <is>
          <t>Tongues</t>
        </is>
      </c>
      <c r="C155" t="inlineStr">
        <is>
          <t>Divination</t>
        </is>
      </c>
      <c r="D155" t="inlineStr">
        <is>
          <t>PHB 2024</t>
        </is>
      </c>
      <c r="E155" t="inlineStr"/>
      <c r="F155">
        <f>A155*50</f>
        <v/>
      </c>
      <c r="G155">
        <f>IF(A155&lt;=4,1,2)</f>
        <v/>
      </c>
    </row>
    <row r="156">
      <c r="A156" t="n">
        <v>3</v>
      </c>
      <c r="B156" t="inlineStr">
        <is>
          <t>Vampiric Touch</t>
        </is>
      </c>
      <c r="C156" t="inlineStr">
        <is>
          <t>Necromancy</t>
        </is>
      </c>
      <c r="D156" t="inlineStr">
        <is>
          <t>PHB 2024</t>
        </is>
      </c>
      <c r="E156" t="inlineStr"/>
      <c r="F156">
        <f>A156*50</f>
        <v/>
      </c>
      <c r="G156">
        <f>IF(A156&lt;=4,1,2)</f>
        <v/>
      </c>
    </row>
    <row r="157">
      <c r="A157" t="n">
        <v>3</v>
      </c>
      <c r="B157" t="inlineStr">
        <is>
          <t>Wall of Sand</t>
        </is>
      </c>
      <c r="C157" t="inlineStr">
        <is>
          <t>Evocation</t>
        </is>
      </c>
      <c r="D157" t="inlineStr">
        <is>
          <t>Xanathar's Guide</t>
        </is>
      </c>
      <c r="E157" t="inlineStr"/>
      <c r="F157">
        <f>A157*50</f>
        <v/>
      </c>
      <c r="G157">
        <f>IF(A157&lt;=4,1,2)</f>
        <v/>
      </c>
    </row>
    <row r="158">
      <c r="A158" t="n">
        <v>3</v>
      </c>
      <c r="B158" t="inlineStr">
        <is>
          <t>Wall of Water</t>
        </is>
      </c>
      <c r="C158" t="inlineStr">
        <is>
          <t>Evocation</t>
        </is>
      </c>
      <c r="D158" t="inlineStr">
        <is>
          <t>Xanathar's Guide</t>
        </is>
      </c>
      <c r="E158" t="inlineStr"/>
      <c r="F158">
        <f>A158*50</f>
        <v/>
      </c>
      <c r="G158">
        <f>IF(A158&lt;=4,1,2)</f>
        <v/>
      </c>
    </row>
    <row r="159">
      <c r="A159" t="n">
        <v>3</v>
      </c>
      <c r="B159" t="inlineStr">
        <is>
          <t>Water Breathing</t>
        </is>
      </c>
      <c r="C159" t="inlineStr">
        <is>
          <t>Transmutation</t>
        </is>
      </c>
      <c r="D159" t="inlineStr">
        <is>
          <t>PHB 2024</t>
        </is>
      </c>
      <c r="E159" t="inlineStr"/>
      <c r="F159">
        <f>A159*50</f>
        <v/>
      </c>
      <c r="G159">
        <f>IF(A159&lt;=4,1,2)</f>
        <v/>
      </c>
    </row>
    <row r="160">
      <c r="A160" t="n">
        <v>4</v>
      </c>
      <c r="B160" t="inlineStr">
        <is>
          <t>Arcane Eye</t>
        </is>
      </c>
      <c r="C160" t="inlineStr">
        <is>
          <t>Divination</t>
        </is>
      </c>
      <c r="D160" t="inlineStr">
        <is>
          <t>PHB 2024</t>
        </is>
      </c>
      <c r="E160" t="inlineStr"/>
      <c r="F160">
        <f>A160*50</f>
        <v/>
      </c>
      <c r="G160">
        <f>IF(A160&lt;=4,1,2)</f>
        <v/>
      </c>
    </row>
    <row r="161">
      <c r="A161" t="n">
        <v>4</v>
      </c>
      <c r="B161" t="inlineStr">
        <is>
          <t>Backlash</t>
        </is>
      </c>
      <c r="C161" t="inlineStr">
        <is>
          <t>Abjuration</t>
        </is>
      </c>
      <c r="D161" t="inlineStr">
        <is>
          <t>Heroes of Faerun</t>
        </is>
      </c>
      <c r="E161" t="inlineStr"/>
      <c r="F161">
        <f>A161*50</f>
        <v/>
      </c>
      <c r="G161">
        <f>IF(A161&lt;=4,1,2)</f>
        <v/>
      </c>
    </row>
    <row r="162">
      <c r="A162" t="n">
        <v>4</v>
      </c>
      <c r="B162" t="inlineStr">
        <is>
          <t>Banishment</t>
        </is>
      </c>
      <c r="C162" t="inlineStr">
        <is>
          <t>Abjuration</t>
        </is>
      </c>
      <c r="D162" t="inlineStr">
        <is>
          <t>PHB 2024</t>
        </is>
      </c>
      <c r="E162" t="inlineStr"/>
      <c r="F162">
        <f>A162*50</f>
        <v/>
      </c>
      <c r="G162">
        <f>IF(A162&lt;=4,1,2)</f>
        <v/>
      </c>
    </row>
    <row r="163">
      <c r="A163" t="n">
        <v>4</v>
      </c>
      <c r="B163" t="inlineStr">
        <is>
          <t>Blight</t>
        </is>
      </c>
      <c r="C163" t="inlineStr">
        <is>
          <t>Necromancy</t>
        </is>
      </c>
      <c r="D163" t="inlineStr">
        <is>
          <t>PHB 2024</t>
        </is>
      </c>
      <c r="E163" t="inlineStr"/>
      <c r="F163">
        <f>A163*50</f>
        <v/>
      </c>
      <c r="G163">
        <f>IF(A163&lt;=4,1,2)</f>
        <v/>
      </c>
    </row>
    <row r="164">
      <c r="A164" t="n">
        <v>4</v>
      </c>
      <c r="B164" t="inlineStr">
        <is>
          <t>Charm Monster</t>
        </is>
      </c>
      <c r="C164" t="inlineStr">
        <is>
          <t>Enchantment</t>
        </is>
      </c>
      <c r="D164" t="inlineStr">
        <is>
          <t>PHB 2024</t>
        </is>
      </c>
      <c r="E164" t="inlineStr"/>
      <c r="F164">
        <f>A164*50</f>
        <v/>
      </c>
      <c r="G164">
        <f>IF(A164&lt;=4,1,2)</f>
        <v/>
      </c>
    </row>
    <row r="165">
      <c r="A165" t="n">
        <v>4</v>
      </c>
      <c r="B165" t="inlineStr">
        <is>
          <t>Confusion</t>
        </is>
      </c>
      <c r="C165" t="inlineStr">
        <is>
          <t>Enchantment</t>
        </is>
      </c>
      <c r="D165" t="inlineStr">
        <is>
          <t>PHB 2024</t>
        </is>
      </c>
      <c r="E165" t="inlineStr"/>
      <c r="F165">
        <f>A165*50</f>
        <v/>
      </c>
      <c r="G165">
        <f>IF(A165&lt;=4,1,2)</f>
        <v/>
      </c>
    </row>
    <row r="166">
      <c r="A166" t="n">
        <v>4</v>
      </c>
      <c r="B166" t="inlineStr">
        <is>
          <t>Conjure Minor Elementals</t>
        </is>
      </c>
      <c r="C166" t="inlineStr">
        <is>
          <t>Conjuration</t>
        </is>
      </c>
      <c r="D166" t="inlineStr">
        <is>
          <t>PHB 2024</t>
        </is>
      </c>
      <c r="E166" t="inlineStr"/>
      <c r="F166">
        <f>A166*50</f>
        <v/>
      </c>
      <c r="G166">
        <f>IF(A166&lt;=4,1,2)</f>
        <v/>
      </c>
    </row>
    <row r="167">
      <c r="A167" t="n">
        <v>4</v>
      </c>
      <c r="B167" t="inlineStr">
        <is>
          <t>Control Water</t>
        </is>
      </c>
      <c r="C167" t="inlineStr">
        <is>
          <t>Transmutation</t>
        </is>
      </c>
      <c r="D167" t="inlineStr">
        <is>
          <t>PHB 2024</t>
        </is>
      </c>
      <c r="E167" t="inlineStr"/>
      <c r="F167">
        <f>A167*50</f>
        <v/>
      </c>
      <c r="G167">
        <f>IF(A167&lt;=4,1,2)</f>
        <v/>
      </c>
    </row>
    <row r="168">
      <c r="A168" t="n">
        <v>4</v>
      </c>
      <c r="B168" t="inlineStr">
        <is>
          <t>Dimension Door</t>
        </is>
      </c>
      <c r="C168" t="inlineStr">
        <is>
          <t>Conjuration</t>
        </is>
      </c>
      <c r="D168" t="inlineStr">
        <is>
          <t>PHB 2024</t>
        </is>
      </c>
      <c r="E168" t="inlineStr"/>
      <c r="F168">
        <f>A168*50</f>
        <v/>
      </c>
      <c r="G168">
        <f>IF(A168&lt;=4,1,2)</f>
        <v/>
      </c>
    </row>
    <row r="169">
      <c r="A169" t="n">
        <v>4</v>
      </c>
      <c r="B169" t="inlineStr">
        <is>
          <t>Distorted Distance</t>
        </is>
      </c>
      <c r="C169" t="inlineStr">
        <is>
          <t>Illusion</t>
        </is>
      </c>
      <c r="D169" t="inlineStr">
        <is>
          <t>Arcana Unleashed</t>
        </is>
      </c>
      <c r="E169" t="inlineStr"/>
      <c r="F169">
        <f>A169*50</f>
        <v/>
      </c>
      <c r="G169">
        <f>IF(A169&lt;=4,1,2)</f>
        <v/>
      </c>
    </row>
    <row r="170">
      <c r="A170" t="n">
        <v>4</v>
      </c>
      <c r="B170" t="inlineStr">
        <is>
          <t>Divination</t>
        </is>
      </c>
      <c r="C170" t="inlineStr">
        <is>
          <t>Divination</t>
        </is>
      </c>
      <c r="D170" t="inlineStr">
        <is>
          <t>PHB 2024</t>
        </is>
      </c>
      <c r="E170" t="inlineStr"/>
      <c r="F170">
        <f>A170*50</f>
        <v/>
      </c>
      <c r="G170">
        <f>IF(A170&lt;=4,1,2)</f>
        <v/>
      </c>
    </row>
    <row r="171">
      <c r="A171" t="n">
        <v>4</v>
      </c>
      <c r="B171" t="inlineStr">
        <is>
          <t>Elemental Bane</t>
        </is>
      </c>
      <c r="C171" t="inlineStr">
        <is>
          <t>Transmutation</t>
        </is>
      </c>
      <c r="D171" t="inlineStr">
        <is>
          <t>Xanathar's Guide</t>
        </is>
      </c>
      <c r="E171" t="inlineStr"/>
      <c r="F171">
        <f>A171*50</f>
        <v/>
      </c>
      <c r="G171">
        <f>IF(A171&lt;=4,1,2)</f>
        <v/>
      </c>
    </row>
    <row r="172">
      <c r="A172" t="n">
        <v>4</v>
      </c>
      <c r="B172" t="inlineStr">
        <is>
          <t>Evard's Black Tentacles</t>
        </is>
      </c>
      <c r="C172" t="inlineStr">
        <is>
          <t>Conjuration</t>
        </is>
      </c>
      <c r="D172" t="inlineStr">
        <is>
          <t>PHB 2024</t>
        </is>
      </c>
      <c r="E172" t="inlineStr"/>
      <c r="F172">
        <f>A172*50</f>
        <v/>
      </c>
      <c r="G172">
        <f>IF(A172&lt;=4,1,2)</f>
        <v/>
      </c>
    </row>
    <row r="173">
      <c r="A173" t="n">
        <v>4</v>
      </c>
      <c r="B173" t="inlineStr">
        <is>
          <t>Fabricate</t>
        </is>
      </c>
      <c r="C173" t="inlineStr">
        <is>
          <t>Transmutation</t>
        </is>
      </c>
      <c r="D173" t="inlineStr">
        <is>
          <t>PHB 2024</t>
        </is>
      </c>
      <c r="E173" t="inlineStr"/>
      <c r="F173">
        <f>A173*50</f>
        <v/>
      </c>
      <c r="G173">
        <f>IF(A173&lt;=4,1,2)</f>
        <v/>
      </c>
    </row>
    <row r="174">
      <c r="A174" t="n">
        <v>4</v>
      </c>
      <c r="B174" t="inlineStr">
        <is>
          <t>Festering Blast</t>
        </is>
      </c>
      <c r="C174" t="inlineStr">
        <is>
          <t>Necromancy</t>
        </is>
      </c>
      <c r="D174" t="inlineStr">
        <is>
          <t>Arcana Unleashed</t>
        </is>
      </c>
      <c r="E174" t="inlineStr"/>
      <c r="F174">
        <f>A174*50</f>
        <v/>
      </c>
      <c r="G174">
        <f>IF(A174&lt;=4,1,2)</f>
        <v/>
      </c>
    </row>
    <row r="175">
      <c r="A175" t="n">
        <v>4</v>
      </c>
      <c r="B175" t="inlineStr">
        <is>
          <t>Fire Shield</t>
        </is>
      </c>
      <c r="C175" t="inlineStr">
        <is>
          <t>Evocation</t>
        </is>
      </c>
      <c r="D175" t="inlineStr">
        <is>
          <t>PHB 2024</t>
        </is>
      </c>
      <c r="E175" t="inlineStr"/>
      <c r="F175">
        <f>A175*50</f>
        <v/>
      </c>
      <c r="G175">
        <f>IF(A175&lt;=4,1,2)</f>
        <v/>
      </c>
    </row>
    <row r="176">
      <c r="A176" t="n">
        <v>4</v>
      </c>
      <c r="B176" t="inlineStr">
        <is>
          <t>Galder's Speedy Courier</t>
        </is>
      </c>
      <c r="C176" t="inlineStr">
        <is>
          <t>Conjuration</t>
        </is>
      </c>
      <c r="D176" t="inlineStr">
        <is>
          <t>Kwalish</t>
        </is>
      </c>
      <c r="E176" t="inlineStr"/>
      <c r="F176">
        <f>A176*50</f>
        <v/>
      </c>
      <c r="G176">
        <f>IF(A176&lt;=4,1,2)</f>
        <v/>
      </c>
    </row>
    <row r="177">
      <c r="A177" t="n">
        <v>4</v>
      </c>
      <c r="B177" t="inlineStr">
        <is>
          <t>Gate Seal</t>
        </is>
      </c>
      <c r="C177" t="inlineStr">
        <is>
          <t>Abjuration</t>
        </is>
      </c>
      <c r="D177" t="inlineStr">
        <is>
          <t>Planescape</t>
        </is>
      </c>
      <c r="E177" t="inlineStr"/>
      <c r="F177">
        <f>A177*50</f>
        <v/>
      </c>
      <c r="G177">
        <f>IF(A177&lt;=4,1,2)</f>
        <v/>
      </c>
    </row>
    <row r="178">
      <c r="A178" t="n">
        <v>4</v>
      </c>
      <c r="B178" t="inlineStr">
        <is>
          <t>Greater Invisibility</t>
        </is>
      </c>
      <c r="C178" t="inlineStr">
        <is>
          <t>Illusion</t>
        </is>
      </c>
      <c r="D178" t="inlineStr">
        <is>
          <t>PHB 2024</t>
        </is>
      </c>
      <c r="E178" t="inlineStr"/>
      <c r="F178">
        <f>A178*50</f>
        <v/>
      </c>
      <c r="G178">
        <f>IF(A178&lt;=4,1,2)</f>
        <v/>
      </c>
    </row>
    <row r="179">
      <c r="A179" t="n">
        <v>4</v>
      </c>
      <c r="B179" t="inlineStr">
        <is>
          <t>Hallucinatory Terrain</t>
        </is>
      </c>
      <c r="C179" t="inlineStr">
        <is>
          <t>Illusion</t>
        </is>
      </c>
      <c r="D179" t="inlineStr">
        <is>
          <t>PHB 2024</t>
        </is>
      </c>
      <c r="E179" t="inlineStr"/>
      <c r="F179">
        <f>A179*50</f>
        <v/>
      </c>
      <c r="G179">
        <f>IF(A179&lt;=4,1,2)</f>
        <v/>
      </c>
    </row>
    <row r="180">
      <c r="A180" t="n">
        <v>4</v>
      </c>
      <c r="B180" t="inlineStr">
        <is>
          <t>Ice Storm</t>
        </is>
      </c>
      <c r="C180" t="inlineStr">
        <is>
          <t>Evocation</t>
        </is>
      </c>
      <c r="D180" t="inlineStr">
        <is>
          <t>PHB 2024</t>
        </is>
      </c>
      <c r="E180" t="inlineStr"/>
      <c r="F180">
        <f>A180*50</f>
        <v/>
      </c>
      <c r="G180">
        <f>IF(A180&lt;=4,1,2)</f>
        <v/>
      </c>
    </row>
    <row r="181">
      <c r="A181" t="n">
        <v>4</v>
      </c>
      <c r="B181" t="inlineStr">
        <is>
          <t>Leomund's Secret Chest</t>
        </is>
      </c>
      <c r="C181" t="inlineStr">
        <is>
          <t>Conjuration</t>
        </is>
      </c>
      <c r="D181" t="inlineStr">
        <is>
          <t>PHB 2024</t>
        </is>
      </c>
      <c r="E181" t="inlineStr"/>
      <c r="F181">
        <f>A181*50</f>
        <v/>
      </c>
      <c r="G181">
        <f>IF(A181&lt;=4,1,2)</f>
        <v/>
      </c>
    </row>
    <row r="182">
      <c r="A182" t="n">
        <v>4</v>
      </c>
      <c r="B182" t="inlineStr">
        <is>
          <t>Locate Creature</t>
        </is>
      </c>
      <c r="C182" t="inlineStr">
        <is>
          <t>Divination</t>
        </is>
      </c>
      <c r="D182" t="inlineStr">
        <is>
          <t>PHB 2024</t>
        </is>
      </c>
      <c r="E182" t="inlineStr"/>
      <c r="F182">
        <f>A182*50</f>
        <v/>
      </c>
      <c r="G182">
        <f>IF(A182&lt;=4,1,2)</f>
        <v/>
      </c>
    </row>
    <row r="183">
      <c r="A183" t="n">
        <v>4</v>
      </c>
      <c r="B183" t="inlineStr">
        <is>
          <t>Mordenkainen's Faithful Hound</t>
        </is>
      </c>
      <c r="C183" t="inlineStr">
        <is>
          <t>Conjuration</t>
        </is>
      </c>
      <c r="D183" t="inlineStr">
        <is>
          <t>PHB 2024</t>
        </is>
      </c>
      <c r="E183" t="inlineStr"/>
      <c r="F183">
        <f>A183*50</f>
        <v/>
      </c>
      <c r="G183">
        <f>IF(A183&lt;=4,1,2)</f>
        <v/>
      </c>
    </row>
    <row r="184">
      <c r="A184" t="n">
        <v>4</v>
      </c>
      <c r="B184" t="inlineStr">
        <is>
          <t>Mordenkainen's Private Sanctum</t>
        </is>
      </c>
      <c r="C184" t="inlineStr">
        <is>
          <t>Abjuration</t>
        </is>
      </c>
      <c r="D184" t="inlineStr">
        <is>
          <t>PHB 2024</t>
        </is>
      </c>
      <c r="E184" t="inlineStr"/>
      <c r="F184">
        <f>A184*50</f>
        <v/>
      </c>
      <c r="G184">
        <f>IF(A184&lt;=4,1,2)</f>
        <v/>
      </c>
    </row>
    <row r="185">
      <c r="A185" t="n">
        <v>4</v>
      </c>
      <c r="B185" t="inlineStr">
        <is>
          <t>Otiluke's Resilient Sphere</t>
        </is>
      </c>
      <c r="C185" t="inlineStr">
        <is>
          <t>Abjuration</t>
        </is>
      </c>
      <c r="D185" t="inlineStr">
        <is>
          <t>PHB 2024</t>
        </is>
      </c>
      <c r="E185" t="inlineStr"/>
      <c r="F185">
        <f>A185*50</f>
        <v/>
      </c>
      <c r="G185">
        <f>IF(A185&lt;=4,1,2)</f>
        <v/>
      </c>
    </row>
    <row r="186">
      <c r="A186" t="n">
        <v>4</v>
      </c>
      <c r="B186" t="inlineStr">
        <is>
          <t>Phantasmal Killer</t>
        </is>
      </c>
      <c r="C186" t="inlineStr">
        <is>
          <t>Illusion</t>
        </is>
      </c>
      <c r="D186" t="inlineStr">
        <is>
          <t>PHB 2024</t>
        </is>
      </c>
      <c r="E186" t="inlineStr"/>
      <c r="F186">
        <f>A186*50</f>
        <v/>
      </c>
      <c r="G186">
        <f>IF(A186&lt;=4,1,2)</f>
        <v/>
      </c>
    </row>
    <row r="187">
      <c r="A187" t="n">
        <v>4</v>
      </c>
      <c r="B187" t="inlineStr">
        <is>
          <t>Polymorph</t>
        </is>
      </c>
      <c r="C187" t="inlineStr">
        <is>
          <t>Transmutation</t>
        </is>
      </c>
      <c r="D187" t="inlineStr">
        <is>
          <t>PHB 2024</t>
        </is>
      </c>
      <c r="E187" t="inlineStr"/>
      <c r="F187">
        <f>A187*50</f>
        <v/>
      </c>
      <c r="G187">
        <f>IF(A187&lt;=4,1,2)</f>
        <v/>
      </c>
    </row>
    <row r="188">
      <c r="A188" t="n">
        <v>4</v>
      </c>
      <c r="B188" t="inlineStr">
        <is>
          <t>Raulothim's Psychic Lance</t>
        </is>
      </c>
      <c r="C188" t="inlineStr">
        <is>
          <t>Enchantment</t>
        </is>
      </c>
      <c r="D188" t="inlineStr">
        <is>
          <t>Fizban's</t>
        </is>
      </c>
      <c r="E188" t="inlineStr"/>
      <c r="F188">
        <f>A188*50</f>
        <v/>
      </c>
      <c r="G188">
        <f>IF(A188&lt;=4,1,2)</f>
        <v/>
      </c>
    </row>
    <row r="189">
      <c r="A189" t="n">
        <v>4</v>
      </c>
      <c r="B189" t="inlineStr">
        <is>
          <t>Sickening Radiance</t>
        </is>
      </c>
      <c r="C189" t="inlineStr">
        <is>
          <t>Evocation</t>
        </is>
      </c>
      <c r="D189" t="inlineStr">
        <is>
          <t>Xanathar's Guide</t>
        </is>
      </c>
      <c r="E189" t="inlineStr"/>
      <c r="F189">
        <f>A189*50</f>
        <v/>
      </c>
      <c r="G189">
        <f>IF(A189&lt;=4,1,2)</f>
        <v/>
      </c>
    </row>
    <row r="190">
      <c r="A190" t="n">
        <v>4</v>
      </c>
      <c r="B190" t="inlineStr">
        <is>
          <t>Spellfire Storm</t>
        </is>
      </c>
      <c r="C190" t="inlineStr">
        <is>
          <t>Evocation</t>
        </is>
      </c>
      <c r="D190" t="inlineStr">
        <is>
          <t>Heroes of Faerun</t>
        </is>
      </c>
      <c r="E190" t="inlineStr"/>
      <c r="F190">
        <f>A190*50</f>
        <v/>
      </c>
      <c r="G190">
        <f>IF(A190&lt;=4,1,2)</f>
        <v/>
      </c>
    </row>
    <row r="191">
      <c r="A191" t="n">
        <v>4</v>
      </c>
      <c r="B191" t="inlineStr">
        <is>
          <t>Spirit of Death</t>
        </is>
      </c>
      <c r="C191" t="inlineStr">
        <is>
          <t>Necromancy</t>
        </is>
      </c>
      <c r="D191" t="inlineStr">
        <is>
          <t>Book of Many Things</t>
        </is>
      </c>
      <c r="E191" t="inlineStr"/>
      <c r="F191">
        <f>A191*50</f>
        <v/>
      </c>
      <c r="G191">
        <f>IF(A191&lt;=4,1,2)</f>
        <v/>
      </c>
    </row>
    <row r="192">
      <c r="A192" t="n">
        <v>4</v>
      </c>
      <c r="B192" t="inlineStr">
        <is>
          <t>Stone Shape</t>
        </is>
      </c>
      <c r="C192" t="inlineStr">
        <is>
          <t>Transmutation</t>
        </is>
      </c>
      <c r="D192" t="inlineStr">
        <is>
          <t>PHB 2024</t>
        </is>
      </c>
      <c r="E192" t="inlineStr"/>
      <c r="F192">
        <f>A192*50</f>
        <v/>
      </c>
      <c r="G192">
        <f>IF(A192&lt;=4,1,2)</f>
        <v/>
      </c>
    </row>
    <row r="193">
      <c r="A193" t="n">
        <v>4</v>
      </c>
      <c r="B193" t="inlineStr">
        <is>
          <t>Stoneskin</t>
        </is>
      </c>
      <c r="C193" t="inlineStr">
        <is>
          <t>Transmutation</t>
        </is>
      </c>
      <c r="D193" t="inlineStr">
        <is>
          <t>PHB 2024</t>
        </is>
      </c>
      <c r="E193" t="inlineStr"/>
      <c r="F193">
        <f>A193*50</f>
        <v/>
      </c>
      <c r="G193">
        <f>IF(A193&lt;=4,1,2)</f>
        <v/>
      </c>
    </row>
    <row r="194">
      <c r="A194" t="n">
        <v>4</v>
      </c>
      <c r="B194" t="inlineStr">
        <is>
          <t>Storm Sphere</t>
        </is>
      </c>
      <c r="C194" t="inlineStr">
        <is>
          <t>Evocation</t>
        </is>
      </c>
      <c r="D194" t="inlineStr">
        <is>
          <t>Xanathar's Guide</t>
        </is>
      </c>
      <c r="E194" t="inlineStr"/>
      <c r="F194">
        <f>A194*50</f>
        <v/>
      </c>
      <c r="G194">
        <f>IF(A194&lt;=4,1,2)</f>
        <v/>
      </c>
    </row>
    <row r="195">
      <c r="A195" t="n">
        <v>4</v>
      </c>
      <c r="B195" t="inlineStr">
        <is>
          <t>Summon Aberration</t>
        </is>
      </c>
      <c r="C195" t="inlineStr">
        <is>
          <t>Conjuration</t>
        </is>
      </c>
      <c r="D195" t="inlineStr">
        <is>
          <t>PHB 2024</t>
        </is>
      </c>
      <c r="E195" t="inlineStr"/>
      <c r="F195">
        <f>A195*50</f>
        <v/>
      </c>
      <c r="G195">
        <f>IF(A195&lt;=4,1,2)</f>
        <v/>
      </c>
    </row>
    <row r="196">
      <c r="A196" t="n">
        <v>4</v>
      </c>
      <c r="B196" t="inlineStr">
        <is>
          <t>Summon Construct</t>
        </is>
      </c>
      <c r="C196" t="inlineStr">
        <is>
          <t>Conjuration</t>
        </is>
      </c>
      <c r="D196" t="inlineStr">
        <is>
          <t>PHB 2024</t>
        </is>
      </c>
      <c r="E196" t="inlineStr"/>
      <c r="F196">
        <f>A196*50</f>
        <v/>
      </c>
      <c r="G196">
        <f>IF(A196&lt;=4,1,2)</f>
        <v/>
      </c>
    </row>
    <row r="197">
      <c r="A197" t="n">
        <v>4</v>
      </c>
      <c r="B197" t="inlineStr">
        <is>
          <t>Summon Elemental</t>
        </is>
      </c>
      <c r="C197" t="inlineStr">
        <is>
          <t>Conjuration</t>
        </is>
      </c>
      <c r="D197" t="inlineStr">
        <is>
          <t>PHB 2024</t>
        </is>
      </c>
      <c r="E197" t="inlineStr"/>
      <c r="F197">
        <f>A197*50</f>
        <v/>
      </c>
      <c r="G197">
        <f>IF(A197&lt;=4,1,2)</f>
        <v/>
      </c>
    </row>
    <row r="198">
      <c r="A198" t="n">
        <v>4</v>
      </c>
      <c r="B198" t="inlineStr">
        <is>
          <t>Summon Greater Demon</t>
        </is>
      </c>
      <c r="C198" t="inlineStr">
        <is>
          <t>Conjuration</t>
        </is>
      </c>
      <c r="D198" t="inlineStr">
        <is>
          <t>Xanathar's Guide</t>
        </is>
      </c>
      <c r="E198" t="inlineStr"/>
      <c r="F198">
        <f>A198*50</f>
        <v/>
      </c>
      <c r="G198">
        <f>IF(A198&lt;=4,1,2)</f>
        <v/>
      </c>
    </row>
    <row r="199">
      <c r="A199" t="n">
        <v>4</v>
      </c>
      <c r="B199" t="inlineStr">
        <is>
          <t>Vitriolic Sphere</t>
        </is>
      </c>
      <c r="C199" t="inlineStr">
        <is>
          <t>Evocation</t>
        </is>
      </c>
      <c r="D199" t="inlineStr">
        <is>
          <t>PHB 2024</t>
        </is>
      </c>
      <c r="E199" t="inlineStr"/>
      <c r="F199">
        <f>A199*50</f>
        <v/>
      </c>
      <c r="G199">
        <f>IF(A199&lt;=4,1,2)</f>
        <v/>
      </c>
    </row>
    <row r="200">
      <c r="A200" t="n">
        <v>4</v>
      </c>
      <c r="B200" t="inlineStr">
        <is>
          <t>Wall of Fire</t>
        </is>
      </c>
      <c r="C200" t="inlineStr">
        <is>
          <t>Evocation</t>
        </is>
      </c>
      <c r="D200" t="inlineStr">
        <is>
          <t>PHB 2024</t>
        </is>
      </c>
      <c r="E200" t="inlineStr"/>
      <c r="F200">
        <f>A200*50</f>
        <v/>
      </c>
      <c r="G200">
        <f>IF(A200&lt;=4,1,2)</f>
        <v/>
      </c>
    </row>
    <row r="201">
      <c r="A201" t="n">
        <v>4</v>
      </c>
      <c r="B201" t="inlineStr">
        <is>
          <t>Watery Sphere</t>
        </is>
      </c>
      <c r="C201" t="inlineStr">
        <is>
          <t>Conjuration</t>
        </is>
      </c>
      <c r="D201" t="inlineStr">
        <is>
          <t>Xanathar's Guide</t>
        </is>
      </c>
      <c r="E201" t="inlineStr"/>
      <c r="F201">
        <f>A201*50</f>
        <v/>
      </c>
      <c r="G201">
        <f>IF(A201&lt;=4,1,2)</f>
        <v/>
      </c>
    </row>
    <row r="202">
      <c r="A202" t="n">
        <v>5</v>
      </c>
      <c r="B202" t="inlineStr">
        <is>
          <t>Alustriel's Mooncloak</t>
        </is>
      </c>
      <c r="C202" t="inlineStr">
        <is>
          <t>Abjuration</t>
        </is>
      </c>
      <c r="D202" t="inlineStr">
        <is>
          <t>Heroes of Faerun</t>
        </is>
      </c>
      <c r="E202" t="inlineStr"/>
      <c r="F202">
        <f>A202*50</f>
        <v/>
      </c>
      <c r="G202">
        <f>IF(A202&lt;=4,1,2)</f>
        <v/>
      </c>
    </row>
    <row r="203">
      <c r="A203" t="n">
        <v>5</v>
      </c>
      <c r="B203" t="inlineStr">
        <is>
          <t>Animate Objects</t>
        </is>
      </c>
      <c r="C203" t="inlineStr">
        <is>
          <t>Transmutation</t>
        </is>
      </c>
      <c r="D203" t="inlineStr">
        <is>
          <t>PHB 2024</t>
        </is>
      </c>
      <c r="E203" t="inlineStr"/>
      <c r="F203">
        <f>A203*50</f>
        <v/>
      </c>
      <c r="G203">
        <f>IF(A203&lt;=4,1,2)</f>
        <v/>
      </c>
    </row>
    <row r="204">
      <c r="A204" t="n">
        <v>5</v>
      </c>
      <c r="B204" t="inlineStr">
        <is>
          <t>Bigby's Hand</t>
        </is>
      </c>
      <c r="C204" t="inlineStr">
        <is>
          <t>Evocation</t>
        </is>
      </c>
      <c r="D204" t="inlineStr">
        <is>
          <t>PHB 2024</t>
        </is>
      </c>
      <c r="E204" t="inlineStr"/>
      <c r="F204">
        <f>A204*50</f>
        <v/>
      </c>
      <c r="G204">
        <f>IF(A204&lt;=4,1,2)</f>
        <v/>
      </c>
    </row>
    <row r="205">
      <c r="A205" t="n">
        <v>5</v>
      </c>
      <c r="B205" t="inlineStr">
        <is>
          <t>Circle of Power</t>
        </is>
      </c>
      <c r="C205" t="inlineStr">
        <is>
          <t>Abjuration</t>
        </is>
      </c>
      <c r="D205" t="inlineStr">
        <is>
          <t>PHB 2024</t>
        </is>
      </c>
      <c r="E205" t="inlineStr"/>
      <c r="F205">
        <f>A205*50</f>
        <v/>
      </c>
      <c r="G205">
        <f>IF(A205&lt;=4,1,2)</f>
        <v/>
      </c>
    </row>
    <row r="206">
      <c r="A206" t="n">
        <v>5</v>
      </c>
      <c r="B206" t="inlineStr">
        <is>
          <t>Cloudkill</t>
        </is>
      </c>
      <c r="C206" t="inlineStr">
        <is>
          <t>Conjuration</t>
        </is>
      </c>
      <c r="D206" t="inlineStr">
        <is>
          <t>PHB 2024</t>
        </is>
      </c>
      <c r="E206" t="inlineStr"/>
      <c r="F206">
        <f>A206*50</f>
        <v/>
      </c>
      <c r="G206">
        <f>IF(A206&lt;=4,1,2)</f>
        <v/>
      </c>
    </row>
    <row r="207">
      <c r="A207" t="n">
        <v>5</v>
      </c>
      <c r="B207" t="inlineStr">
        <is>
          <t>Cone of Cold</t>
        </is>
      </c>
      <c r="C207" t="inlineStr">
        <is>
          <t>Evocation</t>
        </is>
      </c>
      <c r="D207" t="inlineStr">
        <is>
          <t>PHB 2024</t>
        </is>
      </c>
      <c r="E207" t="inlineStr"/>
      <c r="F207">
        <f>A207*50</f>
        <v/>
      </c>
      <c r="G207">
        <f>IF(A207&lt;=4,1,2)</f>
        <v/>
      </c>
    </row>
    <row r="208">
      <c r="A208" t="n">
        <v>5</v>
      </c>
      <c r="B208" t="inlineStr">
        <is>
          <t>Conjure Elemental</t>
        </is>
      </c>
      <c r="C208" t="inlineStr">
        <is>
          <t>Conjuration</t>
        </is>
      </c>
      <c r="D208" t="inlineStr">
        <is>
          <t>PHB 2024</t>
        </is>
      </c>
      <c r="E208" t="inlineStr"/>
      <c r="F208">
        <f>A208*50</f>
        <v/>
      </c>
      <c r="G208">
        <f>IF(A208&lt;=4,1,2)</f>
        <v/>
      </c>
    </row>
    <row r="209">
      <c r="A209" t="n">
        <v>5</v>
      </c>
      <c r="B209" t="inlineStr">
        <is>
          <t>Contact Other Plane</t>
        </is>
      </c>
      <c r="C209" t="inlineStr">
        <is>
          <t>Divination</t>
        </is>
      </c>
      <c r="D209" t="inlineStr">
        <is>
          <t>PHB 2024</t>
        </is>
      </c>
      <c r="E209" t="inlineStr"/>
      <c r="F209">
        <f>A209*50</f>
        <v/>
      </c>
      <c r="G209">
        <f>IF(A209&lt;=4,1,2)</f>
        <v/>
      </c>
    </row>
    <row r="210">
      <c r="A210" t="n">
        <v>5</v>
      </c>
      <c r="B210" t="inlineStr">
        <is>
          <t>Control Winds</t>
        </is>
      </c>
      <c r="C210" t="inlineStr">
        <is>
          <t>Transmutation</t>
        </is>
      </c>
      <c r="D210" t="inlineStr">
        <is>
          <t>Xanathar's Guide</t>
        </is>
      </c>
      <c r="E210" t="inlineStr"/>
      <c r="F210">
        <f>A210*50</f>
        <v/>
      </c>
      <c r="G210">
        <f>IF(A210&lt;=4,1,2)</f>
        <v/>
      </c>
    </row>
    <row r="211">
      <c r="A211" t="n">
        <v>5</v>
      </c>
      <c r="B211" t="inlineStr">
        <is>
          <t>Create Spelljamming Helm</t>
        </is>
      </c>
      <c r="C211" t="inlineStr">
        <is>
          <t>Transmutation</t>
        </is>
      </c>
      <c r="D211" t="inlineStr">
        <is>
          <t>Spelljammer</t>
        </is>
      </c>
      <c r="E211" t="inlineStr"/>
      <c r="F211">
        <f>A211*50</f>
        <v/>
      </c>
      <c r="G211">
        <f>IF(A211&lt;=4,1,2)</f>
        <v/>
      </c>
    </row>
    <row r="212">
      <c r="A212" t="n">
        <v>5</v>
      </c>
      <c r="B212" t="inlineStr">
        <is>
          <t>Creation</t>
        </is>
      </c>
      <c r="C212" t="inlineStr">
        <is>
          <t>Illusion</t>
        </is>
      </c>
      <c r="D212" t="inlineStr">
        <is>
          <t>PHB 2024</t>
        </is>
      </c>
      <c r="E212" t="inlineStr"/>
      <c r="F212">
        <f>A212*50</f>
        <v/>
      </c>
      <c r="G212">
        <f>IF(A212&lt;=4,1,2)</f>
        <v/>
      </c>
    </row>
    <row r="213">
      <c r="A213" t="n">
        <v>5</v>
      </c>
      <c r="B213" t="inlineStr">
        <is>
          <t>Danse Macabre</t>
        </is>
      </c>
      <c r="C213" t="inlineStr">
        <is>
          <t>Necromancy</t>
        </is>
      </c>
      <c r="D213" t="inlineStr">
        <is>
          <t>Xanathar's Guide</t>
        </is>
      </c>
      <c r="E213" t="inlineStr"/>
      <c r="F213">
        <f>A213*50</f>
        <v/>
      </c>
      <c r="G213">
        <f>IF(A213&lt;=4,1,2)</f>
        <v/>
      </c>
    </row>
    <row r="214">
      <c r="A214" t="n">
        <v>5</v>
      </c>
      <c r="B214" t="inlineStr">
        <is>
          <t>Dawn</t>
        </is>
      </c>
      <c r="C214" t="inlineStr">
        <is>
          <t>Evocation</t>
        </is>
      </c>
      <c r="D214" t="inlineStr">
        <is>
          <t>Xanathar's Guide</t>
        </is>
      </c>
      <c r="E214" t="inlineStr"/>
      <c r="F214">
        <f>A214*50</f>
        <v/>
      </c>
      <c r="G214">
        <f>IF(A214&lt;=4,1,2)</f>
        <v/>
      </c>
    </row>
    <row r="215">
      <c r="A215" t="n">
        <v>5</v>
      </c>
      <c r="B215" t="inlineStr">
        <is>
          <t>Dominate Person</t>
        </is>
      </c>
      <c r="C215" t="inlineStr">
        <is>
          <t>Enchantment</t>
        </is>
      </c>
      <c r="D215" t="inlineStr">
        <is>
          <t>PHB 2024</t>
        </is>
      </c>
      <c r="E215" t="inlineStr"/>
      <c r="F215">
        <f>A215*50</f>
        <v/>
      </c>
      <c r="G215">
        <f>IF(A215&lt;=4,1,2)</f>
        <v/>
      </c>
    </row>
    <row r="216">
      <c r="A216" t="n">
        <v>5</v>
      </c>
      <c r="B216" t="inlineStr">
        <is>
          <t>Dream</t>
        </is>
      </c>
      <c r="C216" t="inlineStr">
        <is>
          <t>Illusion</t>
        </is>
      </c>
      <c r="D216" t="inlineStr">
        <is>
          <t>PHB 2024</t>
        </is>
      </c>
      <c r="E216" t="inlineStr"/>
      <c r="F216">
        <f>A216*50</f>
        <v/>
      </c>
      <c r="G216">
        <f>IF(A216&lt;=4,1,2)</f>
        <v/>
      </c>
    </row>
    <row r="217">
      <c r="A217" t="n">
        <v>5</v>
      </c>
      <c r="B217" t="inlineStr">
        <is>
          <t>Enervation</t>
        </is>
      </c>
      <c r="C217" t="inlineStr">
        <is>
          <t>Necromancy</t>
        </is>
      </c>
      <c r="D217" t="inlineStr">
        <is>
          <t>Arcana Unleashed</t>
        </is>
      </c>
      <c r="E217" t="inlineStr"/>
      <c r="F217">
        <f>A217*50</f>
        <v/>
      </c>
      <c r="G217">
        <f>IF(A217&lt;=4,1,2)</f>
        <v/>
      </c>
    </row>
    <row r="218">
      <c r="A218" t="n">
        <v>5</v>
      </c>
      <c r="B218" t="inlineStr">
        <is>
          <t>Far Step</t>
        </is>
      </c>
      <c r="C218" t="inlineStr">
        <is>
          <t>Conjuration</t>
        </is>
      </c>
      <c r="D218" t="inlineStr">
        <is>
          <t>Xanathar's Guide</t>
        </is>
      </c>
      <c r="E218" t="inlineStr"/>
      <c r="F218">
        <f>A218*50</f>
        <v/>
      </c>
      <c r="G218">
        <f>IF(A218&lt;=4,1,2)</f>
        <v/>
      </c>
    </row>
    <row r="219">
      <c r="A219" t="n">
        <v>5</v>
      </c>
      <c r="B219" t="inlineStr">
        <is>
          <t>Geas</t>
        </is>
      </c>
      <c r="C219" t="inlineStr">
        <is>
          <t>Enchantment</t>
        </is>
      </c>
      <c r="D219" t="inlineStr">
        <is>
          <t>PHB 2024</t>
        </is>
      </c>
      <c r="E219" t="inlineStr"/>
      <c r="F219">
        <f>A219*50</f>
        <v/>
      </c>
      <c r="G219">
        <f>IF(A219&lt;=4,1,2)</f>
        <v/>
      </c>
    </row>
    <row r="220">
      <c r="A220" t="n">
        <v>5</v>
      </c>
      <c r="B220" t="inlineStr">
        <is>
          <t>Grave Ground</t>
        </is>
      </c>
      <c r="C220" t="inlineStr">
        <is>
          <t>Necromancy</t>
        </is>
      </c>
      <c r="D220" t="inlineStr">
        <is>
          <t>Arcana Unleashed</t>
        </is>
      </c>
      <c r="E220" t="inlineStr"/>
      <c r="F220">
        <f>A220*50</f>
        <v/>
      </c>
      <c r="G220">
        <f>IF(A220&lt;=4,1,2)</f>
        <v/>
      </c>
    </row>
    <row r="221">
      <c r="A221" t="n">
        <v>5</v>
      </c>
      <c r="B221" t="inlineStr">
        <is>
          <t>Hold Monster</t>
        </is>
      </c>
      <c r="C221" t="inlineStr">
        <is>
          <t>Enchantment</t>
        </is>
      </c>
      <c r="D221" t="inlineStr">
        <is>
          <t>PHB 2024</t>
        </is>
      </c>
      <c r="E221" t="inlineStr"/>
      <c r="F221">
        <f>A221*50</f>
        <v/>
      </c>
      <c r="G221">
        <f>IF(A221&lt;=4,1,2)</f>
        <v/>
      </c>
    </row>
    <row r="222">
      <c r="A222" t="n">
        <v>5</v>
      </c>
      <c r="B222" t="inlineStr">
        <is>
          <t>Immolation</t>
        </is>
      </c>
      <c r="C222" t="inlineStr">
        <is>
          <t>Evocation</t>
        </is>
      </c>
      <c r="D222" t="inlineStr">
        <is>
          <t>Xanathar's Guide</t>
        </is>
      </c>
      <c r="E222" t="inlineStr"/>
      <c r="F222">
        <f>A222*50</f>
        <v/>
      </c>
      <c r="G222">
        <f>IF(A222&lt;=4,1,2)</f>
        <v/>
      </c>
    </row>
    <row r="223">
      <c r="A223" t="n">
        <v>5</v>
      </c>
      <c r="B223" t="inlineStr">
        <is>
          <t>Infernal Calling</t>
        </is>
      </c>
      <c r="C223" t="inlineStr">
        <is>
          <t>Conjuration</t>
        </is>
      </c>
      <c r="D223" t="inlineStr">
        <is>
          <t>Xanathar's Guide</t>
        </is>
      </c>
      <c r="E223" t="inlineStr"/>
      <c r="F223">
        <f>A223*50</f>
        <v/>
      </c>
      <c r="G223">
        <f>IF(A223&lt;=4,1,2)</f>
        <v/>
      </c>
    </row>
    <row r="224">
      <c r="A224" t="n">
        <v>5</v>
      </c>
      <c r="B224" t="inlineStr">
        <is>
          <t>Jallarzi's Storm of Radiance</t>
        </is>
      </c>
      <c r="C224" t="inlineStr">
        <is>
          <t>Evocation</t>
        </is>
      </c>
      <c r="D224" t="inlineStr">
        <is>
          <t>PHB 2024</t>
        </is>
      </c>
      <c r="E224" t="inlineStr"/>
      <c r="F224">
        <f>A224*50</f>
        <v/>
      </c>
      <c r="G224">
        <f>IF(A224&lt;=4,1,2)</f>
        <v/>
      </c>
    </row>
    <row r="225">
      <c r="A225" t="n">
        <v>5</v>
      </c>
      <c r="B225" t="inlineStr">
        <is>
          <t>Legend Lore</t>
        </is>
      </c>
      <c r="C225" t="inlineStr">
        <is>
          <t>Divination</t>
        </is>
      </c>
      <c r="D225" t="inlineStr">
        <is>
          <t>PHB 2024</t>
        </is>
      </c>
      <c r="E225" t="inlineStr"/>
      <c r="F225">
        <f>A225*50</f>
        <v/>
      </c>
      <c r="G225">
        <f>IF(A225&lt;=4,1,2)</f>
        <v/>
      </c>
    </row>
    <row r="226">
      <c r="A226" t="n">
        <v>5</v>
      </c>
      <c r="B226" t="inlineStr">
        <is>
          <t>Mislead</t>
        </is>
      </c>
      <c r="C226" t="inlineStr">
        <is>
          <t>Illusion</t>
        </is>
      </c>
      <c r="D226" t="inlineStr">
        <is>
          <t>PHB 2024</t>
        </is>
      </c>
      <c r="E226" t="inlineStr"/>
      <c r="F226">
        <f>A226*50</f>
        <v/>
      </c>
      <c r="G226">
        <f>IF(A226&lt;=4,1,2)</f>
        <v/>
      </c>
    </row>
    <row r="227">
      <c r="A227" t="n">
        <v>5</v>
      </c>
      <c r="B227" t="inlineStr">
        <is>
          <t>Modify Memory</t>
        </is>
      </c>
      <c r="C227" t="inlineStr">
        <is>
          <t>Enchantment</t>
        </is>
      </c>
      <c r="D227" t="inlineStr">
        <is>
          <t>PHB 2024</t>
        </is>
      </c>
      <c r="E227" t="inlineStr"/>
      <c r="F227">
        <f>A227*50</f>
        <v/>
      </c>
      <c r="G227">
        <f>IF(A227&lt;=4,1,2)</f>
        <v/>
      </c>
    </row>
    <row r="228">
      <c r="A228" t="n">
        <v>5</v>
      </c>
      <c r="B228" t="inlineStr">
        <is>
          <t>Mordenkainen’s Lucubration</t>
        </is>
      </c>
      <c r="C228" t="inlineStr">
        <is>
          <t>Divination</t>
        </is>
      </c>
      <c r="D228" t="inlineStr">
        <is>
          <t>Arcana Unleashed</t>
        </is>
      </c>
      <c r="E228" t="inlineStr"/>
      <c r="F228">
        <f>A228*50</f>
        <v/>
      </c>
      <c r="G228">
        <f>IF(A228&lt;=4,1,2)</f>
        <v/>
      </c>
    </row>
    <row r="229">
      <c r="A229" t="n">
        <v>5</v>
      </c>
      <c r="B229" t="inlineStr">
        <is>
          <t>Negative Energy Flood</t>
        </is>
      </c>
      <c r="C229" t="inlineStr">
        <is>
          <t>Necromancy</t>
        </is>
      </c>
      <c r="D229" t="inlineStr">
        <is>
          <t>Arcana Unleashed</t>
        </is>
      </c>
      <c r="E229" t="inlineStr"/>
      <c r="F229">
        <f>A229*50</f>
        <v/>
      </c>
      <c r="G229">
        <f>IF(A229&lt;=4,1,2)</f>
        <v/>
      </c>
    </row>
    <row r="230">
      <c r="A230" t="n">
        <v>5</v>
      </c>
      <c r="B230" t="inlineStr">
        <is>
          <t>Passwall</t>
        </is>
      </c>
      <c r="C230" t="inlineStr">
        <is>
          <t>Transmutation</t>
        </is>
      </c>
      <c r="D230" t="inlineStr">
        <is>
          <t>PHB 2024</t>
        </is>
      </c>
      <c r="E230" t="inlineStr"/>
      <c r="F230">
        <f>A230*50</f>
        <v/>
      </c>
      <c r="G230">
        <f>IF(A230&lt;=4,1,2)</f>
        <v/>
      </c>
    </row>
    <row r="231">
      <c r="A231" t="n">
        <v>5</v>
      </c>
      <c r="B231" t="inlineStr">
        <is>
          <t>Planar Binding</t>
        </is>
      </c>
      <c r="C231" t="inlineStr">
        <is>
          <t>Abjuration</t>
        </is>
      </c>
      <c r="D231" t="inlineStr">
        <is>
          <t>PHB 2024</t>
        </is>
      </c>
      <c r="E231" t="inlineStr"/>
      <c r="F231">
        <f>A231*50</f>
        <v/>
      </c>
      <c r="G231">
        <f>IF(A231&lt;=4,1,2)</f>
        <v/>
      </c>
    </row>
    <row r="232">
      <c r="A232" t="n">
        <v>5</v>
      </c>
      <c r="B232" t="inlineStr">
        <is>
          <t>Rary's Telepathic Bond</t>
        </is>
      </c>
      <c r="C232" t="inlineStr">
        <is>
          <t>Divination</t>
        </is>
      </c>
      <c r="D232" t="inlineStr">
        <is>
          <t>PHB 2024</t>
        </is>
      </c>
      <c r="E232" t="inlineStr"/>
      <c r="F232">
        <f>A232*50</f>
        <v/>
      </c>
      <c r="G232">
        <f>IF(A232&lt;=4,1,2)</f>
        <v/>
      </c>
    </row>
    <row r="233">
      <c r="A233" t="n">
        <v>5</v>
      </c>
      <c r="B233" t="inlineStr">
        <is>
          <t>Scrying</t>
        </is>
      </c>
      <c r="C233" t="inlineStr">
        <is>
          <t>Divination</t>
        </is>
      </c>
      <c r="D233" t="inlineStr">
        <is>
          <t>PHB 2024</t>
        </is>
      </c>
      <c r="E233" t="inlineStr"/>
      <c r="F233">
        <f>A233*50</f>
        <v/>
      </c>
      <c r="G233">
        <f>IF(A233&lt;=4,1,2)</f>
        <v/>
      </c>
    </row>
    <row r="234">
      <c r="A234" t="n">
        <v>5</v>
      </c>
      <c r="B234" t="inlineStr">
        <is>
          <t>Seeming</t>
        </is>
      </c>
      <c r="C234" t="inlineStr">
        <is>
          <t>Illusion</t>
        </is>
      </c>
      <c r="D234" t="inlineStr">
        <is>
          <t>PHB 2024</t>
        </is>
      </c>
      <c r="E234" t="inlineStr"/>
      <c r="F234">
        <f>A234*50</f>
        <v/>
      </c>
      <c r="G234">
        <f>IF(A234&lt;=4,1,2)</f>
        <v/>
      </c>
    </row>
    <row r="235">
      <c r="A235" t="n">
        <v>5</v>
      </c>
      <c r="B235" t="inlineStr">
        <is>
          <t>Skill Empowerment</t>
        </is>
      </c>
      <c r="C235" t="inlineStr">
        <is>
          <t>Transmutation</t>
        </is>
      </c>
      <c r="D235" t="inlineStr">
        <is>
          <t>Xanathar's Guide</t>
        </is>
      </c>
      <c r="E235" t="inlineStr"/>
      <c r="F235">
        <f>A235*50</f>
        <v/>
      </c>
      <c r="G235">
        <f>IF(A235&lt;=4,1,2)</f>
        <v/>
      </c>
    </row>
    <row r="236">
      <c r="A236" t="n">
        <v>5</v>
      </c>
      <c r="B236" t="inlineStr">
        <is>
          <t>Songal's Elemental Suffusion</t>
        </is>
      </c>
      <c r="C236" t="inlineStr">
        <is>
          <t>Transmutation</t>
        </is>
      </c>
      <c r="D236" t="inlineStr">
        <is>
          <t>Heroes of Faerun</t>
        </is>
      </c>
      <c r="E236" t="inlineStr"/>
      <c r="F236">
        <f>A236*50</f>
        <v/>
      </c>
      <c r="G236">
        <f>IF(A236&lt;=4,1,2)</f>
        <v/>
      </c>
    </row>
    <row r="237">
      <c r="A237" t="n">
        <v>5</v>
      </c>
      <c r="B237" t="inlineStr">
        <is>
          <t>Spirit Lantern</t>
        </is>
      </c>
      <c r="C237" t="inlineStr">
        <is>
          <t>Necromancy</t>
        </is>
      </c>
      <c r="D237" t="inlineStr">
        <is>
          <t>Arcana Unleashed</t>
        </is>
      </c>
      <c r="E237" t="inlineStr"/>
      <c r="F237">
        <f>A237*50</f>
        <v/>
      </c>
      <c r="G237">
        <f>IF(A237&lt;=4,1,2)</f>
        <v/>
      </c>
    </row>
    <row r="238">
      <c r="A238" t="n">
        <v>5</v>
      </c>
      <c r="B238" t="inlineStr">
        <is>
          <t>Steel Wind Strike</t>
        </is>
      </c>
      <c r="C238" t="inlineStr">
        <is>
          <t>Conjuration</t>
        </is>
      </c>
      <c r="D238" t="inlineStr">
        <is>
          <t>PHB 2024</t>
        </is>
      </c>
      <c r="E238" t="inlineStr"/>
      <c r="F238">
        <f>A238*50</f>
        <v/>
      </c>
      <c r="G238">
        <f>IF(A238&lt;=4,1,2)</f>
        <v/>
      </c>
    </row>
    <row r="239">
      <c r="A239" t="n">
        <v>5</v>
      </c>
      <c r="B239" t="inlineStr">
        <is>
          <t>Summon Draconic Spirit</t>
        </is>
      </c>
      <c r="C239" t="inlineStr">
        <is>
          <t>Conjuration</t>
        </is>
      </c>
      <c r="D239" t="inlineStr">
        <is>
          <t>Fizban's</t>
        </is>
      </c>
      <c r="E239" t="inlineStr"/>
      <c r="F239">
        <f>A239*50</f>
        <v/>
      </c>
      <c r="G239">
        <f>IF(A239&lt;=4,1,2)</f>
        <v/>
      </c>
    </row>
    <row r="240">
      <c r="A240" t="n">
        <v>5</v>
      </c>
      <c r="B240" t="inlineStr">
        <is>
          <t>Summon Dragon</t>
        </is>
      </c>
      <c r="C240" t="inlineStr">
        <is>
          <t>Conjuration</t>
        </is>
      </c>
      <c r="D240" t="inlineStr">
        <is>
          <t>PHB 2024</t>
        </is>
      </c>
      <c r="E240" t="inlineStr"/>
      <c r="F240">
        <f>A240*50</f>
        <v/>
      </c>
      <c r="G240">
        <f>IF(A240&lt;=4,1,2)</f>
        <v/>
      </c>
    </row>
    <row r="241">
      <c r="A241" t="n">
        <v>5</v>
      </c>
      <c r="B241" t="inlineStr">
        <is>
          <t>Synaptic Static</t>
        </is>
      </c>
      <c r="C241" t="inlineStr">
        <is>
          <t>Enchantment</t>
        </is>
      </c>
      <c r="D241" t="inlineStr">
        <is>
          <t>PHB 2024</t>
        </is>
      </c>
      <c r="E241" t="inlineStr"/>
      <c r="F241">
        <f>A241*50</f>
        <v/>
      </c>
      <c r="G241">
        <f>IF(A241&lt;=4,1,2)</f>
        <v/>
      </c>
    </row>
    <row r="242">
      <c r="A242" t="n">
        <v>5</v>
      </c>
      <c r="B242" t="inlineStr">
        <is>
          <t>Telekinesis</t>
        </is>
      </c>
      <c r="C242" t="inlineStr">
        <is>
          <t>Transmutation</t>
        </is>
      </c>
      <c r="D242" t="inlineStr">
        <is>
          <t>PHB 2024</t>
        </is>
      </c>
      <c r="E242" t="inlineStr"/>
      <c r="F242">
        <f>A242*50</f>
        <v/>
      </c>
      <c r="G242">
        <f>IF(A242&lt;=4,1,2)</f>
        <v/>
      </c>
    </row>
    <row r="243">
      <c r="A243" t="n">
        <v>5</v>
      </c>
      <c r="B243" t="inlineStr">
        <is>
          <t>Teleportation Circle</t>
        </is>
      </c>
      <c r="C243" t="inlineStr">
        <is>
          <t>Conjuration</t>
        </is>
      </c>
      <c r="D243" t="inlineStr">
        <is>
          <t>PHB 2024</t>
        </is>
      </c>
      <c r="E243" t="inlineStr"/>
      <c r="F243">
        <f>A243*50</f>
        <v/>
      </c>
      <c r="G243">
        <f>IF(A243&lt;=4,1,2)</f>
        <v/>
      </c>
    </row>
    <row r="244">
      <c r="A244" t="n">
        <v>5</v>
      </c>
      <c r="B244" t="inlineStr">
        <is>
          <t>Transmute Rock</t>
        </is>
      </c>
      <c r="C244" t="inlineStr">
        <is>
          <t>Transmutation</t>
        </is>
      </c>
      <c r="D244" t="inlineStr">
        <is>
          <t>Xanathar's Guide</t>
        </is>
      </c>
      <c r="E244" t="inlineStr"/>
      <c r="F244">
        <f>A244*50</f>
        <v/>
      </c>
      <c r="G244">
        <f>IF(A244&lt;=4,1,2)</f>
        <v/>
      </c>
    </row>
    <row r="245">
      <c r="A245" t="n">
        <v>5</v>
      </c>
      <c r="B245" t="inlineStr">
        <is>
          <t>Wall of Force</t>
        </is>
      </c>
      <c r="C245" t="inlineStr">
        <is>
          <t>Evocation</t>
        </is>
      </c>
      <c r="D245" t="inlineStr">
        <is>
          <t>PHB 2024</t>
        </is>
      </c>
      <c r="E245" t="inlineStr"/>
      <c r="F245">
        <f>A245*50</f>
        <v/>
      </c>
      <c r="G245">
        <f>IF(A245&lt;=4,1,2)</f>
        <v/>
      </c>
    </row>
    <row r="246">
      <c r="A246" t="n">
        <v>5</v>
      </c>
      <c r="B246" t="inlineStr">
        <is>
          <t>Wall of Light</t>
        </is>
      </c>
      <c r="C246" t="inlineStr">
        <is>
          <t>Evocation</t>
        </is>
      </c>
      <c r="D246" t="inlineStr">
        <is>
          <t>Xanathar's Guide</t>
        </is>
      </c>
      <c r="E246" t="inlineStr"/>
      <c r="F246">
        <f>A246*50</f>
        <v/>
      </c>
      <c r="G246">
        <f>IF(A246&lt;=4,1,2)</f>
        <v/>
      </c>
    </row>
    <row r="247">
      <c r="A247" t="n">
        <v>5</v>
      </c>
      <c r="B247" t="inlineStr">
        <is>
          <t>Wall of Stone</t>
        </is>
      </c>
      <c r="C247" t="inlineStr">
        <is>
          <t>Evocation</t>
        </is>
      </c>
      <c r="D247" t="inlineStr">
        <is>
          <t>PHB 2024</t>
        </is>
      </c>
      <c r="E247" t="inlineStr"/>
      <c r="F247">
        <f>A247*50</f>
        <v/>
      </c>
      <c r="G247">
        <f>IF(A247&lt;=4,1,2)</f>
        <v/>
      </c>
    </row>
    <row r="248">
      <c r="A248" t="n">
        <v>5</v>
      </c>
      <c r="B248" t="inlineStr">
        <is>
          <t>Waves of Exhaustion</t>
        </is>
      </c>
      <c r="C248" t="inlineStr">
        <is>
          <t>Necromancy</t>
        </is>
      </c>
      <c r="D248" t="inlineStr">
        <is>
          <t>Arcana Unleashed</t>
        </is>
      </c>
      <c r="E248" t="inlineStr"/>
      <c r="F248">
        <f>A248*50</f>
        <v/>
      </c>
      <c r="G248">
        <f>IF(A248&lt;=4,1,2)</f>
        <v/>
      </c>
    </row>
    <row r="249">
      <c r="A249" t="n">
        <v>5</v>
      </c>
      <c r="B249" t="inlineStr">
        <is>
          <t>Yolande's Regal Presence</t>
        </is>
      </c>
      <c r="C249" t="inlineStr">
        <is>
          <t>Enchantment</t>
        </is>
      </c>
      <c r="D249" t="inlineStr">
        <is>
          <t>PHB 2024</t>
        </is>
      </c>
      <c r="E249" t="inlineStr"/>
      <c r="F249">
        <f>A249*50</f>
        <v/>
      </c>
      <c r="G249">
        <f>IF(A249&lt;=4,1,2)</f>
        <v/>
      </c>
    </row>
    <row r="250">
      <c r="A250" t="n">
        <v>6</v>
      </c>
      <c r="B250" t="inlineStr">
        <is>
          <t>Arcane Gate</t>
        </is>
      </c>
      <c r="C250" t="inlineStr">
        <is>
          <t>Conjuration</t>
        </is>
      </c>
      <c r="D250" t="inlineStr">
        <is>
          <t>PHB 2024</t>
        </is>
      </c>
      <c r="E250" t="inlineStr"/>
      <c r="F250">
        <f>A250*50</f>
        <v/>
      </c>
      <c r="G250">
        <f>IF(A250&lt;=4,1,2)</f>
        <v/>
      </c>
    </row>
    <row r="251">
      <c r="A251" t="n">
        <v>6</v>
      </c>
      <c r="B251" t="inlineStr">
        <is>
          <t>Chain Lightning</t>
        </is>
      </c>
      <c r="C251" t="inlineStr">
        <is>
          <t>Evocation</t>
        </is>
      </c>
      <c r="D251" t="inlineStr">
        <is>
          <t>PHB 2024</t>
        </is>
      </c>
      <c r="E251" t="inlineStr"/>
      <c r="F251">
        <f>A251*50</f>
        <v/>
      </c>
      <c r="G251">
        <f>IF(A251&lt;=4,1,2)</f>
        <v/>
      </c>
    </row>
    <row r="252">
      <c r="A252" t="n">
        <v>6</v>
      </c>
      <c r="B252" t="inlineStr">
        <is>
          <t>Circle of Death</t>
        </is>
      </c>
      <c r="C252" t="inlineStr">
        <is>
          <t>Necromancy</t>
        </is>
      </c>
      <c r="D252" t="inlineStr">
        <is>
          <t>PHB 2024</t>
        </is>
      </c>
      <c r="E252" t="inlineStr"/>
      <c r="F252">
        <f>A252*50</f>
        <v/>
      </c>
      <c r="G252">
        <f>IF(A252&lt;=4,1,2)</f>
        <v/>
      </c>
    </row>
    <row r="253">
      <c r="A253" t="n">
        <v>6</v>
      </c>
      <c r="B253" t="inlineStr">
        <is>
          <t>Contingency</t>
        </is>
      </c>
      <c r="C253" t="inlineStr">
        <is>
          <t>Abjuration</t>
        </is>
      </c>
      <c r="D253" t="inlineStr">
        <is>
          <t>PHB 2024</t>
        </is>
      </c>
      <c r="E253" t="inlineStr"/>
      <c r="F253">
        <f>A253*50</f>
        <v/>
      </c>
      <c r="G253">
        <f>IF(A253&lt;=4,1,2)</f>
        <v/>
      </c>
    </row>
    <row r="254">
      <c r="A254" t="n">
        <v>6</v>
      </c>
      <c r="B254" t="inlineStr">
        <is>
          <t>Create Homunculus</t>
        </is>
      </c>
      <c r="C254" t="inlineStr">
        <is>
          <t>Transmutation</t>
        </is>
      </c>
      <c r="D254" t="inlineStr">
        <is>
          <t>Xanathar's Guide</t>
        </is>
      </c>
      <c r="E254" t="inlineStr"/>
      <c r="F254">
        <f>A254*50</f>
        <v/>
      </c>
      <c r="G254">
        <f>IF(A254&lt;=4,1,2)</f>
        <v/>
      </c>
    </row>
    <row r="255">
      <c r="A255" t="n">
        <v>6</v>
      </c>
      <c r="B255" t="inlineStr">
        <is>
          <t>Create Undead</t>
        </is>
      </c>
      <c r="C255" t="inlineStr">
        <is>
          <t>Necromancy</t>
        </is>
      </c>
      <c r="D255" t="inlineStr">
        <is>
          <t>PHB 2024</t>
        </is>
      </c>
      <c r="E255" t="inlineStr"/>
      <c r="F255">
        <f>A255*50</f>
        <v/>
      </c>
      <c r="G255">
        <f>IF(A255&lt;=4,1,2)</f>
        <v/>
      </c>
    </row>
    <row r="256">
      <c r="A256" t="n">
        <v>6</v>
      </c>
      <c r="B256" t="inlineStr">
        <is>
          <t>Disintegrate</t>
        </is>
      </c>
      <c r="C256" t="inlineStr">
        <is>
          <t>Transmutation</t>
        </is>
      </c>
      <c r="D256" t="inlineStr">
        <is>
          <t>PHB 2024</t>
        </is>
      </c>
      <c r="E256" t="inlineStr"/>
      <c r="F256">
        <f>A256*50</f>
        <v/>
      </c>
      <c r="G256">
        <f>IF(A256&lt;=4,1,2)</f>
        <v/>
      </c>
    </row>
    <row r="257">
      <c r="A257" t="n">
        <v>6</v>
      </c>
      <c r="B257" t="inlineStr">
        <is>
          <t>Drawmij's Instant Summons</t>
        </is>
      </c>
      <c r="C257" t="inlineStr">
        <is>
          <t>Conjuration</t>
        </is>
      </c>
      <c r="D257" t="inlineStr">
        <is>
          <t>PHB 2024</t>
        </is>
      </c>
      <c r="E257" t="inlineStr"/>
      <c r="F257">
        <f>A257*50</f>
        <v/>
      </c>
      <c r="G257">
        <f>IF(A257&lt;=4,1,2)</f>
        <v/>
      </c>
    </row>
    <row r="258">
      <c r="A258" t="n">
        <v>6</v>
      </c>
      <c r="B258" t="inlineStr">
        <is>
          <t>Elminster's Effulgent Spheres</t>
        </is>
      </c>
      <c r="C258" t="inlineStr">
        <is>
          <t>Evocation</t>
        </is>
      </c>
      <c r="D258" t="inlineStr">
        <is>
          <t>Heroes of Faerun</t>
        </is>
      </c>
      <c r="E258" t="inlineStr"/>
      <c r="F258">
        <f>A258*50</f>
        <v/>
      </c>
      <c r="G258">
        <f>IF(A258&lt;=4,1,2)</f>
        <v/>
      </c>
    </row>
    <row r="259">
      <c r="A259" t="n">
        <v>6</v>
      </c>
      <c r="B259" t="inlineStr">
        <is>
          <t>Eyebite</t>
        </is>
      </c>
      <c r="C259" t="inlineStr">
        <is>
          <t>Necromancy</t>
        </is>
      </c>
      <c r="D259" t="inlineStr">
        <is>
          <t>PHB 2024</t>
        </is>
      </c>
      <c r="E259" t="inlineStr"/>
      <c r="F259">
        <f>A259*50</f>
        <v/>
      </c>
      <c r="G259">
        <f>IF(A259&lt;=4,1,2)</f>
        <v/>
      </c>
    </row>
    <row r="260">
      <c r="A260" t="n">
        <v>6</v>
      </c>
      <c r="B260" t="inlineStr">
        <is>
          <t>Fizban's Platinum Shield</t>
        </is>
      </c>
      <c r="C260" t="inlineStr">
        <is>
          <t>Abjuration</t>
        </is>
      </c>
      <c r="D260" t="inlineStr">
        <is>
          <t>Fizban's</t>
        </is>
      </c>
      <c r="E260" t="inlineStr"/>
      <c r="F260">
        <f>A260*50</f>
        <v/>
      </c>
      <c r="G260">
        <f>IF(A260&lt;=4,1,2)</f>
        <v/>
      </c>
    </row>
    <row r="261">
      <c r="A261" t="n">
        <v>6</v>
      </c>
      <c r="B261" t="inlineStr">
        <is>
          <t>Flesh to Stone</t>
        </is>
      </c>
      <c r="C261" t="inlineStr">
        <is>
          <t>Transmutation</t>
        </is>
      </c>
      <c r="D261" t="inlineStr">
        <is>
          <t>PHB 2024</t>
        </is>
      </c>
      <c r="E261" t="inlineStr"/>
      <c r="F261">
        <f>A261*50</f>
        <v/>
      </c>
      <c r="G261">
        <f>IF(A261&lt;=4,1,2)</f>
        <v/>
      </c>
    </row>
    <row r="262">
      <c r="A262" t="n">
        <v>6</v>
      </c>
      <c r="B262" t="inlineStr">
        <is>
          <t>Globe of Invulnerability</t>
        </is>
      </c>
      <c r="C262" t="inlineStr">
        <is>
          <t>Abjuration</t>
        </is>
      </c>
      <c r="D262" t="inlineStr">
        <is>
          <t>PHB 2024</t>
        </is>
      </c>
      <c r="E262" t="inlineStr"/>
      <c r="F262">
        <f>A262*50</f>
        <v/>
      </c>
      <c r="G262">
        <f>IF(A262&lt;=4,1,2)</f>
        <v/>
      </c>
    </row>
    <row r="263">
      <c r="A263" t="n">
        <v>6</v>
      </c>
      <c r="B263" t="inlineStr">
        <is>
          <t>Guards and Wards</t>
        </is>
      </c>
      <c r="C263" t="inlineStr">
        <is>
          <t>Abjuration</t>
        </is>
      </c>
      <c r="D263" t="inlineStr">
        <is>
          <t>PHB 2024</t>
        </is>
      </c>
      <c r="E263" t="inlineStr"/>
      <c r="F263">
        <f>A263*50</f>
        <v/>
      </c>
      <c r="G263">
        <f>IF(A263&lt;=4,1,2)</f>
        <v/>
      </c>
    </row>
    <row r="264">
      <c r="A264" t="n">
        <v>6</v>
      </c>
      <c r="B264" t="inlineStr">
        <is>
          <t>Investiture of Flame</t>
        </is>
      </c>
      <c r="C264" t="inlineStr">
        <is>
          <t>Transmutation</t>
        </is>
      </c>
      <c r="D264" t="inlineStr">
        <is>
          <t>Xanathar's Guide</t>
        </is>
      </c>
      <c r="E264" t="inlineStr"/>
      <c r="F264">
        <f>A264*50</f>
        <v/>
      </c>
      <c r="G264">
        <f>IF(A264&lt;=4,1,2)</f>
        <v/>
      </c>
    </row>
    <row r="265">
      <c r="A265" t="n">
        <v>6</v>
      </c>
      <c r="B265" t="inlineStr">
        <is>
          <t>Investiture of Ice</t>
        </is>
      </c>
      <c r="C265" t="inlineStr">
        <is>
          <t>Transmutation</t>
        </is>
      </c>
      <c r="D265" t="inlineStr">
        <is>
          <t>Xanathar's Guide</t>
        </is>
      </c>
      <c r="E265" t="inlineStr"/>
      <c r="F265">
        <f>A265*50</f>
        <v/>
      </c>
      <c r="G265">
        <f>IF(A265&lt;=4,1,2)</f>
        <v/>
      </c>
    </row>
    <row r="266">
      <c r="A266" t="n">
        <v>6</v>
      </c>
      <c r="B266" t="inlineStr">
        <is>
          <t>Investiture of Stone</t>
        </is>
      </c>
      <c r="C266" t="inlineStr">
        <is>
          <t>Transmutation</t>
        </is>
      </c>
      <c r="D266" t="inlineStr">
        <is>
          <t>Xanathar's Guide</t>
        </is>
      </c>
      <c r="E266" t="inlineStr"/>
      <c r="F266">
        <f>A266*50</f>
        <v/>
      </c>
      <c r="G266">
        <f>IF(A266&lt;=4,1,2)</f>
        <v/>
      </c>
    </row>
    <row r="267">
      <c r="A267" t="n">
        <v>6</v>
      </c>
      <c r="B267" t="inlineStr">
        <is>
          <t>Investiture of Wind</t>
        </is>
      </c>
      <c r="C267" t="inlineStr">
        <is>
          <t>Transmutation</t>
        </is>
      </c>
      <c r="D267" t="inlineStr">
        <is>
          <t>Xanathar's Guide</t>
        </is>
      </c>
      <c r="E267" t="inlineStr"/>
      <c r="F267">
        <f>A267*50</f>
        <v/>
      </c>
      <c r="G267">
        <f>IF(A267&lt;=4,1,2)</f>
        <v/>
      </c>
    </row>
    <row r="268">
      <c r="A268" t="n">
        <v>6</v>
      </c>
      <c r="B268" t="inlineStr">
        <is>
          <t>Magic Jar</t>
        </is>
      </c>
      <c r="C268" t="inlineStr">
        <is>
          <t>Necromancy</t>
        </is>
      </c>
      <c r="D268" t="inlineStr">
        <is>
          <t>PHB 2024</t>
        </is>
      </c>
      <c r="E268" t="inlineStr"/>
      <c r="F268">
        <f>A268*50</f>
        <v/>
      </c>
      <c r="G268">
        <f>IF(A268&lt;=4,1,2)</f>
        <v/>
      </c>
    </row>
    <row r="269">
      <c r="A269" t="n">
        <v>6</v>
      </c>
      <c r="B269" t="inlineStr">
        <is>
          <t>Mass Suggestion</t>
        </is>
      </c>
      <c r="C269" t="inlineStr">
        <is>
          <t>Enchantment</t>
        </is>
      </c>
      <c r="D269" t="inlineStr">
        <is>
          <t>PHB 2024</t>
        </is>
      </c>
      <c r="E269" t="inlineStr"/>
      <c r="F269">
        <f>A269*50</f>
        <v/>
      </c>
      <c r="G269">
        <f>IF(A269&lt;=4,1,2)</f>
        <v/>
      </c>
    </row>
    <row r="270">
      <c r="A270" t="n">
        <v>6</v>
      </c>
      <c r="B270" t="inlineStr">
        <is>
          <t>Mental Prison</t>
        </is>
      </c>
      <c r="C270" t="inlineStr">
        <is>
          <t>Illusion</t>
        </is>
      </c>
      <c r="D270" t="inlineStr">
        <is>
          <t>Xanathar's Guide</t>
        </is>
      </c>
      <c r="E270" t="inlineStr"/>
      <c r="F270">
        <f>A270*50</f>
        <v/>
      </c>
      <c r="G270">
        <f>IF(A270&lt;=4,1,2)</f>
        <v/>
      </c>
    </row>
    <row r="271">
      <c r="A271" t="n">
        <v>6</v>
      </c>
      <c r="B271" t="inlineStr">
        <is>
          <t>Move Earth</t>
        </is>
      </c>
      <c r="C271" t="inlineStr">
        <is>
          <t>Transmutation</t>
        </is>
      </c>
      <c r="D271" t="inlineStr">
        <is>
          <t>PHB 2024</t>
        </is>
      </c>
      <c r="E271" t="inlineStr"/>
      <c r="F271">
        <f>A271*50</f>
        <v/>
      </c>
      <c r="G271">
        <f>IF(A271&lt;=4,1,2)</f>
        <v/>
      </c>
    </row>
    <row r="272">
      <c r="A272" t="n">
        <v>6</v>
      </c>
      <c r="B272" t="inlineStr">
        <is>
          <t>Otiluke's Freezing Sphere</t>
        </is>
      </c>
      <c r="C272" t="inlineStr">
        <is>
          <t>Evocation</t>
        </is>
      </c>
      <c r="D272" t="inlineStr">
        <is>
          <t>PHB 2024</t>
        </is>
      </c>
      <c r="E272" t="inlineStr"/>
      <c r="F272">
        <f>A272*50</f>
        <v/>
      </c>
      <c r="G272">
        <f>IF(A272&lt;=4,1,2)</f>
        <v/>
      </c>
    </row>
    <row r="273">
      <c r="A273" t="n">
        <v>6</v>
      </c>
      <c r="B273" t="inlineStr">
        <is>
          <t>Otto's Irresistible Dance</t>
        </is>
      </c>
      <c r="C273" t="inlineStr">
        <is>
          <t>Enchantment</t>
        </is>
      </c>
      <c r="D273" t="inlineStr">
        <is>
          <t>PHB 2024</t>
        </is>
      </c>
      <c r="E273" t="inlineStr"/>
      <c r="F273">
        <f>A273*50</f>
        <v/>
      </c>
      <c r="G273">
        <f>IF(A273&lt;=4,1,2)</f>
        <v/>
      </c>
    </row>
    <row r="274">
      <c r="A274" t="n">
        <v>6</v>
      </c>
      <c r="B274" t="inlineStr">
        <is>
          <t>Programmed Illusion</t>
        </is>
      </c>
      <c r="C274" t="inlineStr">
        <is>
          <t>Illusion</t>
        </is>
      </c>
      <c r="D274" t="inlineStr">
        <is>
          <t>PHB 2024</t>
        </is>
      </c>
      <c r="E274" t="inlineStr"/>
      <c r="F274">
        <f>A274*50</f>
        <v/>
      </c>
      <c r="G274">
        <f>IF(A274&lt;=4,1,2)</f>
        <v/>
      </c>
    </row>
    <row r="275">
      <c r="A275" t="n">
        <v>6</v>
      </c>
      <c r="B275" t="inlineStr">
        <is>
          <t>Scatter</t>
        </is>
      </c>
      <c r="C275" t="inlineStr">
        <is>
          <t>Conjuration</t>
        </is>
      </c>
      <c r="D275" t="inlineStr">
        <is>
          <t>Xanathar's Guide</t>
        </is>
      </c>
      <c r="E275" t="inlineStr"/>
      <c r="F275">
        <f>A275*50</f>
        <v/>
      </c>
      <c r="G275">
        <f>IF(A275&lt;=4,1,2)</f>
        <v/>
      </c>
    </row>
    <row r="276">
      <c r="A276" t="n">
        <v>6</v>
      </c>
      <c r="B276" t="inlineStr">
        <is>
          <t>Soul Cage</t>
        </is>
      </c>
      <c r="C276" t="inlineStr">
        <is>
          <t>Necromancy</t>
        </is>
      </c>
      <c r="D276" t="inlineStr">
        <is>
          <t>Xanathar's Guide</t>
        </is>
      </c>
      <c r="E276" t="inlineStr"/>
      <c r="F276">
        <f>A276*50</f>
        <v/>
      </c>
      <c r="G276">
        <f>IF(A276&lt;=4,1,2)</f>
        <v/>
      </c>
    </row>
    <row r="277">
      <c r="A277" t="n">
        <v>6</v>
      </c>
      <c r="B277" t="inlineStr">
        <is>
          <t>Summon Fiend</t>
        </is>
      </c>
      <c r="C277" t="inlineStr">
        <is>
          <t>Conjuration</t>
        </is>
      </c>
      <c r="D277" t="inlineStr">
        <is>
          <t>PHB 2024</t>
        </is>
      </c>
      <c r="E277" t="inlineStr"/>
      <c r="F277">
        <f>A277*50</f>
        <v/>
      </c>
      <c r="G277">
        <f>IF(A277&lt;=4,1,2)</f>
        <v/>
      </c>
    </row>
    <row r="278">
      <c r="A278" t="n">
        <v>6</v>
      </c>
      <c r="B278" t="inlineStr">
        <is>
          <t>Sunbeam</t>
        </is>
      </c>
      <c r="C278" t="inlineStr">
        <is>
          <t>Evocation</t>
        </is>
      </c>
      <c r="D278" t="inlineStr">
        <is>
          <t>PHB 2024</t>
        </is>
      </c>
      <c r="E278" t="inlineStr"/>
      <c r="F278">
        <f>A278*50</f>
        <v/>
      </c>
      <c r="G278">
        <f>IF(A278&lt;=4,1,2)</f>
        <v/>
      </c>
    </row>
    <row r="279">
      <c r="A279" t="n">
        <v>6</v>
      </c>
      <c r="B279" t="inlineStr">
        <is>
          <t>Tasha's Bubbling Cauldron</t>
        </is>
      </c>
      <c r="C279" t="inlineStr">
        <is>
          <t>Conjuration</t>
        </is>
      </c>
      <c r="D279" t="inlineStr">
        <is>
          <t>PHB 2024</t>
        </is>
      </c>
      <c r="E279" t="inlineStr"/>
      <c r="F279">
        <f>A279*50</f>
        <v/>
      </c>
      <c r="G279">
        <f>IF(A279&lt;=4,1,2)</f>
        <v/>
      </c>
    </row>
    <row r="280">
      <c r="A280" t="n">
        <v>6</v>
      </c>
      <c r="B280" t="inlineStr">
        <is>
          <t>Tasha's Otherworldly Guise</t>
        </is>
      </c>
      <c r="C280" t="inlineStr">
        <is>
          <t>Transmutation</t>
        </is>
      </c>
      <c r="D280" t="inlineStr">
        <is>
          <t>Tasha's Cauldron</t>
        </is>
      </c>
      <c r="E280" t="inlineStr"/>
      <c r="F280">
        <f>A280*50</f>
        <v/>
      </c>
      <c r="G280">
        <f>IF(A280&lt;=4,1,2)</f>
        <v/>
      </c>
    </row>
    <row r="281">
      <c r="A281" t="n">
        <v>6</v>
      </c>
      <c r="B281" t="inlineStr">
        <is>
          <t>Tenser's Transformation</t>
        </is>
      </c>
      <c r="C281" t="inlineStr">
        <is>
          <t>Transmutation</t>
        </is>
      </c>
      <c r="D281" t="inlineStr">
        <is>
          <t>Xanathar's Guide</t>
        </is>
      </c>
      <c r="E281" t="inlineStr"/>
      <c r="F281">
        <f>A281*50</f>
        <v/>
      </c>
      <c r="G281">
        <f>IF(A281&lt;=4,1,2)</f>
        <v/>
      </c>
    </row>
    <row r="282">
      <c r="A282" t="n">
        <v>6</v>
      </c>
      <c r="B282" t="inlineStr">
        <is>
          <t>True Seeing</t>
        </is>
      </c>
      <c r="C282" t="inlineStr">
        <is>
          <t>Divination</t>
        </is>
      </c>
      <c r="D282" t="inlineStr">
        <is>
          <t>PHB 2024</t>
        </is>
      </c>
      <c r="E282" t="inlineStr"/>
      <c r="F282">
        <f>A282*50</f>
        <v/>
      </c>
      <c r="G282">
        <f>IF(A282&lt;=4,1,2)</f>
        <v/>
      </c>
    </row>
    <row r="283">
      <c r="A283" t="n">
        <v>6</v>
      </c>
      <c r="B283" t="inlineStr">
        <is>
          <t>Wall of Ice</t>
        </is>
      </c>
      <c r="C283" t="inlineStr">
        <is>
          <t>Evocation</t>
        </is>
      </c>
      <c r="D283" t="inlineStr">
        <is>
          <t>PHB 2024</t>
        </is>
      </c>
      <c r="E283" t="inlineStr"/>
      <c r="F283">
        <f>A283*50</f>
        <v/>
      </c>
      <c r="G283">
        <f>IF(A283&lt;=4,1,2)</f>
        <v/>
      </c>
    </row>
    <row r="284">
      <c r="A284" t="n">
        <v>7</v>
      </c>
      <c r="B284" t="inlineStr">
        <is>
          <t>Aura of Evasion</t>
        </is>
      </c>
      <c r="C284" t="inlineStr">
        <is>
          <t>Abjuration</t>
        </is>
      </c>
      <c r="D284" t="inlineStr">
        <is>
          <t>Arcana Unleashed</t>
        </is>
      </c>
      <c r="E284" t="inlineStr"/>
      <c r="F284">
        <f>A284*50</f>
        <v/>
      </c>
      <c r="G284">
        <f>IF(A284&lt;=4,1,2)</f>
        <v/>
      </c>
    </row>
    <row r="285">
      <c r="A285" t="n">
        <v>7</v>
      </c>
      <c r="B285" t="inlineStr">
        <is>
          <t>Create Magen</t>
        </is>
      </c>
      <c r="C285" t="inlineStr">
        <is>
          <t>Transmutation</t>
        </is>
      </c>
      <c r="D285" t="inlineStr">
        <is>
          <t>Icewind Dale</t>
        </is>
      </c>
      <c r="E285" t="inlineStr"/>
      <c r="F285">
        <f>A285*50</f>
        <v/>
      </c>
      <c r="G285">
        <f>IF(A285&lt;=4,1,2)</f>
        <v/>
      </c>
    </row>
    <row r="286">
      <c r="A286" t="n">
        <v>7</v>
      </c>
      <c r="B286" t="inlineStr">
        <is>
          <t>Crown of Stars</t>
        </is>
      </c>
      <c r="C286" t="inlineStr">
        <is>
          <t>Evocation</t>
        </is>
      </c>
      <c r="D286" t="inlineStr">
        <is>
          <t>Xanathar's Guide</t>
        </is>
      </c>
      <c r="E286" t="inlineStr"/>
      <c r="F286">
        <f>A286*50</f>
        <v/>
      </c>
      <c r="G286">
        <f>IF(A286&lt;=4,1,2)</f>
        <v/>
      </c>
    </row>
    <row r="287">
      <c r="A287" t="n">
        <v>7</v>
      </c>
      <c r="B287" t="inlineStr">
        <is>
          <t>Delayed Blast Fireball</t>
        </is>
      </c>
      <c r="C287" t="inlineStr">
        <is>
          <t>Evocation</t>
        </is>
      </c>
      <c r="D287" t="inlineStr">
        <is>
          <t>PHB 2024</t>
        </is>
      </c>
      <c r="E287" t="inlineStr"/>
      <c r="F287">
        <f>A287*50</f>
        <v/>
      </c>
      <c r="G287">
        <f>IF(A287&lt;=4,1,2)</f>
        <v/>
      </c>
    </row>
    <row r="288">
      <c r="A288" t="n">
        <v>7</v>
      </c>
      <c r="B288" t="inlineStr">
        <is>
          <t>Draconic Transformation</t>
        </is>
      </c>
      <c r="C288" t="inlineStr">
        <is>
          <t>Transmutation</t>
        </is>
      </c>
      <c r="D288" t="inlineStr">
        <is>
          <t>Fizban's</t>
        </is>
      </c>
      <c r="E288" t="inlineStr"/>
      <c r="F288">
        <f>A288*50</f>
        <v/>
      </c>
      <c r="G288">
        <f>IF(A288&lt;=4,1,2)</f>
        <v/>
      </c>
    </row>
    <row r="289">
      <c r="A289" t="n">
        <v>7</v>
      </c>
      <c r="B289" t="inlineStr">
        <is>
          <t>Dream of the Blue Veil</t>
        </is>
      </c>
      <c r="C289" t="inlineStr">
        <is>
          <t>Conjuration</t>
        </is>
      </c>
      <c r="D289" t="inlineStr">
        <is>
          <t>Tasha's Cauldron</t>
        </is>
      </c>
      <c r="E289" t="inlineStr"/>
      <c r="F289">
        <f>A289*50</f>
        <v/>
      </c>
      <c r="G289">
        <f>IF(A289&lt;=4,1,2)</f>
        <v/>
      </c>
    </row>
    <row r="290">
      <c r="A290" t="n">
        <v>7</v>
      </c>
      <c r="B290" t="inlineStr">
        <is>
          <t>Etherealness</t>
        </is>
      </c>
      <c r="C290" t="inlineStr">
        <is>
          <t>Conjuration</t>
        </is>
      </c>
      <c r="D290" t="inlineStr">
        <is>
          <t>PHB 2024</t>
        </is>
      </c>
      <c r="E290" t="inlineStr"/>
      <c r="F290">
        <f>A290*50</f>
        <v/>
      </c>
      <c r="G290">
        <f>IF(A290&lt;=4,1,2)</f>
        <v/>
      </c>
    </row>
    <row r="291">
      <c r="A291" t="n">
        <v>7</v>
      </c>
      <c r="B291" t="inlineStr">
        <is>
          <t>Finger of Death</t>
        </is>
      </c>
      <c r="C291" t="inlineStr">
        <is>
          <t>Necromancy</t>
        </is>
      </c>
      <c r="D291" t="inlineStr">
        <is>
          <t>PHB 2024</t>
        </is>
      </c>
      <c r="E291" t="inlineStr"/>
      <c r="F291">
        <f>A291*50</f>
        <v/>
      </c>
      <c r="G291">
        <f>IF(A291&lt;=4,1,2)</f>
        <v/>
      </c>
    </row>
    <row r="292">
      <c r="A292" t="n">
        <v>7</v>
      </c>
      <c r="B292" t="inlineStr">
        <is>
          <t>Forcecage</t>
        </is>
      </c>
      <c r="C292" t="inlineStr">
        <is>
          <t>Evocation</t>
        </is>
      </c>
      <c r="D292" t="inlineStr">
        <is>
          <t>PHB 2024</t>
        </is>
      </c>
      <c r="E292" t="inlineStr"/>
      <c r="F292">
        <f>A292*50</f>
        <v/>
      </c>
      <c r="G292">
        <f>IF(A292&lt;=4,1,2)</f>
        <v/>
      </c>
    </row>
    <row r="293">
      <c r="A293" t="n">
        <v>7</v>
      </c>
      <c r="B293" t="inlineStr">
        <is>
          <t>Fractured Awareness</t>
        </is>
      </c>
      <c r="C293" t="inlineStr">
        <is>
          <t>Divination</t>
        </is>
      </c>
      <c r="D293" t="inlineStr">
        <is>
          <t>Arcana Unleashed</t>
        </is>
      </c>
      <c r="E293" t="inlineStr"/>
      <c r="F293">
        <f>A293*50</f>
        <v/>
      </c>
      <c r="G293">
        <f>IF(A293&lt;=4,1,2)</f>
        <v/>
      </c>
    </row>
    <row r="294">
      <c r="A294" t="n">
        <v>7</v>
      </c>
      <c r="B294" t="inlineStr">
        <is>
          <t>Mirage Arcane</t>
        </is>
      </c>
      <c r="C294" t="inlineStr">
        <is>
          <t>Illusion</t>
        </is>
      </c>
      <c r="D294" t="inlineStr">
        <is>
          <t>PHB 2024</t>
        </is>
      </c>
      <c r="E294" t="inlineStr"/>
      <c r="F294">
        <f>A294*50</f>
        <v/>
      </c>
      <c r="G294">
        <f>IF(A294&lt;=4,1,2)</f>
        <v/>
      </c>
    </row>
    <row r="295">
      <c r="A295" t="n">
        <v>7</v>
      </c>
      <c r="B295" t="inlineStr">
        <is>
          <t>Mordenkainen's Magnificent Mansion</t>
        </is>
      </c>
      <c r="C295" t="inlineStr">
        <is>
          <t>Conjuration</t>
        </is>
      </c>
      <c r="D295" t="inlineStr">
        <is>
          <t>PHB 2024</t>
        </is>
      </c>
      <c r="E295" t="inlineStr"/>
      <c r="F295">
        <f>A295*50</f>
        <v/>
      </c>
      <c r="G295">
        <f>IF(A295&lt;=4,1,2)</f>
        <v/>
      </c>
    </row>
    <row r="296">
      <c r="A296" t="n">
        <v>7</v>
      </c>
      <c r="B296" t="inlineStr">
        <is>
          <t>Mordenkainen's Sword</t>
        </is>
      </c>
      <c r="C296" t="inlineStr">
        <is>
          <t>Evocation</t>
        </is>
      </c>
      <c r="D296" t="inlineStr">
        <is>
          <t>PHB 2024</t>
        </is>
      </c>
      <c r="E296" t="inlineStr"/>
      <c r="F296">
        <f>A296*50</f>
        <v/>
      </c>
      <c r="G296">
        <f>IF(A296&lt;=4,1,2)</f>
        <v/>
      </c>
    </row>
    <row r="297">
      <c r="A297" t="n">
        <v>7</v>
      </c>
      <c r="B297" t="inlineStr">
        <is>
          <t>Plane Shift</t>
        </is>
      </c>
      <c r="C297" t="inlineStr">
        <is>
          <t>Conjuration</t>
        </is>
      </c>
      <c r="D297" t="inlineStr">
        <is>
          <t>PHB 2024</t>
        </is>
      </c>
      <c r="E297" t="inlineStr"/>
      <c r="F297">
        <f>A297*50</f>
        <v/>
      </c>
      <c r="G297">
        <f>IF(A297&lt;=4,1,2)</f>
        <v/>
      </c>
    </row>
    <row r="298">
      <c r="A298" t="n">
        <v>7</v>
      </c>
      <c r="B298" t="inlineStr">
        <is>
          <t>Power Word Pain</t>
        </is>
      </c>
      <c r="C298" t="inlineStr">
        <is>
          <t>Enchantment</t>
        </is>
      </c>
      <c r="D298" t="inlineStr">
        <is>
          <t>Arcana Unleashed</t>
        </is>
      </c>
      <c r="E298" t="inlineStr"/>
      <c r="F298">
        <f>A298*50</f>
        <v/>
      </c>
      <c r="G298">
        <f>IF(A298&lt;=4,1,2)</f>
        <v/>
      </c>
    </row>
    <row r="299">
      <c r="A299" t="n">
        <v>7</v>
      </c>
      <c r="B299" t="inlineStr">
        <is>
          <t>Prismatic Spray</t>
        </is>
      </c>
      <c r="C299" t="inlineStr">
        <is>
          <t>Evocation</t>
        </is>
      </c>
      <c r="D299" t="inlineStr">
        <is>
          <t>PHB 2024</t>
        </is>
      </c>
      <c r="E299" t="inlineStr"/>
      <c r="F299">
        <f>A299*50</f>
        <v/>
      </c>
      <c r="G299">
        <f>IF(A299&lt;=4,1,2)</f>
        <v/>
      </c>
    </row>
    <row r="300">
      <c r="A300" t="n">
        <v>7</v>
      </c>
      <c r="B300" t="inlineStr">
        <is>
          <t>Project Image</t>
        </is>
      </c>
      <c r="C300" t="inlineStr">
        <is>
          <t>Illusion</t>
        </is>
      </c>
      <c r="D300" t="inlineStr">
        <is>
          <t>PHB 2024</t>
        </is>
      </c>
      <c r="E300" t="inlineStr"/>
      <c r="F300">
        <f>A300*50</f>
        <v/>
      </c>
      <c r="G300">
        <f>IF(A300&lt;=4,1,2)</f>
        <v/>
      </c>
    </row>
    <row r="301">
      <c r="A301" t="n">
        <v>7</v>
      </c>
      <c r="B301" t="inlineStr">
        <is>
          <t>Reverse Gravity</t>
        </is>
      </c>
      <c r="C301" t="inlineStr">
        <is>
          <t>Transmutation</t>
        </is>
      </c>
      <c r="D301" t="inlineStr">
        <is>
          <t>PHB 2024</t>
        </is>
      </c>
      <c r="E301" t="inlineStr"/>
      <c r="F301">
        <f>A301*50</f>
        <v/>
      </c>
      <c r="G301">
        <f>IF(A301&lt;=4,1,2)</f>
        <v/>
      </c>
    </row>
    <row r="302">
      <c r="A302" t="n">
        <v>7</v>
      </c>
      <c r="B302" t="inlineStr">
        <is>
          <t>Reweave Fate</t>
        </is>
      </c>
      <c r="C302" t="inlineStr">
        <is>
          <t>Divination</t>
        </is>
      </c>
      <c r="D302" t="inlineStr">
        <is>
          <t>Arcana Unleashed</t>
        </is>
      </c>
      <c r="E302" t="inlineStr"/>
      <c r="F302">
        <f>A302*50</f>
        <v/>
      </c>
      <c r="G302">
        <f>IF(A302&lt;=4,1,2)</f>
        <v/>
      </c>
    </row>
    <row r="303">
      <c r="A303" t="n">
        <v>7</v>
      </c>
      <c r="B303" t="inlineStr">
        <is>
          <t>Sequester</t>
        </is>
      </c>
      <c r="C303" t="inlineStr">
        <is>
          <t>Transmutation</t>
        </is>
      </c>
      <c r="D303" t="inlineStr">
        <is>
          <t>PHB 2024</t>
        </is>
      </c>
      <c r="E303" t="inlineStr"/>
      <c r="F303">
        <f>A303*50</f>
        <v/>
      </c>
      <c r="G303">
        <f>IF(A303&lt;=4,1,2)</f>
        <v/>
      </c>
    </row>
    <row r="304">
      <c r="A304" t="n">
        <v>7</v>
      </c>
      <c r="B304" t="inlineStr">
        <is>
          <t>Simbul's Synostodweomer</t>
        </is>
      </c>
      <c r="C304" t="inlineStr">
        <is>
          <t>Transmutation</t>
        </is>
      </c>
      <c r="D304" t="inlineStr">
        <is>
          <t>Heroes of Faerun</t>
        </is>
      </c>
      <c r="E304" t="inlineStr"/>
      <c r="F304">
        <f>A304*50</f>
        <v/>
      </c>
      <c r="G304">
        <f>IF(A304&lt;=4,1,2)</f>
        <v/>
      </c>
    </row>
    <row r="305">
      <c r="A305" t="n">
        <v>7</v>
      </c>
      <c r="B305" t="inlineStr">
        <is>
          <t>Simulacrum</t>
        </is>
      </c>
      <c r="C305" t="inlineStr">
        <is>
          <t>Illusion</t>
        </is>
      </c>
      <c r="D305" t="inlineStr">
        <is>
          <t>PHB 2024</t>
        </is>
      </c>
      <c r="E305" t="inlineStr"/>
      <c r="F305">
        <f>A305*50</f>
        <v/>
      </c>
      <c r="G305">
        <f>IF(A305&lt;=4,1,2)</f>
        <v/>
      </c>
    </row>
    <row r="306">
      <c r="A306" t="n">
        <v>7</v>
      </c>
      <c r="B306" t="inlineStr">
        <is>
          <t>Symbol</t>
        </is>
      </c>
      <c r="C306" t="inlineStr">
        <is>
          <t>Abjuration</t>
        </is>
      </c>
      <c r="D306" t="inlineStr">
        <is>
          <t>PHB 2024</t>
        </is>
      </c>
      <c r="E306" t="inlineStr"/>
      <c r="F306">
        <f>A306*50</f>
        <v/>
      </c>
      <c r="G306">
        <f>IF(A306&lt;=4,1,2)</f>
        <v/>
      </c>
    </row>
    <row r="307">
      <c r="A307" t="n">
        <v>7</v>
      </c>
      <c r="B307" t="inlineStr">
        <is>
          <t>Teleport</t>
        </is>
      </c>
      <c r="C307" t="inlineStr">
        <is>
          <t>Conjuration</t>
        </is>
      </c>
      <c r="D307" t="inlineStr">
        <is>
          <t>PHB 2024</t>
        </is>
      </c>
      <c r="E307" t="inlineStr"/>
      <c r="F307">
        <f>A307*50</f>
        <v/>
      </c>
      <c r="G307">
        <f>IF(A307&lt;=4,1,2)</f>
        <v/>
      </c>
    </row>
    <row r="308">
      <c r="A308" t="n">
        <v>7</v>
      </c>
      <c r="B308" t="inlineStr">
        <is>
          <t>Transfix</t>
        </is>
      </c>
      <c r="C308" t="inlineStr">
        <is>
          <t>Enchantment</t>
        </is>
      </c>
      <c r="D308" t="inlineStr">
        <is>
          <t>Arcana Unleashed</t>
        </is>
      </c>
      <c r="E308" t="inlineStr"/>
      <c r="F308">
        <f>A308*50</f>
        <v/>
      </c>
      <c r="G308">
        <f>IF(A308&lt;=4,1,2)</f>
        <v/>
      </c>
    </row>
    <row r="309">
      <c r="A309" t="n">
        <v>7</v>
      </c>
      <c r="B309" t="inlineStr">
        <is>
          <t>Whirlwind</t>
        </is>
      </c>
      <c r="C309" t="inlineStr">
        <is>
          <t>Evocation</t>
        </is>
      </c>
      <c r="D309" t="inlineStr">
        <is>
          <t>Xanathar's Guide</t>
        </is>
      </c>
      <c r="E309" t="inlineStr"/>
      <c r="F309">
        <f>A309*50</f>
        <v/>
      </c>
      <c r="G309">
        <f>IF(A309&lt;=4,1,2)</f>
        <v/>
      </c>
    </row>
    <row r="310">
      <c r="A310" t="n">
        <v>8</v>
      </c>
      <c r="B310" t="inlineStr">
        <is>
          <t>Abi-Dalzim's Horrid Wilting</t>
        </is>
      </c>
      <c r="C310" t="inlineStr">
        <is>
          <t>Necromancy</t>
        </is>
      </c>
      <c r="D310" t="inlineStr">
        <is>
          <t>Xanathar's Guide</t>
        </is>
      </c>
      <c r="E310" t="inlineStr"/>
      <c r="F310">
        <f>A310*50</f>
        <v/>
      </c>
      <c r="G310">
        <f>IF(A310&lt;=4,1,2)</f>
        <v/>
      </c>
    </row>
    <row r="311">
      <c r="A311" t="n">
        <v>8</v>
      </c>
      <c r="B311" t="inlineStr">
        <is>
          <t>Antimagic Field</t>
        </is>
      </c>
      <c r="C311" t="inlineStr">
        <is>
          <t>Abjuration</t>
        </is>
      </c>
      <c r="D311" t="inlineStr">
        <is>
          <t>PHB 2024</t>
        </is>
      </c>
      <c r="E311" t="inlineStr"/>
      <c r="F311">
        <f>A311*50</f>
        <v/>
      </c>
      <c r="G311">
        <f>IF(A311&lt;=4,1,2)</f>
        <v/>
      </c>
    </row>
    <row r="312">
      <c r="A312" t="n">
        <v>8</v>
      </c>
      <c r="B312" t="inlineStr">
        <is>
          <t>Antipathy/Sympathy</t>
        </is>
      </c>
      <c r="C312" t="inlineStr">
        <is>
          <t>Enchantment</t>
        </is>
      </c>
      <c r="D312" t="inlineStr">
        <is>
          <t>PHB 2024</t>
        </is>
      </c>
      <c r="E312" t="inlineStr"/>
      <c r="F312">
        <f>A312*50</f>
        <v/>
      </c>
      <c r="G312">
        <f>IF(A312&lt;=4,1,2)</f>
        <v/>
      </c>
    </row>
    <row r="313">
      <c r="A313" t="n">
        <v>8</v>
      </c>
      <c r="B313" t="inlineStr">
        <is>
          <t>Befuddlement</t>
        </is>
      </c>
      <c r="C313" t="inlineStr">
        <is>
          <t>Enchantment</t>
        </is>
      </c>
      <c r="D313" t="inlineStr">
        <is>
          <t>PHB 2024</t>
        </is>
      </c>
      <c r="E313" t="inlineStr"/>
      <c r="F313">
        <f>A313*50</f>
        <v/>
      </c>
      <c r="G313">
        <f>IF(A313&lt;=4,1,2)</f>
        <v/>
      </c>
    </row>
    <row r="314">
      <c r="A314" t="n">
        <v>8</v>
      </c>
      <c r="B314" t="inlineStr">
        <is>
          <t>Clone</t>
        </is>
      </c>
      <c r="C314" t="inlineStr">
        <is>
          <t>Necromancy</t>
        </is>
      </c>
      <c r="D314" t="inlineStr">
        <is>
          <t>PHB 2024</t>
        </is>
      </c>
      <c r="E314" t="inlineStr"/>
      <c r="F314">
        <f>A314*50</f>
        <v/>
      </c>
      <c r="G314">
        <f>IF(A314&lt;=4,1,2)</f>
        <v/>
      </c>
    </row>
    <row r="315">
      <c r="A315" t="n">
        <v>8</v>
      </c>
      <c r="B315" t="inlineStr">
        <is>
          <t>Control Weather</t>
        </is>
      </c>
      <c r="C315" t="inlineStr">
        <is>
          <t>Transmutation</t>
        </is>
      </c>
      <c r="D315" t="inlineStr">
        <is>
          <t>PHB 2024</t>
        </is>
      </c>
      <c r="E315" t="inlineStr"/>
      <c r="F315">
        <f>A315*50</f>
        <v/>
      </c>
      <c r="G315">
        <f>IF(A315&lt;=4,1,2)</f>
        <v/>
      </c>
    </row>
    <row r="316">
      <c r="A316" t="n">
        <v>8</v>
      </c>
      <c r="B316" t="inlineStr">
        <is>
          <t>Demiplane</t>
        </is>
      </c>
      <c r="C316" t="inlineStr">
        <is>
          <t>Conjuration</t>
        </is>
      </c>
      <c r="D316" t="inlineStr">
        <is>
          <t>PHB 2024</t>
        </is>
      </c>
      <c r="E316" t="inlineStr"/>
      <c r="F316">
        <f>A316*50</f>
        <v/>
      </c>
      <c r="G316">
        <f>IF(A316&lt;=4,1,2)</f>
        <v/>
      </c>
    </row>
    <row r="317">
      <c r="A317" t="n">
        <v>8</v>
      </c>
      <c r="B317" t="inlineStr">
        <is>
          <t>Dominate Monster</t>
        </is>
      </c>
      <c r="C317" t="inlineStr">
        <is>
          <t>Enchantment</t>
        </is>
      </c>
      <c r="D317" t="inlineStr">
        <is>
          <t>PHB 2024</t>
        </is>
      </c>
      <c r="E317" t="inlineStr"/>
      <c r="F317">
        <f>A317*50</f>
        <v/>
      </c>
      <c r="G317">
        <f>IF(A317&lt;=4,1,2)</f>
        <v/>
      </c>
    </row>
    <row r="318">
      <c r="A318" t="n">
        <v>8</v>
      </c>
      <c r="B318" t="inlineStr">
        <is>
          <t>Entrancing Mirrors</t>
        </is>
      </c>
      <c r="C318" t="inlineStr">
        <is>
          <t>Illusion</t>
        </is>
      </c>
      <c r="D318" t="inlineStr">
        <is>
          <t>Arcana Unleashed</t>
        </is>
      </c>
      <c r="E318" t="inlineStr"/>
      <c r="F318">
        <f>A318*50</f>
        <v/>
      </c>
      <c r="G318">
        <f>IF(A318&lt;=4,1,2)</f>
        <v/>
      </c>
    </row>
    <row r="319">
      <c r="A319" t="n">
        <v>8</v>
      </c>
      <c r="B319" t="inlineStr">
        <is>
          <t>Holy Star of Mystra</t>
        </is>
      </c>
      <c r="C319" t="inlineStr">
        <is>
          <t>Evocation</t>
        </is>
      </c>
      <c r="D319" t="inlineStr">
        <is>
          <t>Heroes of Faerun</t>
        </is>
      </c>
      <c r="E319" t="inlineStr"/>
      <c r="F319">
        <f>A319*50</f>
        <v/>
      </c>
      <c r="G319">
        <f>IF(A319&lt;=4,1,2)</f>
        <v/>
      </c>
    </row>
    <row r="320">
      <c r="A320" t="n">
        <v>8</v>
      </c>
      <c r="B320" t="inlineStr">
        <is>
          <t>Illusory Dragon</t>
        </is>
      </c>
      <c r="C320" t="inlineStr">
        <is>
          <t>Illusion</t>
        </is>
      </c>
      <c r="D320" t="inlineStr">
        <is>
          <t>Arcana Unleashed</t>
        </is>
      </c>
      <c r="E320" t="inlineStr"/>
      <c r="F320">
        <f>A320*50</f>
        <v/>
      </c>
      <c r="G320">
        <f>IF(A320&lt;=4,1,2)</f>
        <v/>
      </c>
    </row>
    <row r="321">
      <c r="A321" t="n">
        <v>8</v>
      </c>
      <c r="B321" t="inlineStr">
        <is>
          <t>Incendiary Cloud</t>
        </is>
      </c>
      <c r="C321" t="inlineStr">
        <is>
          <t>Conjuration</t>
        </is>
      </c>
      <c r="D321" t="inlineStr">
        <is>
          <t>PHB 2024</t>
        </is>
      </c>
      <c r="E321" t="inlineStr"/>
      <c r="F321">
        <f>A321*50</f>
        <v/>
      </c>
      <c r="G321">
        <f>IF(A321&lt;=4,1,2)</f>
        <v/>
      </c>
    </row>
    <row r="322">
      <c r="A322" t="n">
        <v>8</v>
      </c>
      <c r="B322" t="inlineStr">
        <is>
          <t>Iron Body</t>
        </is>
      </c>
      <c r="C322" t="inlineStr">
        <is>
          <t>Transmutation</t>
        </is>
      </c>
      <c r="D322" t="inlineStr">
        <is>
          <t>Arcana Unleashed</t>
        </is>
      </c>
      <c r="E322" t="inlineStr"/>
      <c r="F322">
        <f>A322*50</f>
        <v/>
      </c>
      <c r="G322">
        <f>IF(A322&lt;=4,1,2)</f>
        <v/>
      </c>
    </row>
    <row r="323">
      <c r="A323" t="n">
        <v>8</v>
      </c>
      <c r="B323" t="inlineStr">
        <is>
          <t>Lightning Ring</t>
        </is>
      </c>
      <c r="C323" t="inlineStr">
        <is>
          <t>Evocation</t>
        </is>
      </c>
      <c r="D323" t="inlineStr">
        <is>
          <t>Arcana Unleashed</t>
        </is>
      </c>
      <c r="E323" t="inlineStr"/>
      <c r="F323">
        <f>A323*50</f>
        <v/>
      </c>
      <c r="G323">
        <f>IF(A323&lt;=4,1,2)</f>
        <v/>
      </c>
    </row>
    <row r="324">
      <c r="A324" t="n">
        <v>8</v>
      </c>
      <c r="B324" t="inlineStr">
        <is>
          <t>Maddening Darkness</t>
        </is>
      </c>
      <c r="C324" t="inlineStr">
        <is>
          <t>Evocation</t>
        </is>
      </c>
      <c r="D324" t="inlineStr">
        <is>
          <t>Xanathar's Guide</t>
        </is>
      </c>
      <c r="E324" t="inlineStr"/>
      <c r="F324">
        <f>A324*50</f>
        <v/>
      </c>
      <c r="G324">
        <f>IF(A324&lt;=4,1,2)</f>
        <v/>
      </c>
    </row>
    <row r="325">
      <c r="A325" t="n">
        <v>8</v>
      </c>
      <c r="B325" t="inlineStr">
        <is>
          <t>Maze</t>
        </is>
      </c>
      <c r="C325" t="inlineStr">
        <is>
          <t>Conjuration</t>
        </is>
      </c>
      <c r="D325" t="inlineStr">
        <is>
          <t>PHB 2024</t>
        </is>
      </c>
      <c r="E325" t="inlineStr"/>
      <c r="F325">
        <f>A325*50</f>
        <v/>
      </c>
      <c r="G325">
        <f>IF(A325&lt;=4,1,2)</f>
        <v/>
      </c>
    </row>
    <row r="326">
      <c r="A326" t="n">
        <v>8</v>
      </c>
      <c r="B326" t="inlineStr">
        <is>
          <t>Mighty Fortress</t>
        </is>
      </c>
      <c r="C326" t="inlineStr">
        <is>
          <t>Conjuration</t>
        </is>
      </c>
      <c r="D326" t="inlineStr">
        <is>
          <t>Xanathar's Guide</t>
        </is>
      </c>
      <c r="E326" t="inlineStr"/>
      <c r="F326">
        <f>A326*50</f>
        <v/>
      </c>
      <c r="G326">
        <f>IF(A326&lt;=4,1,2)</f>
        <v/>
      </c>
    </row>
    <row r="327">
      <c r="A327" t="n">
        <v>8</v>
      </c>
      <c r="B327" t="inlineStr">
        <is>
          <t>Mind Blank</t>
        </is>
      </c>
      <c r="C327" t="inlineStr">
        <is>
          <t>Abjuration</t>
        </is>
      </c>
      <c r="D327" t="inlineStr">
        <is>
          <t>PHB 2024</t>
        </is>
      </c>
      <c r="E327" t="inlineStr"/>
      <c r="F327">
        <f>A327*50</f>
        <v/>
      </c>
      <c r="G327">
        <f>IF(A327&lt;=4,1,2)</f>
        <v/>
      </c>
    </row>
    <row r="328">
      <c r="A328" t="n">
        <v>8</v>
      </c>
      <c r="B328" t="inlineStr">
        <is>
          <t>Moment of Prescience</t>
        </is>
      </c>
      <c r="C328" t="inlineStr">
        <is>
          <t>Divination</t>
        </is>
      </c>
      <c r="D328" t="inlineStr">
        <is>
          <t>Arcana Unleashed</t>
        </is>
      </c>
      <c r="E328" t="inlineStr"/>
      <c r="F328">
        <f>A328*50</f>
        <v/>
      </c>
      <c r="G328">
        <f>IF(A328&lt;=4,1,2)</f>
        <v/>
      </c>
    </row>
    <row r="329">
      <c r="A329" t="n">
        <v>8</v>
      </c>
      <c r="B329" t="inlineStr">
        <is>
          <t>Power Word Stun</t>
        </is>
      </c>
      <c r="C329" t="inlineStr">
        <is>
          <t>Enchantment</t>
        </is>
      </c>
      <c r="D329" t="inlineStr">
        <is>
          <t>PHB 2024</t>
        </is>
      </c>
      <c r="E329" t="inlineStr"/>
      <c r="F329">
        <f>A329*50</f>
        <v/>
      </c>
      <c r="G329">
        <f>IF(A329&lt;=4,1,2)</f>
        <v/>
      </c>
    </row>
    <row r="330">
      <c r="A330" t="n">
        <v>8</v>
      </c>
      <c r="B330" t="inlineStr">
        <is>
          <t>Sunburst</t>
        </is>
      </c>
      <c r="C330" t="inlineStr">
        <is>
          <t>Evocation</t>
        </is>
      </c>
      <c r="D330" t="inlineStr">
        <is>
          <t>PHB 2024</t>
        </is>
      </c>
      <c r="E330" t="inlineStr"/>
      <c r="F330">
        <f>A330*50</f>
        <v/>
      </c>
      <c r="G330">
        <f>IF(A330&lt;=4,1,2)</f>
        <v/>
      </c>
    </row>
    <row r="331">
      <c r="A331" t="n">
        <v>8</v>
      </c>
      <c r="B331" t="inlineStr">
        <is>
          <t>Telepathy</t>
        </is>
      </c>
      <c r="C331" t="inlineStr">
        <is>
          <t>Divination</t>
        </is>
      </c>
      <c r="D331" t="inlineStr">
        <is>
          <t>PHB 2024</t>
        </is>
      </c>
      <c r="E331" t="inlineStr"/>
      <c r="F331">
        <f>A331*50</f>
        <v/>
      </c>
      <c r="G331">
        <f>IF(A331&lt;=4,1,2)</f>
        <v/>
      </c>
    </row>
    <row r="332">
      <c r="A332" t="n">
        <v>9</v>
      </c>
      <c r="B332" t="inlineStr">
        <is>
          <t>Astral Projection</t>
        </is>
      </c>
      <c r="C332" t="inlineStr">
        <is>
          <t>Necromancy</t>
        </is>
      </c>
      <c r="D332" t="inlineStr">
        <is>
          <t>PHB 2024</t>
        </is>
      </c>
      <c r="E332" t="inlineStr"/>
      <c r="F332">
        <f>A332*50</f>
        <v/>
      </c>
      <c r="G332">
        <f>IF(A332&lt;=4,1,2)</f>
        <v/>
      </c>
    </row>
    <row r="333">
      <c r="A333" t="n">
        <v>9</v>
      </c>
      <c r="B333" t="inlineStr">
        <is>
          <t>Blade of Disaster</t>
        </is>
      </c>
      <c r="C333" t="inlineStr">
        <is>
          <t>Conjuration</t>
        </is>
      </c>
      <c r="D333" t="inlineStr">
        <is>
          <t>Heroes of Faerun</t>
        </is>
      </c>
      <c r="E333" t="inlineStr"/>
      <c r="F333">
        <f>A333*50</f>
        <v/>
      </c>
      <c r="G333">
        <f>IF(A333&lt;=4,1,2)</f>
        <v/>
      </c>
    </row>
    <row r="334">
      <c r="A334" t="n">
        <v>9</v>
      </c>
      <c r="B334" t="inlineStr">
        <is>
          <t>Detonate</t>
        </is>
      </c>
      <c r="C334" t="inlineStr">
        <is>
          <t>Evocation</t>
        </is>
      </c>
      <c r="D334" t="inlineStr">
        <is>
          <t>Arcana Unleashed</t>
        </is>
      </c>
      <c r="E334" t="inlineStr"/>
      <c r="F334">
        <f>A334*50</f>
        <v/>
      </c>
      <c r="G334">
        <f>IF(A334&lt;=4,1,2)</f>
        <v/>
      </c>
    </row>
    <row r="335">
      <c r="A335" t="n">
        <v>9</v>
      </c>
      <c r="B335" t="inlineStr">
        <is>
          <t>Foresight</t>
        </is>
      </c>
      <c r="C335" t="inlineStr">
        <is>
          <t>Divination</t>
        </is>
      </c>
      <c r="D335" t="inlineStr">
        <is>
          <t>PHB 2024</t>
        </is>
      </c>
      <c r="E335" t="inlineStr"/>
      <c r="F335">
        <f>A335*50</f>
        <v/>
      </c>
      <c r="G335">
        <f>IF(A335&lt;=4,1,2)</f>
        <v/>
      </c>
    </row>
    <row r="336">
      <c r="A336" t="n">
        <v>9</v>
      </c>
      <c r="B336" t="inlineStr">
        <is>
          <t>Gate</t>
        </is>
      </c>
      <c r="C336" t="inlineStr">
        <is>
          <t>Conjuration</t>
        </is>
      </c>
      <c r="D336" t="inlineStr">
        <is>
          <t>PHB 2024</t>
        </is>
      </c>
      <c r="E336" t="inlineStr"/>
      <c r="F336">
        <f>A336*50</f>
        <v/>
      </c>
      <c r="G336">
        <f>IF(A336&lt;=4,1,2)</f>
        <v/>
      </c>
    </row>
    <row r="337">
      <c r="A337" t="n">
        <v>9</v>
      </c>
      <c r="B337" t="inlineStr">
        <is>
          <t>Hindsight</t>
        </is>
      </c>
      <c r="C337" t="inlineStr">
        <is>
          <t>Divination</t>
        </is>
      </c>
      <c r="D337" t="inlineStr">
        <is>
          <t>Arcana Unleashed</t>
        </is>
      </c>
      <c r="E337" t="inlineStr"/>
      <c r="F337">
        <f>A337*50</f>
        <v/>
      </c>
      <c r="G337">
        <f>IF(A337&lt;=4,1,2)</f>
        <v/>
      </c>
    </row>
    <row r="338">
      <c r="A338" t="n">
        <v>9</v>
      </c>
      <c r="B338" t="inlineStr">
        <is>
          <t>Imprisonment</t>
        </is>
      </c>
      <c r="C338" t="inlineStr">
        <is>
          <t>Abjuration</t>
        </is>
      </c>
      <c r="D338" t="inlineStr">
        <is>
          <t>PHB 2024</t>
        </is>
      </c>
      <c r="E338" t="inlineStr"/>
      <c r="F338">
        <f>A338*50</f>
        <v/>
      </c>
      <c r="G338">
        <f>IF(A338&lt;=4,1,2)</f>
        <v/>
      </c>
    </row>
    <row r="339">
      <c r="A339" t="n">
        <v>9</v>
      </c>
      <c r="B339" t="inlineStr">
        <is>
          <t>Invulnerability</t>
        </is>
      </c>
      <c r="C339" t="inlineStr">
        <is>
          <t>Abjuration</t>
        </is>
      </c>
      <c r="D339" t="inlineStr">
        <is>
          <t>Arcana Unleashed</t>
        </is>
      </c>
      <c r="E339" t="inlineStr"/>
      <c r="F339">
        <f>A339*50</f>
        <v/>
      </c>
      <c r="G339">
        <f>IF(A339&lt;=4,1,2)</f>
        <v/>
      </c>
    </row>
    <row r="340">
      <c r="A340" t="n">
        <v>9</v>
      </c>
      <c r="B340" t="inlineStr">
        <is>
          <t>Mass Polymorph</t>
        </is>
      </c>
      <c r="C340" t="inlineStr">
        <is>
          <t>Transmutation</t>
        </is>
      </c>
      <c r="D340" t="inlineStr">
        <is>
          <t>Xanathar's Guide</t>
        </is>
      </c>
      <c r="E340" t="inlineStr"/>
      <c r="F340">
        <f>A340*50</f>
        <v/>
      </c>
      <c r="G340">
        <f>IF(A340&lt;=4,1,2)</f>
        <v/>
      </c>
    </row>
    <row r="341">
      <c r="A341" t="n">
        <v>9</v>
      </c>
      <c r="B341" t="inlineStr">
        <is>
          <t>Meteor Swarm</t>
        </is>
      </c>
      <c r="C341" t="inlineStr">
        <is>
          <t>Evocation</t>
        </is>
      </c>
      <c r="D341" t="inlineStr">
        <is>
          <t>PHB 2024</t>
        </is>
      </c>
      <c r="E341" t="inlineStr"/>
      <c r="F341">
        <f>A341*50</f>
        <v/>
      </c>
      <c r="G341">
        <f>IF(A341&lt;=4,1,2)</f>
        <v/>
      </c>
    </row>
    <row r="342">
      <c r="A342" t="n">
        <v>9</v>
      </c>
      <c r="B342" t="inlineStr">
        <is>
          <t>Power Word Kill</t>
        </is>
      </c>
      <c r="C342" t="inlineStr">
        <is>
          <t>Enchantment</t>
        </is>
      </c>
      <c r="D342" t="inlineStr">
        <is>
          <t>PHB 2024</t>
        </is>
      </c>
      <c r="E342" t="inlineStr"/>
      <c r="F342">
        <f>A342*50</f>
        <v/>
      </c>
      <c r="G342">
        <f>IF(A342&lt;=4,1,2)</f>
        <v/>
      </c>
    </row>
    <row r="343">
      <c r="A343" t="n">
        <v>9</v>
      </c>
      <c r="B343" t="inlineStr">
        <is>
          <t>Prismatic Wall</t>
        </is>
      </c>
      <c r="C343" t="inlineStr">
        <is>
          <t>Abjuration</t>
        </is>
      </c>
      <c r="D343" t="inlineStr">
        <is>
          <t>PHB 2024</t>
        </is>
      </c>
      <c r="E343" t="inlineStr"/>
      <c r="F343">
        <f>A343*50</f>
        <v/>
      </c>
      <c r="G343">
        <f>IF(A343&lt;=4,1,2)</f>
        <v/>
      </c>
    </row>
    <row r="344">
      <c r="A344" t="n">
        <v>9</v>
      </c>
      <c r="B344" t="inlineStr">
        <is>
          <t>Psychic Scream</t>
        </is>
      </c>
      <c r="C344" t="inlineStr">
        <is>
          <t>Enchantment</t>
        </is>
      </c>
      <c r="D344" t="inlineStr">
        <is>
          <t>Xanathar's Guide</t>
        </is>
      </c>
      <c r="E344" t="inlineStr"/>
      <c r="F344">
        <f>A344*50</f>
        <v/>
      </c>
      <c r="G344">
        <f>IF(A344&lt;=4,1,2)</f>
        <v/>
      </c>
    </row>
    <row r="345">
      <c r="A345" t="n">
        <v>9</v>
      </c>
      <c r="B345" t="inlineStr">
        <is>
          <t>Shapechange</t>
        </is>
      </c>
      <c r="C345" t="inlineStr">
        <is>
          <t>Transmutation</t>
        </is>
      </c>
      <c r="D345" t="inlineStr">
        <is>
          <t>PHB 2024</t>
        </is>
      </c>
      <c r="E345" t="inlineStr"/>
      <c r="F345">
        <f>A345*50</f>
        <v/>
      </c>
      <c r="G345">
        <f>IF(A345&lt;=4,1,2)</f>
        <v/>
      </c>
    </row>
    <row r="346">
      <c r="A346" t="n">
        <v>9</v>
      </c>
      <c r="B346" t="inlineStr">
        <is>
          <t>Time Stop</t>
        </is>
      </c>
      <c r="C346" t="inlineStr">
        <is>
          <t>Transmutation</t>
        </is>
      </c>
      <c r="D346" t="inlineStr">
        <is>
          <t>PHB 2024</t>
        </is>
      </c>
      <c r="E346" t="inlineStr"/>
      <c r="F346">
        <f>A346*50</f>
        <v/>
      </c>
      <c r="G346">
        <f>IF(A346&lt;=4,1,2)</f>
        <v/>
      </c>
    </row>
    <row r="347">
      <c r="A347" t="n">
        <v>9</v>
      </c>
      <c r="B347" t="inlineStr">
        <is>
          <t>True Polymorph</t>
        </is>
      </c>
      <c r="C347" t="inlineStr">
        <is>
          <t>Transmutation</t>
        </is>
      </c>
      <c r="D347" t="inlineStr">
        <is>
          <t>PHB 2024</t>
        </is>
      </c>
      <c r="E347" t="inlineStr"/>
      <c r="F347">
        <f>A347*50</f>
        <v/>
      </c>
      <c r="G347">
        <f>IF(A347&lt;=4,1,2)</f>
        <v/>
      </c>
    </row>
    <row r="348">
      <c r="A348" t="n">
        <v>9</v>
      </c>
      <c r="B348" t="inlineStr">
        <is>
          <t>Vision of Elapsing Eons</t>
        </is>
      </c>
      <c r="C348" t="inlineStr">
        <is>
          <t>Illusion</t>
        </is>
      </c>
      <c r="D348" t="inlineStr">
        <is>
          <t>Arcana Unleashed</t>
        </is>
      </c>
      <c r="E348" t="inlineStr"/>
      <c r="F348">
        <f>A348*50</f>
        <v/>
      </c>
      <c r="G348">
        <f>IF(A348&lt;=4,1,2)</f>
        <v/>
      </c>
    </row>
    <row r="349">
      <c r="A349" t="n">
        <v>9</v>
      </c>
      <c r="B349" t="inlineStr">
        <is>
          <t>Wail of the Banshee</t>
        </is>
      </c>
      <c r="C349" t="inlineStr">
        <is>
          <t>Necromancy</t>
        </is>
      </c>
      <c r="D349" t="inlineStr">
        <is>
          <t>Arcana Unleashed</t>
        </is>
      </c>
      <c r="E349" t="inlineStr"/>
      <c r="F349">
        <f>A349*50</f>
        <v/>
      </c>
      <c r="G349">
        <f>IF(A349&lt;=4,1,2)</f>
        <v/>
      </c>
    </row>
    <row r="350">
      <c r="A350" t="n">
        <v>9</v>
      </c>
      <c r="B350" t="inlineStr">
        <is>
          <t>Weird</t>
        </is>
      </c>
      <c r="C350" t="inlineStr">
        <is>
          <t>Illusion</t>
        </is>
      </c>
      <c r="D350" t="inlineStr">
        <is>
          <t>PHB 2024</t>
        </is>
      </c>
      <c r="E350" t="inlineStr"/>
      <c r="F350">
        <f>A350*50</f>
        <v/>
      </c>
      <c r="G350">
        <f>IF(A350&lt;=4,1,2)</f>
        <v/>
      </c>
    </row>
    <row r="351">
      <c r="A351" t="n">
        <v>9</v>
      </c>
      <c r="B351" t="inlineStr">
        <is>
          <t>Wish</t>
        </is>
      </c>
      <c r="C351" t="inlineStr">
        <is>
          <t>Conjuration</t>
        </is>
      </c>
      <c r="D351" t="inlineStr">
        <is>
          <t>PHB 2024</t>
        </is>
      </c>
      <c r="E351" t="inlineStr"/>
      <c r="F351">
        <f>A351*50</f>
        <v/>
      </c>
      <c r="G351">
        <f>IF(A351&lt;=4,1,2)</f>
        <v/>
      </c>
    </row>
  </sheetData>
  <autoFilter ref="A1:G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12" customWidth="1" min="5" max="5"/>
    <col width="12" customWidth="1" min="6" max="6"/>
    <col width="22" customWidth="1" min="7" max="7"/>
    <col width="2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</cols>
  <sheetData>
    <row r="1">
      <c r="A1" s="5" t="inlineStr">
        <is>
          <t>Timestamp</t>
        </is>
      </c>
      <c r="B1" s="5" t="inlineStr">
        <is>
          <t>Email Address</t>
        </is>
      </c>
      <c r="C1" s="5" t="inlineStr">
        <is>
          <t>Player name</t>
        </is>
      </c>
      <c r="D1" s="5" t="inlineStr">
        <is>
          <t>Character name</t>
        </is>
      </c>
      <c r="E1" s="5" t="inlineStr">
        <is>
          <t>Wizard level</t>
        </is>
      </c>
      <c r="F1" s="5" t="inlineStr">
        <is>
          <t>Table number</t>
        </is>
      </c>
      <c r="G1" s="5" t="inlineStr">
        <is>
          <t>Wizard subclass</t>
        </is>
      </c>
      <c r="H1" s="5" t="inlineStr">
        <is>
          <t>Contact after the event</t>
        </is>
      </c>
      <c r="I1" s="5" t="inlineStr">
        <is>
          <t>Level 1 spells</t>
        </is>
      </c>
      <c r="J1" s="5" t="inlineStr">
        <is>
          <t>Level 2 spells</t>
        </is>
      </c>
      <c r="K1" s="5" t="inlineStr">
        <is>
          <t>Level 3 spells</t>
        </is>
      </c>
      <c r="L1" s="5" t="inlineStr">
        <is>
          <t>Level 4 spells</t>
        </is>
      </c>
      <c r="M1" s="5" t="inlineStr">
        <is>
          <t>Level 5 spells</t>
        </is>
      </c>
      <c r="N1" s="5" t="inlineStr">
        <is>
          <t>Level 6 spells</t>
        </is>
      </c>
      <c r="O1" s="5" t="inlineStr">
        <is>
          <t>Level 7 spells</t>
        </is>
      </c>
      <c r="P1" s="5" t="inlineStr">
        <is>
          <t>Level 8 spells</t>
        </is>
      </c>
      <c r="Q1" s="5" t="inlineStr">
        <is>
          <t>Level 9 spells</t>
        </is>
      </c>
      <c r="R1" s="5" t="inlineStr">
        <is>
          <t>Other spells not in the lists above</t>
        </is>
      </c>
    </row>
    <row r="27">
      <c r="A27" s="6" t="inlineStr">
        <is>
          <t>Google Forms writes into this tab. Do not edit or reorder columns - the whole workbook references them by position.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3" customWidth="1" min="4" max="4"/>
    <col width="8" customWidth="1" min="5" max="5"/>
    <col width="22" customWidth="1" min="6" max="6"/>
    <col width="15" customWidth="1" min="7" max="7"/>
    <col width="20" customWidth="1" min="8" max="8"/>
    <col width="13" customWidth="1" min="9" max="9"/>
    <col width="13" customWidth="1" min="10" max="10"/>
  </cols>
  <sheetData>
    <row r="1">
      <c r="A1" s="5" t="inlineStr">
        <is>
          <t>Character</t>
        </is>
      </c>
      <c r="B1" s="5" t="inlineStr">
        <is>
          <t>Player</t>
        </is>
      </c>
      <c r="C1" s="5" t="inlineStr">
        <is>
          <t>Wizard level</t>
        </is>
      </c>
      <c r="D1" s="5" t="inlineStr">
        <is>
          <t>Max spell level</t>
        </is>
      </c>
      <c r="E1" s="5" t="inlineStr">
        <is>
          <t>Table</t>
        </is>
      </c>
      <c r="F1" s="5" t="inlineStr">
        <is>
          <t>Subclass</t>
        </is>
      </c>
      <c r="G1" s="5" t="inlineStr">
        <is>
          <t>Order of Scribes?</t>
        </is>
      </c>
      <c r="H1" s="5" t="inlineStr">
        <is>
          <t>Contact</t>
        </is>
      </c>
      <c r="I1" s="5" t="inlineStr">
        <is>
          <t>Spells in book</t>
        </is>
      </c>
      <c r="J1" s="5" t="inlineStr">
        <is>
          <t>Rare spells held</t>
        </is>
      </c>
    </row>
    <row r="2">
      <c r="A2">
        <f>IF(INDEX('Form Responses'!$D$1:$D$200,2)="","",INDEX('Form Responses'!$D$1:$D$200,2))</f>
        <v/>
      </c>
      <c r="B2">
        <f>IF($A2="","",INDEX('Form Responses'!$C$1:$C$200,2))</f>
        <v/>
      </c>
      <c r="C2">
        <f>IF($A2="","",INDEX('Form Responses'!$E$1:$E$200,2))</f>
        <v/>
      </c>
      <c r="D2">
        <f>IF($A2="","",MIN(9,CEILING($C2/2,1)))</f>
        <v/>
      </c>
      <c r="E2">
        <f>IF($A2="","",INDEX('Form Responses'!$F$1:$F$200,2))</f>
        <v/>
      </c>
      <c r="F2">
        <f>IF($A2="","",INDEX('Form Responses'!$G$1:$G$200,2))</f>
        <v/>
      </c>
      <c r="G2">
        <f>IF($A2="","",IF(ISNUMBER(SEARCH("Scribes",INDEX('Form Responses'!$G$1:$G$200,2))),"Yes","No"))</f>
        <v/>
      </c>
      <c r="H2">
        <f>IF($A2="","",INDEX('Form Responses'!$H$1:$H$200,2))</f>
        <v/>
      </c>
      <c r="I2">
        <f>IF($A2="","",COUNT(Matrix!$D$2:$D$351))</f>
        <v/>
      </c>
      <c r="J2">
        <f>IF($A2="","",COUNTIFS(Matrix!$D$2:$D$351,1,Matrix!$BA$2:$BA$351,1))</f>
        <v/>
      </c>
    </row>
    <row r="3">
      <c r="A3">
        <f>IF(INDEX('Form Responses'!$D$1:$D$200,3)="","",INDEX('Form Responses'!$D$1:$D$200,3))</f>
        <v/>
      </c>
      <c r="B3">
        <f>IF($A3="","",INDEX('Form Responses'!$C$1:$C$200,3))</f>
        <v/>
      </c>
      <c r="C3">
        <f>IF($A3="","",INDEX('Form Responses'!$E$1:$E$200,3))</f>
        <v/>
      </c>
      <c r="D3">
        <f>IF($A3="","",MIN(9,CEILING($C3/2,1)))</f>
        <v/>
      </c>
      <c r="E3">
        <f>IF($A3="","",INDEX('Form Responses'!$F$1:$F$200,3))</f>
        <v/>
      </c>
      <c r="F3">
        <f>IF($A3="","",INDEX('Form Responses'!$G$1:$G$200,3))</f>
        <v/>
      </c>
      <c r="G3">
        <f>IF($A3="","",IF(ISNUMBER(SEARCH("Scribes",INDEX('Form Responses'!$G$1:$G$200,3))),"Yes","No"))</f>
        <v/>
      </c>
      <c r="H3">
        <f>IF($A3="","",INDEX('Form Responses'!$H$1:$H$200,3))</f>
        <v/>
      </c>
      <c r="I3">
        <f>IF($A3="","",COUNT(Matrix!$E$2:$E$351))</f>
        <v/>
      </c>
      <c r="J3">
        <f>IF($A3="","",COUNTIFS(Matrix!$E$2:$E$351,1,Matrix!$BA$2:$BA$351,1))</f>
        <v/>
      </c>
    </row>
    <row r="4">
      <c r="A4">
        <f>IF(INDEX('Form Responses'!$D$1:$D$200,4)="","",INDEX('Form Responses'!$D$1:$D$200,4))</f>
        <v/>
      </c>
      <c r="B4">
        <f>IF($A4="","",INDEX('Form Responses'!$C$1:$C$200,4))</f>
        <v/>
      </c>
      <c r="C4">
        <f>IF($A4="","",INDEX('Form Responses'!$E$1:$E$200,4))</f>
        <v/>
      </c>
      <c r="D4">
        <f>IF($A4="","",MIN(9,CEILING($C4/2,1)))</f>
        <v/>
      </c>
      <c r="E4">
        <f>IF($A4="","",INDEX('Form Responses'!$F$1:$F$200,4))</f>
        <v/>
      </c>
      <c r="F4">
        <f>IF($A4="","",INDEX('Form Responses'!$G$1:$G$200,4))</f>
        <v/>
      </c>
      <c r="G4">
        <f>IF($A4="","",IF(ISNUMBER(SEARCH("Scribes",INDEX('Form Responses'!$G$1:$G$200,4))),"Yes","No"))</f>
        <v/>
      </c>
      <c r="H4">
        <f>IF($A4="","",INDEX('Form Responses'!$H$1:$H$200,4))</f>
        <v/>
      </c>
      <c r="I4">
        <f>IF($A4="","",COUNT(Matrix!$F$2:$F$351))</f>
        <v/>
      </c>
      <c r="J4">
        <f>IF($A4="","",COUNTIFS(Matrix!$F$2:$F$351,1,Matrix!$BA$2:$BA$351,1))</f>
        <v/>
      </c>
    </row>
    <row r="5">
      <c r="A5">
        <f>IF(INDEX('Form Responses'!$D$1:$D$200,5)="","",INDEX('Form Responses'!$D$1:$D$200,5))</f>
        <v/>
      </c>
      <c r="B5">
        <f>IF($A5="","",INDEX('Form Responses'!$C$1:$C$200,5))</f>
        <v/>
      </c>
      <c r="C5">
        <f>IF($A5="","",INDEX('Form Responses'!$E$1:$E$200,5))</f>
        <v/>
      </c>
      <c r="D5">
        <f>IF($A5="","",MIN(9,CEILING($C5/2,1)))</f>
        <v/>
      </c>
      <c r="E5">
        <f>IF($A5="","",INDEX('Form Responses'!$F$1:$F$200,5))</f>
        <v/>
      </c>
      <c r="F5">
        <f>IF($A5="","",INDEX('Form Responses'!$G$1:$G$200,5))</f>
        <v/>
      </c>
      <c r="G5">
        <f>IF($A5="","",IF(ISNUMBER(SEARCH("Scribes",INDEX('Form Responses'!$G$1:$G$200,5))),"Yes","No"))</f>
        <v/>
      </c>
      <c r="H5">
        <f>IF($A5="","",INDEX('Form Responses'!$H$1:$H$200,5))</f>
        <v/>
      </c>
      <c r="I5">
        <f>IF($A5="","",COUNT(Matrix!$G$2:$G$351))</f>
        <v/>
      </c>
      <c r="J5">
        <f>IF($A5="","",COUNTIFS(Matrix!$G$2:$G$351,1,Matrix!$BA$2:$BA$351,1))</f>
        <v/>
      </c>
    </row>
    <row r="6">
      <c r="A6">
        <f>IF(INDEX('Form Responses'!$D$1:$D$200,6)="","",INDEX('Form Responses'!$D$1:$D$200,6))</f>
        <v/>
      </c>
      <c r="B6">
        <f>IF($A6="","",INDEX('Form Responses'!$C$1:$C$200,6))</f>
        <v/>
      </c>
      <c r="C6">
        <f>IF($A6="","",INDEX('Form Responses'!$E$1:$E$200,6))</f>
        <v/>
      </c>
      <c r="D6">
        <f>IF($A6="","",MIN(9,CEILING($C6/2,1)))</f>
        <v/>
      </c>
      <c r="E6">
        <f>IF($A6="","",INDEX('Form Responses'!$F$1:$F$200,6))</f>
        <v/>
      </c>
      <c r="F6">
        <f>IF($A6="","",INDEX('Form Responses'!$G$1:$G$200,6))</f>
        <v/>
      </c>
      <c r="G6">
        <f>IF($A6="","",IF(ISNUMBER(SEARCH("Scribes",INDEX('Form Responses'!$G$1:$G$200,6))),"Yes","No"))</f>
        <v/>
      </c>
      <c r="H6">
        <f>IF($A6="","",INDEX('Form Responses'!$H$1:$H$200,6))</f>
        <v/>
      </c>
      <c r="I6">
        <f>IF($A6="","",COUNT(Matrix!$H$2:$H$351))</f>
        <v/>
      </c>
      <c r="J6">
        <f>IF($A6="","",COUNTIFS(Matrix!$H$2:$H$351,1,Matrix!$BA$2:$BA$351,1))</f>
        <v/>
      </c>
    </row>
    <row r="7">
      <c r="A7">
        <f>IF(INDEX('Form Responses'!$D$1:$D$200,7)="","",INDEX('Form Responses'!$D$1:$D$200,7))</f>
        <v/>
      </c>
      <c r="B7">
        <f>IF($A7="","",INDEX('Form Responses'!$C$1:$C$200,7))</f>
        <v/>
      </c>
      <c r="C7">
        <f>IF($A7="","",INDEX('Form Responses'!$E$1:$E$200,7))</f>
        <v/>
      </c>
      <c r="D7">
        <f>IF($A7="","",MIN(9,CEILING($C7/2,1)))</f>
        <v/>
      </c>
      <c r="E7">
        <f>IF($A7="","",INDEX('Form Responses'!$F$1:$F$200,7))</f>
        <v/>
      </c>
      <c r="F7">
        <f>IF($A7="","",INDEX('Form Responses'!$G$1:$G$200,7))</f>
        <v/>
      </c>
      <c r="G7">
        <f>IF($A7="","",IF(ISNUMBER(SEARCH("Scribes",INDEX('Form Responses'!$G$1:$G$200,7))),"Yes","No"))</f>
        <v/>
      </c>
      <c r="H7">
        <f>IF($A7="","",INDEX('Form Responses'!$H$1:$H$200,7))</f>
        <v/>
      </c>
      <c r="I7">
        <f>IF($A7="","",COUNT(Matrix!$I$2:$I$351))</f>
        <v/>
      </c>
      <c r="J7">
        <f>IF($A7="","",COUNTIFS(Matrix!$I$2:$I$351,1,Matrix!$BA$2:$BA$351,1))</f>
        <v/>
      </c>
    </row>
    <row r="8">
      <c r="A8">
        <f>IF(INDEX('Form Responses'!$D$1:$D$200,8)="","",INDEX('Form Responses'!$D$1:$D$200,8))</f>
        <v/>
      </c>
      <c r="B8">
        <f>IF($A8="","",INDEX('Form Responses'!$C$1:$C$200,8))</f>
        <v/>
      </c>
      <c r="C8">
        <f>IF($A8="","",INDEX('Form Responses'!$E$1:$E$200,8))</f>
        <v/>
      </c>
      <c r="D8">
        <f>IF($A8="","",MIN(9,CEILING($C8/2,1)))</f>
        <v/>
      </c>
      <c r="E8">
        <f>IF($A8="","",INDEX('Form Responses'!$F$1:$F$200,8))</f>
        <v/>
      </c>
      <c r="F8">
        <f>IF($A8="","",INDEX('Form Responses'!$G$1:$G$200,8))</f>
        <v/>
      </c>
      <c r="G8">
        <f>IF($A8="","",IF(ISNUMBER(SEARCH("Scribes",INDEX('Form Responses'!$G$1:$G$200,8))),"Yes","No"))</f>
        <v/>
      </c>
      <c r="H8">
        <f>IF($A8="","",INDEX('Form Responses'!$H$1:$H$200,8))</f>
        <v/>
      </c>
      <c r="I8">
        <f>IF($A8="","",COUNT(Matrix!$J$2:$J$351))</f>
        <v/>
      </c>
      <c r="J8">
        <f>IF($A8="","",COUNTIFS(Matrix!$J$2:$J$351,1,Matrix!$BA$2:$BA$351,1))</f>
        <v/>
      </c>
    </row>
    <row r="9">
      <c r="A9">
        <f>IF(INDEX('Form Responses'!$D$1:$D$200,9)="","",INDEX('Form Responses'!$D$1:$D$200,9))</f>
        <v/>
      </c>
      <c r="B9">
        <f>IF($A9="","",INDEX('Form Responses'!$C$1:$C$200,9))</f>
        <v/>
      </c>
      <c r="C9">
        <f>IF($A9="","",INDEX('Form Responses'!$E$1:$E$200,9))</f>
        <v/>
      </c>
      <c r="D9">
        <f>IF($A9="","",MIN(9,CEILING($C9/2,1)))</f>
        <v/>
      </c>
      <c r="E9">
        <f>IF($A9="","",INDEX('Form Responses'!$F$1:$F$200,9))</f>
        <v/>
      </c>
      <c r="F9">
        <f>IF($A9="","",INDEX('Form Responses'!$G$1:$G$200,9))</f>
        <v/>
      </c>
      <c r="G9">
        <f>IF($A9="","",IF(ISNUMBER(SEARCH("Scribes",INDEX('Form Responses'!$G$1:$G$200,9))),"Yes","No"))</f>
        <v/>
      </c>
      <c r="H9">
        <f>IF($A9="","",INDEX('Form Responses'!$H$1:$H$200,9))</f>
        <v/>
      </c>
      <c r="I9">
        <f>IF($A9="","",COUNT(Matrix!$K$2:$K$351))</f>
        <v/>
      </c>
      <c r="J9">
        <f>IF($A9="","",COUNTIFS(Matrix!$K$2:$K$351,1,Matrix!$BA$2:$BA$351,1))</f>
        <v/>
      </c>
    </row>
    <row r="10">
      <c r="A10">
        <f>IF(INDEX('Form Responses'!$D$1:$D$200,10)="","",INDEX('Form Responses'!$D$1:$D$200,10))</f>
        <v/>
      </c>
      <c r="B10">
        <f>IF($A10="","",INDEX('Form Responses'!$C$1:$C$200,10))</f>
        <v/>
      </c>
      <c r="C10">
        <f>IF($A10="","",INDEX('Form Responses'!$E$1:$E$200,10))</f>
        <v/>
      </c>
      <c r="D10">
        <f>IF($A10="","",MIN(9,CEILING($C10/2,1)))</f>
        <v/>
      </c>
      <c r="E10">
        <f>IF($A10="","",INDEX('Form Responses'!$F$1:$F$200,10))</f>
        <v/>
      </c>
      <c r="F10">
        <f>IF($A10="","",INDEX('Form Responses'!$G$1:$G$200,10))</f>
        <v/>
      </c>
      <c r="G10">
        <f>IF($A10="","",IF(ISNUMBER(SEARCH("Scribes",INDEX('Form Responses'!$G$1:$G$200,10))),"Yes","No"))</f>
        <v/>
      </c>
      <c r="H10">
        <f>IF($A10="","",INDEX('Form Responses'!$H$1:$H$200,10))</f>
        <v/>
      </c>
      <c r="I10">
        <f>IF($A10="","",COUNT(Matrix!$L$2:$L$351))</f>
        <v/>
      </c>
      <c r="J10">
        <f>IF($A10="","",COUNTIFS(Matrix!$L$2:$L$351,1,Matrix!$BA$2:$BA$351,1))</f>
        <v/>
      </c>
    </row>
    <row r="11">
      <c r="A11">
        <f>IF(INDEX('Form Responses'!$D$1:$D$200,11)="","",INDEX('Form Responses'!$D$1:$D$200,11))</f>
        <v/>
      </c>
      <c r="B11">
        <f>IF($A11="","",INDEX('Form Responses'!$C$1:$C$200,11))</f>
        <v/>
      </c>
      <c r="C11">
        <f>IF($A11="","",INDEX('Form Responses'!$E$1:$E$200,11))</f>
        <v/>
      </c>
      <c r="D11">
        <f>IF($A11="","",MIN(9,CEILING($C11/2,1)))</f>
        <v/>
      </c>
      <c r="E11">
        <f>IF($A11="","",INDEX('Form Responses'!$F$1:$F$200,11))</f>
        <v/>
      </c>
      <c r="F11">
        <f>IF($A11="","",INDEX('Form Responses'!$G$1:$G$200,11))</f>
        <v/>
      </c>
      <c r="G11">
        <f>IF($A11="","",IF(ISNUMBER(SEARCH("Scribes",INDEX('Form Responses'!$G$1:$G$200,11))),"Yes","No"))</f>
        <v/>
      </c>
      <c r="H11">
        <f>IF($A11="","",INDEX('Form Responses'!$H$1:$H$200,11))</f>
        <v/>
      </c>
      <c r="I11">
        <f>IF($A11="","",COUNT(Matrix!$M$2:$M$351))</f>
        <v/>
      </c>
      <c r="J11">
        <f>IF($A11="","",COUNTIFS(Matrix!$M$2:$M$351,1,Matrix!$BA$2:$BA$351,1))</f>
        <v/>
      </c>
    </row>
    <row r="12">
      <c r="A12">
        <f>IF(INDEX('Form Responses'!$D$1:$D$200,12)="","",INDEX('Form Responses'!$D$1:$D$200,12))</f>
        <v/>
      </c>
      <c r="B12">
        <f>IF($A12="","",INDEX('Form Responses'!$C$1:$C$200,12))</f>
        <v/>
      </c>
      <c r="C12">
        <f>IF($A12="","",INDEX('Form Responses'!$E$1:$E$200,12))</f>
        <v/>
      </c>
      <c r="D12">
        <f>IF($A12="","",MIN(9,CEILING($C12/2,1)))</f>
        <v/>
      </c>
      <c r="E12">
        <f>IF($A12="","",INDEX('Form Responses'!$F$1:$F$200,12))</f>
        <v/>
      </c>
      <c r="F12">
        <f>IF($A12="","",INDEX('Form Responses'!$G$1:$G$200,12))</f>
        <v/>
      </c>
      <c r="G12">
        <f>IF($A12="","",IF(ISNUMBER(SEARCH("Scribes",INDEX('Form Responses'!$G$1:$G$200,12))),"Yes","No"))</f>
        <v/>
      </c>
      <c r="H12">
        <f>IF($A12="","",INDEX('Form Responses'!$H$1:$H$200,12))</f>
        <v/>
      </c>
      <c r="I12">
        <f>IF($A12="","",COUNT(Matrix!$N$2:$N$351))</f>
        <v/>
      </c>
      <c r="J12">
        <f>IF($A12="","",COUNTIFS(Matrix!$N$2:$N$351,1,Matrix!$BA$2:$BA$351,1))</f>
        <v/>
      </c>
    </row>
    <row r="13">
      <c r="A13">
        <f>IF(INDEX('Form Responses'!$D$1:$D$200,13)="","",INDEX('Form Responses'!$D$1:$D$200,13))</f>
        <v/>
      </c>
      <c r="B13">
        <f>IF($A13="","",INDEX('Form Responses'!$C$1:$C$200,13))</f>
        <v/>
      </c>
      <c r="C13">
        <f>IF($A13="","",INDEX('Form Responses'!$E$1:$E$200,13))</f>
        <v/>
      </c>
      <c r="D13">
        <f>IF($A13="","",MIN(9,CEILING($C13/2,1)))</f>
        <v/>
      </c>
      <c r="E13">
        <f>IF($A13="","",INDEX('Form Responses'!$F$1:$F$200,13))</f>
        <v/>
      </c>
      <c r="F13">
        <f>IF($A13="","",INDEX('Form Responses'!$G$1:$G$200,13))</f>
        <v/>
      </c>
      <c r="G13">
        <f>IF($A13="","",IF(ISNUMBER(SEARCH("Scribes",INDEX('Form Responses'!$G$1:$G$200,13))),"Yes","No"))</f>
        <v/>
      </c>
      <c r="H13">
        <f>IF($A13="","",INDEX('Form Responses'!$H$1:$H$200,13))</f>
        <v/>
      </c>
      <c r="I13">
        <f>IF($A13="","",COUNT(Matrix!$O$2:$O$351))</f>
        <v/>
      </c>
      <c r="J13">
        <f>IF($A13="","",COUNTIFS(Matrix!$O$2:$O$351,1,Matrix!$BA$2:$BA$351,1))</f>
        <v/>
      </c>
    </row>
    <row r="14">
      <c r="A14">
        <f>IF(INDEX('Form Responses'!$D$1:$D$200,14)="","",INDEX('Form Responses'!$D$1:$D$200,14))</f>
        <v/>
      </c>
      <c r="B14">
        <f>IF($A14="","",INDEX('Form Responses'!$C$1:$C$200,14))</f>
        <v/>
      </c>
      <c r="C14">
        <f>IF($A14="","",INDEX('Form Responses'!$E$1:$E$200,14))</f>
        <v/>
      </c>
      <c r="D14">
        <f>IF($A14="","",MIN(9,CEILING($C14/2,1)))</f>
        <v/>
      </c>
      <c r="E14">
        <f>IF($A14="","",INDEX('Form Responses'!$F$1:$F$200,14))</f>
        <v/>
      </c>
      <c r="F14">
        <f>IF($A14="","",INDEX('Form Responses'!$G$1:$G$200,14))</f>
        <v/>
      </c>
      <c r="G14">
        <f>IF($A14="","",IF(ISNUMBER(SEARCH("Scribes",INDEX('Form Responses'!$G$1:$G$200,14))),"Yes","No"))</f>
        <v/>
      </c>
      <c r="H14">
        <f>IF($A14="","",INDEX('Form Responses'!$H$1:$H$200,14))</f>
        <v/>
      </c>
      <c r="I14">
        <f>IF($A14="","",COUNT(Matrix!$P$2:$P$351))</f>
        <v/>
      </c>
      <c r="J14">
        <f>IF($A14="","",COUNTIFS(Matrix!$P$2:$P$351,1,Matrix!$BA$2:$BA$351,1))</f>
        <v/>
      </c>
    </row>
    <row r="15">
      <c r="A15">
        <f>IF(INDEX('Form Responses'!$D$1:$D$200,15)="","",INDEX('Form Responses'!$D$1:$D$200,15))</f>
        <v/>
      </c>
      <c r="B15">
        <f>IF($A15="","",INDEX('Form Responses'!$C$1:$C$200,15))</f>
        <v/>
      </c>
      <c r="C15">
        <f>IF($A15="","",INDEX('Form Responses'!$E$1:$E$200,15))</f>
        <v/>
      </c>
      <c r="D15">
        <f>IF($A15="","",MIN(9,CEILING($C15/2,1)))</f>
        <v/>
      </c>
      <c r="E15">
        <f>IF($A15="","",INDEX('Form Responses'!$F$1:$F$200,15))</f>
        <v/>
      </c>
      <c r="F15">
        <f>IF($A15="","",INDEX('Form Responses'!$G$1:$G$200,15))</f>
        <v/>
      </c>
      <c r="G15">
        <f>IF($A15="","",IF(ISNUMBER(SEARCH("Scribes",INDEX('Form Responses'!$G$1:$G$200,15))),"Yes","No"))</f>
        <v/>
      </c>
      <c r="H15">
        <f>IF($A15="","",INDEX('Form Responses'!$H$1:$H$200,15))</f>
        <v/>
      </c>
      <c r="I15">
        <f>IF($A15="","",COUNT(Matrix!$Q$2:$Q$351))</f>
        <v/>
      </c>
      <c r="J15">
        <f>IF($A15="","",COUNTIFS(Matrix!$Q$2:$Q$351,1,Matrix!$BA$2:$BA$351,1))</f>
        <v/>
      </c>
    </row>
    <row r="16">
      <c r="A16">
        <f>IF(INDEX('Form Responses'!$D$1:$D$200,16)="","",INDEX('Form Responses'!$D$1:$D$200,16))</f>
        <v/>
      </c>
      <c r="B16">
        <f>IF($A16="","",INDEX('Form Responses'!$C$1:$C$200,16))</f>
        <v/>
      </c>
      <c r="C16">
        <f>IF($A16="","",INDEX('Form Responses'!$E$1:$E$200,16))</f>
        <v/>
      </c>
      <c r="D16">
        <f>IF($A16="","",MIN(9,CEILING($C16/2,1)))</f>
        <v/>
      </c>
      <c r="E16">
        <f>IF($A16="","",INDEX('Form Responses'!$F$1:$F$200,16))</f>
        <v/>
      </c>
      <c r="F16">
        <f>IF($A16="","",INDEX('Form Responses'!$G$1:$G$200,16))</f>
        <v/>
      </c>
      <c r="G16">
        <f>IF($A16="","",IF(ISNUMBER(SEARCH("Scribes",INDEX('Form Responses'!$G$1:$G$200,16))),"Yes","No"))</f>
        <v/>
      </c>
      <c r="H16">
        <f>IF($A16="","",INDEX('Form Responses'!$H$1:$H$200,16))</f>
        <v/>
      </c>
      <c r="I16">
        <f>IF($A16="","",COUNT(Matrix!$R$2:$R$351))</f>
        <v/>
      </c>
      <c r="J16">
        <f>IF($A16="","",COUNTIFS(Matrix!$R$2:$R$351,1,Matrix!$BA$2:$BA$351,1))</f>
        <v/>
      </c>
    </row>
    <row r="17">
      <c r="A17">
        <f>IF(INDEX('Form Responses'!$D$1:$D$200,17)="","",INDEX('Form Responses'!$D$1:$D$200,17))</f>
        <v/>
      </c>
      <c r="B17">
        <f>IF($A17="","",INDEX('Form Responses'!$C$1:$C$200,17))</f>
        <v/>
      </c>
      <c r="C17">
        <f>IF($A17="","",INDEX('Form Responses'!$E$1:$E$200,17))</f>
        <v/>
      </c>
      <c r="D17">
        <f>IF($A17="","",MIN(9,CEILING($C17/2,1)))</f>
        <v/>
      </c>
      <c r="E17">
        <f>IF($A17="","",INDEX('Form Responses'!$F$1:$F$200,17))</f>
        <v/>
      </c>
      <c r="F17">
        <f>IF($A17="","",INDEX('Form Responses'!$G$1:$G$200,17))</f>
        <v/>
      </c>
      <c r="G17">
        <f>IF($A17="","",IF(ISNUMBER(SEARCH("Scribes",INDEX('Form Responses'!$G$1:$G$200,17))),"Yes","No"))</f>
        <v/>
      </c>
      <c r="H17">
        <f>IF($A17="","",INDEX('Form Responses'!$H$1:$H$200,17))</f>
        <v/>
      </c>
      <c r="I17">
        <f>IF($A17="","",COUNT(Matrix!$S$2:$S$351))</f>
        <v/>
      </c>
      <c r="J17">
        <f>IF($A17="","",COUNTIFS(Matrix!$S$2:$S$351,1,Matrix!$BA$2:$BA$351,1))</f>
        <v/>
      </c>
    </row>
    <row r="18">
      <c r="A18">
        <f>IF(INDEX('Form Responses'!$D$1:$D$200,18)="","",INDEX('Form Responses'!$D$1:$D$200,18))</f>
        <v/>
      </c>
      <c r="B18">
        <f>IF($A18="","",INDEX('Form Responses'!$C$1:$C$200,18))</f>
        <v/>
      </c>
      <c r="C18">
        <f>IF($A18="","",INDEX('Form Responses'!$E$1:$E$200,18))</f>
        <v/>
      </c>
      <c r="D18">
        <f>IF($A18="","",MIN(9,CEILING($C18/2,1)))</f>
        <v/>
      </c>
      <c r="E18">
        <f>IF($A18="","",INDEX('Form Responses'!$F$1:$F$200,18))</f>
        <v/>
      </c>
      <c r="F18">
        <f>IF($A18="","",INDEX('Form Responses'!$G$1:$G$200,18))</f>
        <v/>
      </c>
      <c r="G18">
        <f>IF($A18="","",IF(ISNUMBER(SEARCH("Scribes",INDEX('Form Responses'!$G$1:$G$200,18))),"Yes","No"))</f>
        <v/>
      </c>
      <c r="H18">
        <f>IF($A18="","",INDEX('Form Responses'!$H$1:$H$200,18))</f>
        <v/>
      </c>
      <c r="I18">
        <f>IF($A18="","",COUNT(Matrix!$T$2:$T$351))</f>
        <v/>
      </c>
      <c r="J18">
        <f>IF($A18="","",COUNTIFS(Matrix!$T$2:$T$351,1,Matrix!$BA$2:$BA$351,1))</f>
        <v/>
      </c>
    </row>
    <row r="19">
      <c r="A19">
        <f>IF(INDEX('Form Responses'!$D$1:$D$200,19)="","",INDEX('Form Responses'!$D$1:$D$200,19))</f>
        <v/>
      </c>
      <c r="B19">
        <f>IF($A19="","",INDEX('Form Responses'!$C$1:$C$200,19))</f>
        <v/>
      </c>
      <c r="C19">
        <f>IF($A19="","",INDEX('Form Responses'!$E$1:$E$200,19))</f>
        <v/>
      </c>
      <c r="D19">
        <f>IF($A19="","",MIN(9,CEILING($C19/2,1)))</f>
        <v/>
      </c>
      <c r="E19">
        <f>IF($A19="","",INDEX('Form Responses'!$F$1:$F$200,19))</f>
        <v/>
      </c>
      <c r="F19">
        <f>IF($A19="","",INDEX('Form Responses'!$G$1:$G$200,19))</f>
        <v/>
      </c>
      <c r="G19">
        <f>IF($A19="","",IF(ISNUMBER(SEARCH("Scribes",INDEX('Form Responses'!$G$1:$G$200,19))),"Yes","No"))</f>
        <v/>
      </c>
      <c r="H19">
        <f>IF($A19="","",INDEX('Form Responses'!$H$1:$H$200,19))</f>
        <v/>
      </c>
      <c r="I19">
        <f>IF($A19="","",COUNT(Matrix!$U$2:$U$351))</f>
        <v/>
      </c>
      <c r="J19">
        <f>IF($A19="","",COUNTIFS(Matrix!$U$2:$U$351,1,Matrix!$BA$2:$BA$351,1))</f>
        <v/>
      </c>
    </row>
    <row r="20">
      <c r="A20">
        <f>IF(INDEX('Form Responses'!$D$1:$D$200,20)="","",INDEX('Form Responses'!$D$1:$D$200,20))</f>
        <v/>
      </c>
      <c r="B20">
        <f>IF($A20="","",INDEX('Form Responses'!$C$1:$C$200,20))</f>
        <v/>
      </c>
      <c r="C20">
        <f>IF($A20="","",INDEX('Form Responses'!$E$1:$E$200,20))</f>
        <v/>
      </c>
      <c r="D20">
        <f>IF($A20="","",MIN(9,CEILING($C20/2,1)))</f>
        <v/>
      </c>
      <c r="E20">
        <f>IF($A20="","",INDEX('Form Responses'!$F$1:$F$200,20))</f>
        <v/>
      </c>
      <c r="F20">
        <f>IF($A20="","",INDEX('Form Responses'!$G$1:$G$200,20))</f>
        <v/>
      </c>
      <c r="G20">
        <f>IF($A20="","",IF(ISNUMBER(SEARCH("Scribes",INDEX('Form Responses'!$G$1:$G$200,20))),"Yes","No"))</f>
        <v/>
      </c>
      <c r="H20">
        <f>IF($A20="","",INDEX('Form Responses'!$H$1:$H$200,20))</f>
        <v/>
      </c>
      <c r="I20">
        <f>IF($A20="","",COUNT(Matrix!$V$2:$V$351))</f>
        <v/>
      </c>
      <c r="J20">
        <f>IF($A20="","",COUNTIFS(Matrix!$V$2:$V$351,1,Matrix!$BA$2:$BA$351,1))</f>
        <v/>
      </c>
    </row>
    <row r="21">
      <c r="A21">
        <f>IF(INDEX('Form Responses'!$D$1:$D$200,21)="","",INDEX('Form Responses'!$D$1:$D$200,21))</f>
        <v/>
      </c>
      <c r="B21">
        <f>IF($A21="","",INDEX('Form Responses'!$C$1:$C$200,21))</f>
        <v/>
      </c>
      <c r="C21">
        <f>IF($A21="","",INDEX('Form Responses'!$E$1:$E$200,21))</f>
        <v/>
      </c>
      <c r="D21">
        <f>IF($A21="","",MIN(9,CEILING($C21/2,1)))</f>
        <v/>
      </c>
      <c r="E21">
        <f>IF($A21="","",INDEX('Form Responses'!$F$1:$F$200,21))</f>
        <v/>
      </c>
      <c r="F21">
        <f>IF($A21="","",INDEX('Form Responses'!$G$1:$G$200,21))</f>
        <v/>
      </c>
      <c r="G21">
        <f>IF($A21="","",IF(ISNUMBER(SEARCH("Scribes",INDEX('Form Responses'!$G$1:$G$200,21))),"Yes","No"))</f>
        <v/>
      </c>
      <c r="H21">
        <f>IF($A21="","",INDEX('Form Responses'!$H$1:$H$200,21))</f>
        <v/>
      </c>
      <c r="I21">
        <f>IF($A21="","",COUNT(Matrix!$W$2:$W$351))</f>
        <v/>
      </c>
      <c r="J21">
        <f>IF($A21="","",COUNTIFS(Matrix!$W$2:$W$351,1,Matrix!$BA$2:$BA$351,1))</f>
        <v/>
      </c>
    </row>
    <row r="22">
      <c r="A22">
        <f>IF(INDEX('Form Responses'!$D$1:$D$200,22)="","",INDEX('Form Responses'!$D$1:$D$200,22))</f>
        <v/>
      </c>
      <c r="B22">
        <f>IF($A22="","",INDEX('Form Responses'!$C$1:$C$200,22))</f>
        <v/>
      </c>
      <c r="C22">
        <f>IF($A22="","",INDEX('Form Responses'!$E$1:$E$200,22))</f>
        <v/>
      </c>
      <c r="D22">
        <f>IF($A22="","",MIN(9,CEILING($C22/2,1)))</f>
        <v/>
      </c>
      <c r="E22">
        <f>IF($A22="","",INDEX('Form Responses'!$F$1:$F$200,22))</f>
        <v/>
      </c>
      <c r="F22">
        <f>IF($A22="","",INDEX('Form Responses'!$G$1:$G$200,22))</f>
        <v/>
      </c>
      <c r="G22">
        <f>IF($A22="","",IF(ISNUMBER(SEARCH("Scribes",INDEX('Form Responses'!$G$1:$G$200,22))),"Yes","No"))</f>
        <v/>
      </c>
      <c r="H22">
        <f>IF($A22="","",INDEX('Form Responses'!$H$1:$H$200,22))</f>
        <v/>
      </c>
      <c r="I22">
        <f>IF($A22="","",COUNT(Matrix!$X$2:$X$351))</f>
        <v/>
      </c>
      <c r="J22">
        <f>IF($A22="","",COUNTIFS(Matrix!$X$2:$X$351,1,Matrix!$BA$2:$BA$351,1))</f>
        <v/>
      </c>
    </row>
    <row r="23">
      <c r="A23">
        <f>IF(INDEX('Form Responses'!$D$1:$D$200,23)="","",INDEX('Form Responses'!$D$1:$D$200,23))</f>
        <v/>
      </c>
      <c r="B23">
        <f>IF($A23="","",INDEX('Form Responses'!$C$1:$C$200,23))</f>
        <v/>
      </c>
      <c r="C23">
        <f>IF($A23="","",INDEX('Form Responses'!$E$1:$E$200,23))</f>
        <v/>
      </c>
      <c r="D23">
        <f>IF($A23="","",MIN(9,CEILING($C23/2,1)))</f>
        <v/>
      </c>
      <c r="E23">
        <f>IF($A23="","",INDEX('Form Responses'!$F$1:$F$200,23))</f>
        <v/>
      </c>
      <c r="F23">
        <f>IF($A23="","",INDEX('Form Responses'!$G$1:$G$200,23))</f>
        <v/>
      </c>
      <c r="G23">
        <f>IF($A23="","",IF(ISNUMBER(SEARCH("Scribes",INDEX('Form Responses'!$G$1:$G$200,23))),"Yes","No"))</f>
        <v/>
      </c>
      <c r="H23">
        <f>IF($A23="","",INDEX('Form Responses'!$H$1:$H$200,23))</f>
        <v/>
      </c>
      <c r="I23">
        <f>IF($A23="","",COUNT(Matrix!$Y$2:$Y$351))</f>
        <v/>
      </c>
      <c r="J23">
        <f>IF($A23="","",COUNTIFS(Matrix!$Y$2:$Y$351,1,Matrix!$BA$2:$BA$351,1))</f>
        <v/>
      </c>
    </row>
    <row r="24">
      <c r="A24">
        <f>IF(INDEX('Form Responses'!$D$1:$D$200,24)="","",INDEX('Form Responses'!$D$1:$D$200,24))</f>
        <v/>
      </c>
      <c r="B24">
        <f>IF($A24="","",INDEX('Form Responses'!$C$1:$C$200,24))</f>
        <v/>
      </c>
      <c r="C24">
        <f>IF($A24="","",INDEX('Form Responses'!$E$1:$E$200,24))</f>
        <v/>
      </c>
      <c r="D24">
        <f>IF($A24="","",MIN(9,CEILING($C24/2,1)))</f>
        <v/>
      </c>
      <c r="E24">
        <f>IF($A24="","",INDEX('Form Responses'!$F$1:$F$200,24))</f>
        <v/>
      </c>
      <c r="F24">
        <f>IF($A24="","",INDEX('Form Responses'!$G$1:$G$200,24))</f>
        <v/>
      </c>
      <c r="G24">
        <f>IF($A24="","",IF(ISNUMBER(SEARCH("Scribes",INDEX('Form Responses'!$G$1:$G$200,24))),"Yes","No"))</f>
        <v/>
      </c>
      <c r="H24">
        <f>IF($A24="","",INDEX('Form Responses'!$H$1:$H$200,24))</f>
        <v/>
      </c>
      <c r="I24">
        <f>IF($A24="","",COUNT(Matrix!$Z$2:$Z$351))</f>
        <v/>
      </c>
      <c r="J24">
        <f>IF($A24="","",COUNTIFS(Matrix!$Z$2:$Z$351,1,Matrix!$BA$2:$BA$351,1))</f>
        <v/>
      </c>
    </row>
    <row r="25">
      <c r="A25">
        <f>IF(INDEX('Form Responses'!$D$1:$D$200,25)="","",INDEX('Form Responses'!$D$1:$D$200,25))</f>
        <v/>
      </c>
      <c r="B25">
        <f>IF($A25="","",INDEX('Form Responses'!$C$1:$C$200,25))</f>
        <v/>
      </c>
      <c r="C25">
        <f>IF($A25="","",INDEX('Form Responses'!$E$1:$E$200,25))</f>
        <v/>
      </c>
      <c r="D25">
        <f>IF($A25="","",MIN(9,CEILING($C25/2,1)))</f>
        <v/>
      </c>
      <c r="E25">
        <f>IF($A25="","",INDEX('Form Responses'!$F$1:$F$200,25))</f>
        <v/>
      </c>
      <c r="F25">
        <f>IF($A25="","",INDEX('Form Responses'!$G$1:$G$200,25))</f>
        <v/>
      </c>
      <c r="G25">
        <f>IF($A25="","",IF(ISNUMBER(SEARCH("Scribes",INDEX('Form Responses'!$G$1:$G$200,25))),"Yes","No"))</f>
        <v/>
      </c>
      <c r="H25">
        <f>IF($A25="","",INDEX('Form Responses'!$H$1:$H$200,25))</f>
        <v/>
      </c>
      <c r="I25">
        <f>IF($A25="","",COUNT(Matrix!$AA$2:$AA$351))</f>
        <v/>
      </c>
      <c r="J25">
        <f>IF($A25="","",COUNTIFS(Matrix!$AA$2:$AA$351,1,Matrix!$BA$2:$BA$351,1))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3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hidden="1" width="14" customWidth="1" min="28" max="28"/>
    <col hidden="1" width="14" customWidth="1" min="29" max="29"/>
    <col hidden="1" width="14" customWidth="1" min="30" max="30"/>
    <col hidden="1" width="14" customWidth="1" min="31" max="31"/>
    <col hidden="1" width="14" customWidth="1" min="32" max="32"/>
    <col hidden="1" width="14" customWidth="1" min="33" max="33"/>
    <col hidden="1" width="14" customWidth="1" min="34" max="34"/>
    <col hidden="1" width="14" customWidth="1" min="35" max="35"/>
    <col hidden="1" width="14" customWidth="1" min="36" max="36"/>
    <col hidden="1" width="14" customWidth="1" min="37" max="37"/>
    <col hidden="1" width="14" customWidth="1" min="38" max="38"/>
    <col hidden="1" width="14" customWidth="1" min="39" max="39"/>
    <col hidden="1" width="14" customWidth="1" min="40" max="40"/>
    <col hidden="1" width="14" customWidth="1" min="41" max="41"/>
    <col hidden="1" width="14" customWidth="1" min="42" max="42"/>
    <col hidden="1" width="14" customWidth="1" min="43" max="43"/>
    <col hidden="1" width="14" customWidth="1" min="44" max="44"/>
    <col hidden="1" width="14" customWidth="1" min="45" max="45"/>
    <col hidden="1" width="14" customWidth="1" min="46" max="46"/>
    <col hidden="1" width="14" customWidth="1" min="47" max="47"/>
    <col hidden="1" width="14" customWidth="1" min="48" max="48"/>
    <col hidden="1" width="14" customWidth="1" min="49" max="49"/>
    <col hidden="1" width="14" customWidth="1" min="50" max="50"/>
    <col hidden="1" width="14" customWidth="1" min="51" max="51"/>
    <col width="46" customWidth="1" min="52" max="52"/>
    <col width="10" customWidth="1" min="53" max="53"/>
  </cols>
  <sheetData>
    <row r="1">
      <c r="A1" s="5" t="inlineStr">
        <is>
          <t>Level</t>
        </is>
      </c>
      <c r="B1" s="5" t="inlineStr">
        <is>
          <t>Spell</t>
        </is>
      </c>
      <c r="C1" s="5" t="inlineStr">
        <is>
          <t>School</t>
        </is>
      </c>
      <c r="D1" s="7">
        <f>IF(Wizards!A2="","",Wizards!A2)</f>
        <v/>
      </c>
      <c r="E1" s="7">
        <f>IF(Wizards!A3="","",Wizards!A3)</f>
        <v/>
      </c>
      <c r="F1" s="7">
        <f>IF(Wizards!A4="","",Wizards!A4)</f>
        <v/>
      </c>
      <c r="G1" s="7">
        <f>IF(Wizards!A5="","",Wizards!A5)</f>
        <v/>
      </c>
      <c r="H1" s="7">
        <f>IF(Wizards!A6="","",Wizards!A6)</f>
        <v/>
      </c>
      <c r="I1" s="7">
        <f>IF(Wizards!A7="","",Wizards!A7)</f>
        <v/>
      </c>
      <c r="J1" s="7">
        <f>IF(Wizards!A8="","",Wizards!A8)</f>
        <v/>
      </c>
      <c r="K1" s="7">
        <f>IF(Wizards!A9="","",Wizards!A9)</f>
        <v/>
      </c>
      <c r="L1" s="7">
        <f>IF(Wizards!A10="","",Wizards!A10)</f>
        <v/>
      </c>
      <c r="M1" s="7">
        <f>IF(Wizards!A11="","",Wizards!A11)</f>
        <v/>
      </c>
      <c r="N1" s="7">
        <f>IF(Wizards!A12="","",Wizards!A12)</f>
        <v/>
      </c>
      <c r="O1" s="7">
        <f>IF(Wizards!A13="","",Wizards!A13)</f>
        <v/>
      </c>
      <c r="P1" s="7">
        <f>IF(Wizards!A14="","",Wizards!A14)</f>
        <v/>
      </c>
      <c r="Q1" s="7">
        <f>IF(Wizards!A15="","",Wizards!A15)</f>
        <v/>
      </c>
      <c r="R1" s="7">
        <f>IF(Wizards!A16="","",Wizards!A16)</f>
        <v/>
      </c>
      <c r="S1" s="7">
        <f>IF(Wizards!A17="","",Wizards!A17)</f>
        <v/>
      </c>
      <c r="T1" s="7">
        <f>IF(Wizards!A18="","",Wizards!A18)</f>
        <v/>
      </c>
      <c r="U1" s="7">
        <f>IF(Wizards!A19="","",Wizards!A19)</f>
        <v/>
      </c>
      <c r="V1" s="7">
        <f>IF(Wizards!A20="","",Wizards!A20)</f>
        <v/>
      </c>
      <c r="W1" s="7">
        <f>IF(Wizards!A21="","",Wizards!A21)</f>
        <v/>
      </c>
      <c r="X1" s="7">
        <f>IF(Wizards!A22="","",Wizards!A22)</f>
        <v/>
      </c>
      <c r="Y1" s="7">
        <f>IF(Wizards!A23="","",Wizards!A23)</f>
        <v/>
      </c>
      <c r="Z1" s="7">
        <f>IF(Wizards!A24="","",Wizards!A24)</f>
        <v/>
      </c>
      <c r="AA1" s="7">
        <f>IF(Wizards!A25="","",Wizards!A25)</f>
        <v/>
      </c>
      <c r="AB1" s="7" t="inlineStr">
        <is>
          <t>helper 1</t>
        </is>
      </c>
      <c r="AC1" s="7" t="inlineStr">
        <is>
          <t>helper 2</t>
        </is>
      </c>
      <c r="AD1" s="7" t="inlineStr">
        <is>
          <t>helper 3</t>
        </is>
      </c>
      <c r="AE1" s="7" t="inlineStr">
        <is>
          <t>helper 4</t>
        </is>
      </c>
      <c r="AF1" s="7" t="inlineStr">
        <is>
          <t>helper 5</t>
        </is>
      </c>
      <c r="AG1" s="7" t="inlineStr">
        <is>
          <t>helper 6</t>
        </is>
      </c>
      <c r="AH1" s="7" t="inlineStr">
        <is>
          <t>helper 7</t>
        </is>
      </c>
      <c r="AI1" s="7" t="inlineStr">
        <is>
          <t>helper 8</t>
        </is>
      </c>
      <c r="AJ1" s="7" t="inlineStr">
        <is>
          <t>helper 9</t>
        </is>
      </c>
      <c r="AK1" s="7" t="inlineStr">
        <is>
          <t>helper 10</t>
        </is>
      </c>
      <c r="AL1" s="7" t="inlineStr">
        <is>
          <t>helper 11</t>
        </is>
      </c>
      <c r="AM1" s="7" t="inlineStr">
        <is>
          <t>helper 12</t>
        </is>
      </c>
      <c r="AN1" s="7" t="inlineStr">
        <is>
          <t>helper 13</t>
        </is>
      </c>
      <c r="AO1" s="7" t="inlineStr">
        <is>
          <t>helper 14</t>
        </is>
      </c>
      <c r="AP1" s="7" t="inlineStr">
        <is>
          <t>helper 15</t>
        </is>
      </c>
      <c r="AQ1" s="7" t="inlineStr">
        <is>
          <t>helper 16</t>
        </is>
      </c>
      <c r="AR1" s="7" t="inlineStr">
        <is>
          <t>helper 17</t>
        </is>
      </c>
      <c r="AS1" s="7" t="inlineStr">
        <is>
          <t>helper 18</t>
        </is>
      </c>
      <c r="AT1" s="7" t="inlineStr">
        <is>
          <t>helper 19</t>
        </is>
      </c>
      <c r="AU1" s="7" t="inlineStr">
        <is>
          <t>helper 20</t>
        </is>
      </c>
      <c r="AV1" s="7" t="inlineStr">
        <is>
          <t>helper 21</t>
        </is>
      </c>
      <c r="AW1" s="7" t="inlineStr">
        <is>
          <t>helper 22</t>
        </is>
      </c>
      <c r="AX1" s="7" t="inlineStr">
        <is>
          <t>helper 23</t>
        </is>
      </c>
      <c r="AY1" s="7" t="inlineStr">
        <is>
          <t>helper 24</t>
        </is>
      </c>
      <c r="AZ1" s="7" t="inlineStr">
        <is>
          <t>Owners</t>
        </is>
      </c>
      <c r="BA1" s="7" t="inlineStr">
        <is>
          <t># Owners</t>
        </is>
      </c>
    </row>
    <row r="2">
      <c r="A2" t="n">
        <v>1</v>
      </c>
      <c r="B2" t="inlineStr">
        <is>
          <t>Absorb Elements</t>
        </is>
      </c>
      <c r="C2" t="inlineStr">
        <is>
          <t>Abjuration</t>
        </is>
      </c>
      <c r="D2">
        <f>IF(Wizards!$A$2="","",IF(OR(ISNUMBER(SEARCH(", "&amp;$B2&amp;", ", ", "&amp;INDEX('Form Responses'!$I$1:$Q$200,2,$A2)&amp;", ")),ISNUMBER(SEARCH(", "&amp;$B2&amp;", ", ", "&amp;INDEX('Form Responses'!$R$1:$R$200,2)&amp;", "))),1,""))</f>
        <v/>
      </c>
      <c r="E2">
        <f>IF(Wizards!$A$3="","",IF(OR(ISNUMBER(SEARCH(", "&amp;$B2&amp;", ", ", "&amp;INDEX('Form Responses'!$I$1:$Q$200,3,$A2)&amp;", ")),ISNUMBER(SEARCH(", "&amp;$B2&amp;", ", ", "&amp;INDEX('Form Responses'!$R$1:$R$200,3)&amp;", "))),1,""))</f>
        <v/>
      </c>
      <c r="F2">
        <f>IF(Wizards!$A$4="","",IF(OR(ISNUMBER(SEARCH(", "&amp;$B2&amp;", ", ", "&amp;INDEX('Form Responses'!$I$1:$Q$200,4,$A2)&amp;", ")),ISNUMBER(SEARCH(", "&amp;$B2&amp;", ", ", "&amp;INDEX('Form Responses'!$R$1:$R$200,4)&amp;", "))),1,""))</f>
        <v/>
      </c>
      <c r="G2">
        <f>IF(Wizards!$A$5="","",IF(OR(ISNUMBER(SEARCH(", "&amp;$B2&amp;", ", ", "&amp;INDEX('Form Responses'!$I$1:$Q$200,5,$A2)&amp;", ")),ISNUMBER(SEARCH(", "&amp;$B2&amp;", ", ", "&amp;INDEX('Form Responses'!$R$1:$R$200,5)&amp;", "))),1,""))</f>
        <v/>
      </c>
      <c r="H2">
        <f>IF(Wizards!$A$6="","",IF(OR(ISNUMBER(SEARCH(", "&amp;$B2&amp;", ", ", "&amp;INDEX('Form Responses'!$I$1:$Q$200,6,$A2)&amp;", ")),ISNUMBER(SEARCH(", "&amp;$B2&amp;", ", ", "&amp;INDEX('Form Responses'!$R$1:$R$200,6)&amp;", "))),1,""))</f>
        <v/>
      </c>
      <c r="I2">
        <f>IF(Wizards!$A$7="","",IF(OR(ISNUMBER(SEARCH(", "&amp;$B2&amp;", ", ", "&amp;INDEX('Form Responses'!$I$1:$Q$200,7,$A2)&amp;", ")),ISNUMBER(SEARCH(", "&amp;$B2&amp;", ", ", "&amp;INDEX('Form Responses'!$R$1:$R$200,7)&amp;", "))),1,""))</f>
        <v/>
      </c>
      <c r="J2">
        <f>IF(Wizards!$A$8="","",IF(OR(ISNUMBER(SEARCH(", "&amp;$B2&amp;", ", ", "&amp;INDEX('Form Responses'!$I$1:$Q$200,8,$A2)&amp;", ")),ISNUMBER(SEARCH(", "&amp;$B2&amp;", ", ", "&amp;INDEX('Form Responses'!$R$1:$R$200,8)&amp;", "))),1,""))</f>
        <v/>
      </c>
      <c r="K2">
        <f>IF(Wizards!$A$9="","",IF(OR(ISNUMBER(SEARCH(", "&amp;$B2&amp;", ", ", "&amp;INDEX('Form Responses'!$I$1:$Q$200,9,$A2)&amp;", ")),ISNUMBER(SEARCH(", "&amp;$B2&amp;", ", ", "&amp;INDEX('Form Responses'!$R$1:$R$200,9)&amp;", "))),1,""))</f>
        <v/>
      </c>
      <c r="L2">
        <f>IF(Wizards!$A$10="","",IF(OR(ISNUMBER(SEARCH(", "&amp;$B2&amp;", ", ", "&amp;INDEX('Form Responses'!$I$1:$Q$200,10,$A2)&amp;", ")),ISNUMBER(SEARCH(", "&amp;$B2&amp;", ", ", "&amp;INDEX('Form Responses'!$R$1:$R$200,10)&amp;", "))),1,""))</f>
        <v/>
      </c>
      <c r="M2">
        <f>IF(Wizards!$A$11="","",IF(OR(ISNUMBER(SEARCH(", "&amp;$B2&amp;", ", ", "&amp;INDEX('Form Responses'!$I$1:$Q$200,11,$A2)&amp;", ")),ISNUMBER(SEARCH(", "&amp;$B2&amp;", ", ", "&amp;INDEX('Form Responses'!$R$1:$R$200,11)&amp;", "))),1,""))</f>
        <v/>
      </c>
      <c r="N2">
        <f>IF(Wizards!$A$12="","",IF(OR(ISNUMBER(SEARCH(", "&amp;$B2&amp;", ", ", "&amp;INDEX('Form Responses'!$I$1:$Q$200,12,$A2)&amp;", ")),ISNUMBER(SEARCH(", "&amp;$B2&amp;", ", ", "&amp;INDEX('Form Responses'!$R$1:$R$200,12)&amp;", "))),1,""))</f>
        <v/>
      </c>
      <c r="O2">
        <f>IF(Wizards!$A$13="","",IF(OR(ISNUMBER(SEARCH(", "&amp;$B2&amp;", ", ", "&amp;INDEX('Form Responses'!$I$1:$Q$200,13,$A2)&amp;", ")),ISNUMBER(SEARCH(", "&amp;$B2&amp;", ", ", "&amp;INDEX('Form Responses'!$R$1:$R$200,13)&amp;", "))),1,""))</f>
        <v/>
      </c>
      <c r="P2">
        <f>IF(Wizards!$A$14="","",IF(OR(ISNUMBER(SEARCH(", "&amp;$B2&amp;", ", ", "&amp;INDEX('Form Responses'!$I$1:$Q$200,14,$A2)&amp;", ")),ISNUMBER(SEARCH(", "&amp;$B2&amp;", ", ", "&amp;INDEX('Form Responses'!$R$1:$R$200,14)&amp;", "))),1,""))</f>
        <v/>
      </c>
      <c r="Q2">
        <f>IF(Wizards!$A$15="","",IF(OR(ISNUMBER(SEARCH(", "&amp;$B2&amp;", ", ", "&amp;INDEX('Form Responses'!$I$1:$Q$200,15,$A2)&amp;", ")),ISNUMBER(SEARCH(", "&amp;$B2&amp;", ", ", "&amp;INDEX('Form Responses'!$R$1:$R$200,15)&amp;", "))),1,""))</f>
        <v/>
      </c>
      <c r="R2">
        <f>IF(Wizards!$A$16="","",IF(OR(ISNUMBER(SEARCH(", "&amp;$B2&amp;", ", ", "&amp;INDEX('Form Responses'!$I$1:$Q$200,16,$A2)&amp;", ")),ISNUMBER(SEARCH(", "&amp;$B2&amp;", ", ", "&amp;INDEX('Form Responses'!$R$1:$R$200,16)&amp;", "))),1,""))</f>
        <v/>
      </c>
      <c r="S2">
        <f>IF(Wizards!$A$17="","",IF(OR(ISNUMBER(SEARCH(", "&amp;$B2&amp;", ", ", "&amp;INDEX('Form Responses'!$I$1:$Q$200,17,$A2)&amp;", ")),ISNUMBER(SEARCH(", "&amp;$B2&amp;", ", ", "&amp;INDEX('Form Responses'!$R$1:$R$200,17)&amp;", "))),1,""))</f>
        <v/>
      </c>
      <c r="T2">
        <f>IF(Wizards!$A$18="","",IF(OR(ISNUMBER(SEARCH(", "&amp;$B2&amp;", ", ", "&amp;INDEX('Form Responses'!$I$1:$Q$200,18,$A2)&amp;", ")),ISNUMBER(SEARCH(", "&amp;$B2&amp;", ", ", "&amp;INDEX('Form Responses'!$R$1:$R$200,18)&amp;", "))),1,""))</f>
        <v/>
      </c>
      <c r="U2">
        <f>IF(Wizards!$A$19="","",IF(OR(ISNUMBER(SEARCH(", "&amp;$B2&amp;", ", ", "&amp;INDEX('Form Responses'!$I$1:$Q$200,19,$A2)&amp;", ")),ISNUMBER(SEARCH(", "&amp;$B2&amp;", ", ", "&amp;INDEX('Form Responses'!$R$1:$R$200,19)&amp;", "))),1,""))</f>
        <v/>
      </c>
      <c r="V2">
        <f>IF(Wizards!$A$20="","",IF(OR(ISNUMBER(SEARCH(", "&amp;$B2&amp;", ", ", "&amp;INDEX('Form Responses'!$I$1:$Q$200,20,$A2)&amp;", ")),ISNUMBER(SEARCH(", "&amp;$B2&amp;", ", ", "&amp;INDEX('Form Responses'!$R$1:$R$200,20)&amp;", "))),1,""))</f>
        <v/>
      </c>
      <c r="W2">
        <f>IF(Wizards!$A$21="","",IF(OR(ISNUMBER(SEARCH(", "&amp;$B2&amp;", ", ", "&amp;INDEX('Form Responses'!$I$1:$Q$200,21,$A2)&amp;", ")),ISNUMBER(SEARCH(", "&amp;$B2&amp;", ", ", "&amp;INDEX('Form Responses'!$R$1:$R$200,21)&amp;", "))),1,""))</f>
        <v/>
      </c>
      <c r="X2">
        <f>IF(Wizards!$A$22="","",IF(OR(ISNUMBER(SEARCH(", "&amp;$B2&amp;", ", ", "&amp;INDEX('Form Responses'!$I$1:$Q$200,22,$A2)&amp;", ")),ISNUMBER(SEARCH(", "&amp;$B2&amp;", ", ", "&amp;INDEX('Form Responses'!$R$1:$R$200,22)&amp;", "))),1,""))</f>
        <v/>
      </c>
      <c r="Y2">
        <f>IF(Wizards!$A$23="","",IF(OR(ISNUMBER(SEARCH(", "&amp;$B2&amp;", ", ", "&amp;INDEX('Form Responses'!$I$1:$Q$200,23,$A2)&amp;", ")),ISNUMBER(SEARCH(", "&amp;$B2&amp;", ", ", "&amp;INDEX('Form Responses'!$R$1:$R$200,23)&amp;", "))),1,""))</f>
        <v/>
      </c>
      <c r="Z2">
        <f>IF(Wizards!$A$24="","",IF(OR(ISNUMBER(SEARCH(", "&amp;$B2&amp;", ", ", "&amp;INDEX('Form Responses'!$I$1:$Q$200,24,$A2)&amp;", ")),ISNUMBER(SEARCH(", "&amp;$B2&amp;", ", ", "&amp;INDEX('Form Responses'!$R$1:$R$200,24)&amp;", "))),1,""))</f>
        <v/>
      </c>
      <c r="AA2">
        <f>IF(Wizards!$A$25="","",IF(OR(ISNUMBER(SEARCH(", "&amp;$B2&amp;", ", ", "&amp;INDEX('Form Responses'!$I$1:$Q$200,25,$A2)&amp;", ")),ISNUMBER(SEARCH(", "&amp;$B2&amp;", ", ", "&amp;INDEX('Form Responses'!$R$1:$R$200,25)&amp;", "))),1,""))</f>
        <v/>
      </c>
      <c r="AB2">
        <f>IF(D2=1,", "&amp;D$1,"")</f>
        <v/>
      </c>
      <c r="AC2">
        <f>IF(E2=1,", "&amp;E$1,"")</f>
        <v/>
      </c>
      <c r="AD2">
        <f>IF(F2=1,", "&amp;F$1,"")</f>
        <v/>
      </c>
      <c r="AE2">
        <f>IF(G2=1,", "&amp;G$1,"")</f>
        <v/>
      </c>
      <c r="AF2">
        <f>IF(H2=1,", "&amp;H$1,"")</f>
        <v/>
      </c>
      <c r="AG2">
        <f>IF(I2=1,", "&amp;I$1,"")</f>
        <v/>
      </c>
      <c r="AH2">
        <f>IF(J2=1,", "&amp;J$1,"")</f>
        <v/>
      </c>
      <c r="AI2">
        <f>IF(K2=1,", "&amp;K$1,"")</f>
        <v/>
      </c>
      <c r="AJ2">
        <f>IF(L2=1,", "&amp;L$1,"")</f>
        <v/>
      </c>
      <c r="AK2">
        <f>IF(M2=1,", "&amp;M$1,"")</f>
        <v/>
      </c>
      <c r="AL2">
        <f>IF(N2=1,", "&amp;N$1,"")</f>
        <v/>
      </c>
      <c r="AM2">
        <f>IF(O2=1,", "&amp;O$1,"")</f>
        <v/>
      </c>
      <c r="AN2">
        <f>IF(P2=1,", "&amp;P$1,"")</f>
        <v/>
      </c>
      <c r="AO2">
        <f>IF(Q2=1,", "&amp;Q$1,"")</f>
        <v/>
      </c>
      <c r="AP2">
        <f>IF(R2=1,", "&amp;R$1,"")</f>
        <v/>
      </c>
      <c r="AQ2">
        <f>IF(S2=1,", "&amp;S$1,"")</f>
        <v/>
      </c>
      <c r="AR2">
        <f>IF(T2=1,", "&amp;T$1,"")</f>
        <v/>
      </c>
      <c r="AS2">
        <f>IF(U2=1,", "&amp;U$1,"")</f>
        <v/>
      </c>
      <c r="AT2">
        <f>IF(V2=1,", "&amp;V$1,"")</f>
        <v/>
      </c>
      <c r="AU2">
        <f>IF(W2=1,", "&amp;W$1,"")</f>
        <v/>
      </c>
      <c r="AV2">
        <f>IF(X2=1,", "&amp;X$1,"")</f>
        <v/>
      </c>
      <c r="AW2">
        <f>IF(Y2=1,", "&amp;Y$1,"")</f>
        <v/>
      </c>
      <c r="AX2">
        <f>IF(Z2=1,", "&amp;Z$1,"")</f>
        <v/>
      </c>
      <c r="AY2">
        <f>IF(AA2=1,", "&amp;AA$1,"")</f>
        <v/>
      </c>
      <c r="AZ2">
        <f>MID($AB2&amp;$AC2&amp;$AD2&amp;$AE2&amp;$AF2&amp;$AG2&amp;$AH2&amp;$AI2&amp;$AJ2&amp;$AK2&amp;$AL2&amp;$AM2&amp;$AN2&amp;$AO2&amp;$AP2&amp;$AQ2&amp;$AR2&amp;$AS2&amp;$AT2&amp;$AU2&amp;$AV2&amp;$AW2&amp;$AX2&amp;$AY2,3,32767)</f>
        <v/>
      </c>
      <c r="BA2">
        <f>COUNT($D2:$AA2)</f>
        <v/>
      </c>
    </row>
    <row r="3">
      <c r="A3" t="n">
        <v>1</v>
      </c>
      <c r="B3" t="inlineStr">
        <is>
          <t>Alarm</t>
        </is>
      </c>
      <c r="C3" t="inlineStr">
        <is>
          <t>Abjuration</t>
        </is>
      </c>
      <c r="D3">
        <f>IF(Wizards!$A$2="","",IF(OR(ISNUMBER(SEARCH(", "&amp;$B3&amp;", ", ", "&amp;INDEX('Form Responses'!$I$1:$Q$200,2,$A3)&amp;", ")),ISNUMBER(SEARCH(", "&amp;$B3&amp;", ", ", "&amp;INDEX('Form Responses'!$R$1:$R$200,2)&amp;", "))),1,""))</f>
        <v/>
      </c>
      <c r="E3">
        <f>IF(Wizards!$A$3="","",IF(OR(ISNUMBER(SEARCH(", "&amp;$B3&amp;", ", ", "&amp;INDEX('Form Responses'!$I$1:$Q$200,3,$A3)&amp;", ")),ISNUMBER(SEARCH(", "&amp;$B3&amp;", ", ", "&amp;INDEX('Form Responses'!$R$1:$R$200,3)&amp;", "))),1,""))</f>
        <v/>
      </c>
      <c r="F3">
        <f>IF(Wizards!$A$4="","",IF(OR(ISNUMBER(SEARCH(", "&amp;$B3&amp;", ", ", "&amp;INDEX('Form Responses'!$I$1:$Q$200,4,$A3)&amp;", ")),ISNUMBER(SEARCH(", "&amp;$B3&amp;", ", ", "&amp;INDEX('Form Responses'!$R$1:$R$200,4)&amp;", "))),1,""))</f>
        <v/>
      </c>
      <c r="G3">
        <f>IF(Wizards!$A$5="","",IF(OR(ISNUMBER(SEARCH(", "&amp;$B3&amp;", ", ", "&amp;INDEX('Form Responses'!$I$1:$Q$200,5,$A3)&amp;", ")),ISNUMBER(SEARCH(", "&amp;$B3&amp;", ", ", "&amp;INDEX('Form Responses'!$R$1:$R$200,5)&amp;", "))),1,""))</f>
        <v/>
      </c>
      <c r="H3">
        <f>IF(Wizards!$A$6="","",IF(OR(ISNUMBER(SEARCH(", "&amp;$B3&amp;", ", ", "&amp;INDEX('Form Responses'!$I$1:$Q$200,6,$A3)&amp;", ")),ISNUMBER(SEARCH(", "&amp;$B3&amp;", ", ", "&amp;INDEX('Form Responses'!$R$1:$R$200,6)&amp;", "))),1,""))</f>
        <v/>
      </c>
      <c r="I3">
        <f>IF(Wizards!$A$7="","",IF(OR(ISNUMBER(SEARCH(", "&amp;$B3&amp;", ", ", "&amp;INDEX('Form Responses'!$I$1:$Q$200,7,$A3)&amp;", ")),ISNUMBER(SEARCH(", "&amp;$B3&amp;", ", ", "&amp;INDEX('Form Responses'!$R$1:$R$200,7)&amp;", "))),1,""))</f>
        <v/>
      </c>
      <c r="J3">
        <f>IF(Wizards!$A$8="","",IF(OR(ISNUMBER(SEARCH(", "&amp;$B3&amp;", ", ", "&amp;INDEX('Form Responses'!$I$1:$Q$200,8,$A3)&amp;", ")),ISNUMBER(SEARCH(", "&amp;$B3&amp;", ", ", "&amp;INDEX('Form Responses'!$R$1:$R$200,8)&amp;", "))),1,""))</f>
        <v/>
      </c>
      <c r="K3">
        <f>IF(Wizards!$A$9="","",IF(OR(ISNUMBER(SEARCH(", "&amp;$B3&amp;", ", ", "&amp;INDEX('Form Responses'!$I$1:$Q$200,9,$A3)&amp;", ")),ISNUMBER(SEARCH(", "&amp;$B3&amp;", ", ", "&amp;INDEX('Form Responses'!$R$1:$R$200,9)&amp;", "))),1,""))</f>
        <v/>
      </c>
      <c r="L3">
        <f>IF(Wizards!$A$10="","",IF(OR(ISNUMBER(SEARCH(", "&amp;$B3&amp;", ", ", "&amp;INDEX('Form Responses'!$I$1:$Q$200,10,$A3)&amp;", ")),ISNUMBER(SEARCH(", "&amp;$B3&amp;", ", ", "&amp;INDEX('Form Responses'!$R$1:$R$200,10)&amp;", "))),1,""))</f>
        <v/>
      </c>
      <c r="M3">
        <f>IF(Wizards!$A$11="","",IF(OR(ISNUMBER(SEARCH(", "&amp;$B3&amp;", ", ", "&amp;INDEX('Form Responses'!$I$1:$Q$200,11,$A3)&amp;", ")),ISNUMBER(SEARCH(", "&amp;$B3&amp;", ", ", "&amp;INDEX('Form Responses'!$R$1:$R$200,11)&amp;", "))),1,""))</f>
        <v/>
      </c>
      <c r="N3">
        <f>IF(Wizards!$A$12="","",IF(OR(ISNUMBER(SEARCH(", "&amp;$B3&amp;", ", ", "&amp;INDEX('Form Responses'!$I$1:$Q$200,12,$A3)&amp;", ")),ISNUMBER(SEARCH(", "&amp;$B3&amp;", ", ", "&amp;INDEX('Form Responses'!$R$1:$R$200,12)&amp;", "))),1,""))</f>
        <v/>
      </c>
      <c r="O3">
        <f>IF(Wizards!$A$13="","",IF(OR(ISNUMBER(SEARCH(", "&amp;$B3&amp;", ", ", "&amp;INDEX('Form Responses'!$I$1:$Q$200,13,$A3)&amp;", ")),ISNUMBER(SEARCH(", "&amp;$B3&amp;", ", ", "&amp;INDEX('Form Responses'!$R$1:$R$200,13)&amp;", "))),1,""))</f>
        <v/>
      </c>
      <c r="P3">
        <f>IF(Wizards!$A$14="","",IF(OR(ISNUMBER(SEARCH(", "&amp;$B3&amp;", ", ", "&amp;INDEX('Form Responses'!$I$1:$Q$200,14,$A3)&amp;", ")),ISNUMBER(SEARCH(", "&amp;$B3&amp;", ", ", "&amp;INDEX('Form Responses'!$R$1:$R$200,14)&amp;", "))),1,""))</f>
        <v/>
      </c>
      <c r="Q3">
        <f>IF(Wizards!$A$15="","",IF(OR(ISNUMBER(SEARCH(", "&amp;$B3&amp;", ", ", "&amp;INDEX('Form Responses'!$I$1:$Q$200,15,$A3)&amp;", ")),ISNUMBER(SEARCH(", "&amp;$B3&amp;", ", ", "&amp;INDEX('Form Responses'!$R$1:$R$200,15)&amp;", "))),1,""))</f>
        <v/>
      </c>
      <c r="R3">
        <f>IF(Wizards!$A$16="","",IF(OR(ISNUMBER(SEARCH(", "&amp;$B3&amp;", ", ", "&amp;INDEX('Form Responses'!$I$1:$Q$200,16,$A3)&amp;", ")),ISNUMBER(SEARCH(", "&amp;$B3&amp;", ", ", "&amp;INDEX('Form Responses'!$R$1:$R$200,16)&amp;", "))),1,""))</f>
        <v/>
      </c>
      <c r="S3">
        <f>IF(Wizards!$A$17="","",IF(OR(ISNUMBER(SEARCH(", "&amp;$B3&amp;", ", ", "&amp;INDEX('Form Responses'!$I$1:$Q$200,17,$A3)&amp;", ")),ISNUMBER(SEARCH(", "&amp;$B3&amp;", ", ", "&amp;INDEX('Form Responses'!$R$1:$R$200,17)&amp;", "))),1,""))</f>
        <v/>
      </c>
      <c r="T3">
        <f>IF(Wizards!$A$18="","",IF(OR(ISNUMBER(SEARCH(", "&amp;$B3&amp;", ", ", "&amp;INDEX('Form Responses'!$I$1:$Q$200,18,$A3)&amp;", ")),ISNUMBER(SEARCH(", "&amp;$B3&amp;", ", ", "&amp;INDEX('Form Responses'!$R$1:$R$200,18)&amp;", "))),1,""))</f>
        <v/>
      </c>
      <c r="U3">
        <f>IF(Wizards!$A$19="","",IF(OR(ISNUMBER(SEARCH(", "&amp;$B3&amp;", ", ", "&amp;INDEX('Form Responses'!$I$1:$Q$200,19,$A3)&amp;", ")),ISNUMBER(SEARCH(", "&amp;$B3&amp;", ", ", "&amp;INDEX('Form Responses'!$R$1:$R$200,19)&amp;", "))),1,""))</f>
        <v/>
      </c>
      <c r="V3">
        <f>IF(Wizards!$A$20="","",IF(OR(ISNUMBER(SEARCH(", "&amp;$B3&amp;", ", ", "&amp;INDEX('Form Responses'!$I$1:$Q$200,20,$A3)&amp;", ")),ISNUMBER(SEARCH(", "&amp;$B3&amp;", ", ", "&amp;INDEX('Form Responses'!$R$1:$R$200,20)&amp;", "))),1,""))</f>
        <v/>
      </c>
      <c r="W3">
        <f>IF(Wizards!$A$21="","",IF(OR(ISNUMBER(SEARCH(", "&amp;$B3&amp;", ", ", "&amp;INDEX('Form Responses'!$I$1:$Q$200,21,$A3)&amp;", ")),ISNUMBER(SEARCH(", "&amp;$B3&amp;", ", ", "&amp;INDEX('Form Responses'!$R$1:$R$200,21)&amp;", "))),1,""))</f>
        <v/>
      </c>
      <c r="X3">
        <f>IF(Wizards!$A$22="","",IF(OR(ISNUMBER(SEARCH(", "&amp;$B3&amp;", ", ", "&amp;INDEX('Form Responses'!$I$1:$Q$200,22,$A3)&amp;", ")),ISNUMBER(SEARCH(", "&amp;$B3&amp;", ", ", "&amp;INDEX('Form Responses'!$R$1:$R$200,22)&amp;", "))),1,""))</f>
        <v/>
      </c>
      <c r="Y3">
        <f>IF(Wizards!$A$23="","",IF(OR(ISNUMBER(SEARCH(", "&amp;$B3&amp;", ", ", "&amp;INDEX('Form Responses'!$I$1:$Q$200,23,$A3)&amp;", ")),ISNUMBER(SEARCH(", "&amp;$B3&amp;", ", ", "&amp;INDEX('Form Responses'!$R$1:$R$200,23)&amp;", "))),1,""))</f>
        <v/>
      </c>
      <c r="Z3">
        <f>IF(Wizards!$A$24="","",IF(OR(ISNUMBER(SEARCH(", "&amp;$B3&amp;", ", ", "&amp;INDEX('Form Responses'!$I$1:$Q$200,24,$A3)&amp;", ")),ISNUMBER(SEARCH(", "&amp;$B3&amp;", ", ", "&amp;INDEX('Form Responses'!$R$1:$R$200,24)&amp;", "))),1,""))</f>
        <v/>
      </c>
      <c r="AA3">
        <f>IF(Wizards!$A$25="","",IF(OR(ISNUMBER(SEARCH(", "&amp;$B3&amp;", ", ", "&amp;INDEX('Form Responses'!$I$1:$Q$200,25,$A3)&amp;", ")),ISNUMBER(SEARCH(", "&amp;$B3&amp;", ", ", "&amp;INDEX('Form Responses'!$R$1:$R$200,25)&amp;", "))),1,""))</f>
        <v/>
      </c>
      <c r="AB3">
        <f>IF(D3=1,", "&amp;D$1,"")</f>
        <v/>
      </c>
      <c r="AC3">
        <f>IF(E3=1,", "&amp;E$1,"")</f>
        <v/>
      </c>
      <c r="AD3">
        <f>IF(F3=1,", "&amp;F$1,"")</f>
        <v/>
      </c>
      <c r="AE3">
        <f>IF(G3=1,", "&amp;G$1,"")</f>
        <v/>
      </c>
      <c r="AF3">
        <f>IF(H3=1,", "&amp;H$1,"")</f>
        <v/>
      </c>
      <c r="AG3">
        <f>IF(I3=1,", "&amp;I$1,"")</f>
        <v/>
      </c>
      <c r="AH3">
        <f>IF(J3=1,", "&amp;J$1,"")</f>
        <v/>
      </c>
      <c r="AI3">
        <f>IF(K3=1,", "&amp;K$1,"")</f>
        <v/>
      </c>
      <c r="AJ3">
        <f>IF(L3=1,", "&amp;L$1,"")</f>
        <v/>
      </c>
      <c r="AK3">
        <f>IF(M3=1,", "&amp;M$1,"")</f>
        <v/>
      </c>
      <c r="AL3">
        <f>IF(N3=1,", "&amp;N$1,"")</f>
        <v/>
      </c>
      <c r="AM3">
        <f>IF(O3=1,", "&amp;O$1,"")</f>
        <v/>
      </c>
      <c r="AN3">
        <f>IF(P3=1,", "&amp;P$1,"")</f>
        <v/>
      </c>
      <c r="AO3">
        <f>IF(Q3=1,", "&amp;Q$1,"")</f>
        <v/>
      </c>
      <c r="AP3">
        <f>IF(R3=1,", "&amp;R$1,"")</f>
        <v/>
      </c>
      <c r="AQ3">
        <f>IF(S3=1,", "&amp;S$1,"")</f>
        <v/>
      </c>
      <c r="AR3">
        <f>IF(T3=1,", "&amp;T$1,"")</f>
        <v/>
      </c>
      <c r="AS3">
        <f>IF(U3=1,", "&amp;U$1,"")</f>
        <v/>
      </c>
      <c r="AT3">
        <f>IF(V3=1,", "&amp;V$1,"")</f>
        <v/>
      </c>
      <c r="AU3">
        <f>IF(W3=1,", "&amp;W$1,"")</f>
        <v/>
      </c>
      <c r="AV3">
        <f>IF(X3=1,", "&amp;X$1,"")</f>
        <v/>
      </c>
      <c r="AW3">
        <f>IF(Y3=1,", "&amp;Y$1,"")</f>
        <v/>
      </c>
      <c r="AX3">
        <f>IF(Z3=1,", "&amp;Z$1,"")</f>
        <v/>
      </c>
      <c r="AY3">
        <f>IF(AA3=1,", "&amp;AA$1,"")</f>
        <v/>
      </c>
      <c r="AZ3">
        <f>MID($AB3&amp;$AC3&amp;$AD3&amp;$AE3&amp;$AF3&amp;$AG3&amp;$AH3&amp;$AI3&amp;$AJ3&amp;$AK3&amp;$AL3&amp;$AM3&amp;$AN3&amp;$AO3&amp;$AP3&amp;$AQ3&amp;$AR3&amp;$AS3&amp;$AT3&amp;$AU3&amp;$AV3&amp;$AW3&amp;$AX3&amp;$AY3,3,32767)</f>
        <v/>
      </c>
      <c r="BA3">
        <f>COUNT($D3:$AA3)</f>
        <v/>
      </c>
    </row>
    <row r="4">
      <c r="A4" t="n">
        <v>1</v>
      </c>
      <c r="B4" t="inlineStr">
        <is>
          <t>Burning Hands</t>
        </is>
      </c>
      <c r="C4" t="inlineStr">
        <is>
          <t>Evocation</t>
        </is>
      </c>
      <c r="D4">
        <f>IF(Wizards!$A$2="","",IF(OR(ISNUMBER(SEARCH(", "&amp;$B4&amp;", ", ", "&amp;INDEX('Form Responses'!$I$1:$Q$200,2,$A4)&amp;", ")),ISNUMBER(SEARCH(", "&amp;$B4&amp;", ", ", "&amp;INDEX('Form Responses'!$R$1:$R$200,2)&amp;", "))),1,""))</f>
        <v/>
      </c>
      <c r="E4">
        <f>IF(Wizards!$A$3="","",IF(OR(ISNUMBER(SEARCH(", "&amp;$B4&amp;", ", ", "&amp;INDEX('Form Responses'!$I$1:$Q$200,3,$A4)&amp;", ")),ISNUMBER(SEARCH(", "&amp;$B4&amp;", ", ", "&amp;INDEX('Form Responses'!$R$1:$R$200,3)&amp;", "))),1,""))</f>
        <v/>
      </c>
      <c r="F4">
        <f>IF(Wizards!$A$4="","",IF(OR(ISNUMBER(SEARCH(", "&amp;$B4&amp;", ", ", "&amp;INDEX('Form Responses'!$I$1:$Q$200,4,$A4)&amp;", ")),ISNUMBER(SEARCH(", "&amp;$B4&amp;", ", ", "&amp;INDEX('Form Responses'!$R$1:$R$200,4)&amp;", "))),1,""))</f>
        <v/>
      </c>
      <c r="G4">
        <f>IF(Wizards!$A$5="","",IF(OR(ISNUMBER(SEARCH(", "&amp;$B4&amp;", ", ", "&amp;INDEX('Form Responses'!$I$1:$Q$200,5,$A4)&amp;", ")),ISNUMBER(SEARCH(", "&amp;$B4&amp;", ", ", "&amp;INDEX('Form Responses'!$R$1:$R$200,5)&amp;", "))),1,""))</f>
        <v/>
      </c>
      <c r="H4">
        <f>IF(Wizards!$A$6="","",IF(OR(ISNUMBER(SEARCH(", "&amp;$B4&amp;", ", ", "&amp;INDEX('Form Responses'!$I$1:$Q$200,6,$A4)&amp;", ")),ISNUMBER(SEARCH(", "&amp;$B4&amp;", ", ", "&amp;INDEX('Form Responses'!$R$1:$R$200,6)&amp;", "))),1,""))</f>
        <v/>
      </c>
      <c r="I4">
        <f>IF(Wizards!$A$7="","",IF(OR(ISNUMBER(SEARCH(", "&amp;$B4&amp;", ", ", "&amp;INDEX('Form Responses'!$I$1:$Q$200,7,$A4)&amp;", ")),ISNUMBER(SEARCH(", "&amp;$B4&amp;", ", ", "&amp;INDEX('Form Responses'!$R$1:$R$200,7)&amp;", "))),1,""))</f>
        <v/>
      </c>
      <c r="J4">
        <f>IF(Wizards!$A$8="","",IF(OR(ISNUMBER(SEARCH(", "&amp;$B4&amp;", ", ", "&amp;INDEX('Form Responses'!$I$1:$Q$200,8,$A4)&amp;", ")),ISNUMBER(SEARCH(", "&amp;$B4&amp;", ", ", "&amp;INDEX('Form Responses'!$R$1:$R$200,8)&amp;", "))),1,""))</f>
        <v/>
      </c>
      <c r="K4">
        <f>IF(Wizards!$A$9="","",IF(OR(ISNUMBER(SEARCH(", "&amp;$B4&amp;", ", ", "&amp;INDEX('Form Responses'!$I$1:$Q$200,9,$A4)&amp;", ")),ISNUMBER(SEARCH(", "&amp;$B4&amp;", ", ", "&amp;INDEX('Form Responses'!$R$1:$R$200,9)&amp;", "))),1,""))</f>
        <v/>
      </c>
      <c r="L4">
        <f>IF(Wizards!$A$10="","",IF(OR(ISNUMBER(SEARCH(", "&amp;$B4&amp;", ", ", "&amp;INDEX('Form Responses'!$I$1:$Q$200,10,$A4)&amp;", ")),ISNUMBER(SEARCH(", "&amp;$B4&amp;", ", ", "&amp;INDEX('Form Responses'!$R$1:$R$200,10)&amp;", "))),1,""))</f>
        <v/>
      </c>
      <c r="M4">
        <f>IF(Wizards!$A$11="","",IF(OR(ISNUMBER(SEARCH(", "&amp;$B4&amp;", ", ", "&amp;INDEX('Form Responses'!$I$1:$Q$200,11,$A4)&amp;", ")),ISNUMBER(SEARCH(", "&amp;$B4&amp;", ", ", "&amp;INDEX('Form Responses'!$R$1:$R$200,11)&amp;", "))),1,""))</f>
        <v/>
      </c>
      <c r="N4">
        <f>IF(Wizards!$A$12="","",IF(OR(ISNUMBER(SEARCH(", "&amp;$B4&amp;", ", ", "&amp;INDEX('Form Responses'!$I$1:$Q$200,12,$A4)&amp;", ")),ISNUMBER(SEARCH(", "&amp;$B4&amp;", ", ", "&amp;INDEX('Form Responses'!$R$1:$R$200,12)&amp;", "))),1,""))</f>
        <v/>
      </c>
      <c r="O4">
        <f>IF(Wizards!$A$13="","",IF(OR(ISNUMBER(SEARCH(", "&amp;$B4&amp;", ", ", "&amp;INDEX('Form Responses'!$I$1:$Q$200,13,$A4)&amp;", ")),ISNUMBER(SEARCH(", "&amp;$B4&amp;", ", ", "&amp;INDEX('Form Responses'!$R$1:$R$200,13)&amp;", "))),1,""))</f>
        <v/>
      </c>
      <c r="P4">
        <f>IF(Wizards!$A$14="","",IF(OR(ISNUMBER(SEARCH(", "&amp;$B4&amp;", ", ", "&amp;INDEX('Form Responses'!$I$1:$Q$200,14,$A4)&amp;", ")),ISNUMBER(SEARCH(", "&amp;$B4&amp;", ", ", "&amp;INDEX('Form Responses'!$R$1:$R$200,14)&amp;", "))),1,""))</f>
        <v/>
      </c>
      <c r="Q4">
        <f>IF(Wizards!$A$15="","",IF(OR(ISNUMBER(SEARCH(", "&amp;$B4&amp;", ", ", "&amp;INDEX('Form Responses'!$I$1:$Q$200,15,$A4)&amp;", ")),ISNUMBER(SEARCH(", "&amp;$B4&amp;", ", ", "&amp;INDEX('Form Responses'!$R$1:$R$200,15)&amp;", "))),1,""))</f>
        <v/>
      </c>
      <c r="R4">
        <f>IF(Wizards!$A$16="","",IF(OR(ISNUMBER(SEARCH(", "&amp;$B4&amp;", ", ", "&amp;INDEX('Form Responses'!$I$1:$Q$200,16,$A4)&amp;", ")),ISNUMBER(SEARCH(", "&amp;$B4&amp;", ", ", "&amp;INDEX('Form Responses'!$R$1:$R$200,16)&amp;", "))),1,""))</f>
        <v/>
      </c>
      <c r="S4">
        <f>IF(Wizards!$A$17="","",IF(OR(ISNUMBER(SEARCH(", "&amp;$B4&amp;", ", ", "&amp;INDEX('Form Responses'!$I$1:$Q$200,17,$A4)&amp;", ")),ISNUMBER(SEARCH(", "&amp;$B4&amp;", ", ", "&amp;INDEX('Form Responses'!$R$1:$R$200,17)&amp;", "))),1,""))</f>
        <v/>
      </c>
      <c r="T4">
        <f>IF(Wizards!$A$18="","",IF(OR(ISNUMBER(SEARCH(", "&amp;$B4&amp;", ", ", "&amp;INDEX('Form Responses'!$I$1:$Q$200,18,$A4)&amp;", ")),ISNUMBER(SEARCH(", "&amp;$B4&amp;", ", ", "&amp;INDEX('Form Responses'!$R$1:$R$200,18)&amp;", "))),1,""))</f>
        <v/>
      </c>
      <c r="U4">
        <f>IF(Wizards!$A$19="","",IF(OR(ISNUMBER(SEARCH(", "&amp;$B4&amp;", ", ", "&amp;INDEX('Form Responses'!$I$1:$Q$200,19,$A4)&amp;", ")),ISNUMBER(SEARCH(", "&amp;$B4&amp;", ", ", "&amp;INDEX('Form Responses'!$R$1:$R$200,19)&amp;", "))),1,""))</f>
        <v/>
      </c>
      <c r="V4">
        <f>IF(Wizards!$A$20="","",IF(OR(ISNUMBER(SEARCH(", "&amp;$B4&amp;", ", ", "&amp;INDEX('Form Responses'!$I$1:$Q$200,20,$A4)&amp;", ")),ISNUMBER(SEARCH(", "&amp;$B4&amp;", ", ", "&amp;INDEX('Form Responses'!$R$1:$R$200,20)&amp;", "))),1,""))</f>
        <v/>
      </c>
      <c r="W4">
        <f>IF(Wizards!$A$21="","",IF(OR(ISNUMBER(SEARCH(", "&amp;$B4&amp;", ", ", "&amp;INDEX('Form Responses'!$I$1:$Q$200,21,$A4)&amp;", ")),ISNUMBER(SEARCH(", "&amp;$B4&amp;", ", ", "&amp;INDEX('Form Responses'!$R$1:$R$200,21)&amp;", "))),1,""))</f>
        <v/>
      </c>
      <c r="X4">
        <f>IF(Wizards!$A$22="","",IF(OR(ISNUMBER(SEARCH(", "&amp;$B4&amp;", ", ", "&amp;INDEX('Form Responses'!$I$1:$Q$200,22,$A4)&amp;", ")),ISNUMBER(SEARCH(", "&amp;$B4&amp;", ", ", "&amp;INDEX('Form Responses'!$R$1:$R$200,22)&amp;", "))),1,""))</f>
        <v/>
      </c>
      <c r="Y4">
        <f>IF(Wizards!$A$23="","",IF(OR(ISNUMBER(SEARCH(", "&amp;$B4&amp;", ", ", "&amp;INDEX('Form Responses'!$I$1:$Q$200,23,$A4)&amp;", ")),ISNUMBER(SEARCH(", "&amp;$B4&amp;", ", ", "&amp;INDEX('Form Responses'!$R$1:$R$200,23)&amp;", "))),1,""))</f>
        <v/>
      </c>
      <c r="Z4">
        <f>IF(Wizards!$A$24="","",IF(OR(ISNUMBER(SEARCH(", "&amp;$B4&amp;", ", ", "&amp;INDEX('Form Responses'!$I$1:$Q$200,24,$A4)&amp;", ")),ISNUMBER(SEARCH(", "&amp;$B4&amp;", ", ", "&amp;INDEX('Form Responses'!$R$1:$R$200,24)&amp;", "))),1,""))</f>
        <v/>
      </c>
      <c r="AA4">
        <f>IF(Wizards!$A$25="","",IF(OR(ISNUMBER(SEARCH(", "&amp;$B4&amp;", ", ", "&amp;INDEX('Form Responses'!$I$1:$Q$200,25,$A4)&amp;", ")),ISNUMBER(SEARCH(", "&amp;$B4&amp;", ", ", "&amp;INDEX('Form Responses'!$R$1:$R$200,25)&amp;", "))),1,""))</f>
        <v/>
      </c>
      <c r="AB4">
        <f>IF(D4=1,", "&amp;D$1,"")</f>
        <v/>
      </c>
      <c r="AC4">
        <f>IF(E4=1,", "&amp;E$1,"")</f>
        <v/>
      </c>
      <c r="AD4">
        <f>IF(F4=1,", "&amp;F$1,"")</f>
        <v/>
      </c>
      <c r="AE4">
        <f>IF(G4=1,", "&amp;G$1,"")</f>
        <v/>
      </c>
      <c r="AF4">
        <f>IF(H4=1,", "&amp;H$1,"")</f>
        <v/>
      </c>
      <c r="AG4">
        <f>IF(I4=1,", "&amp;I$1,"")</f>
        <v/>
      </c>
      <c r="AH4">
        <f>IF(J4=1,", "&amp;J$1,"")</f>
        <v/>
      </c>
      <c r="AI4">
        <f>IF(K4=1,", "&amp;K$1,"")</f>
        <v/>
      </c>
      <c r="AJ4">
        <f>IF(L4=1,", "&amp;L$1,"")</f>
        <v/>
      </c>
      <c r="AK4">
        <f>IF(M4=1,", "&amp;M$1,"")</f>
        <v/>
      </c>
      <c r="AL4">
        <f>IF(N4=1,", "&amp;N$1,"")</f>
        <v/>
      </c>
      <c r="AM4">
        <f>IF(O4=1,", "&amp;O$1,"")</f>
        <v/>
      </c>
      <c r="AN4">
        <f>IF(P4=1,", "&amp;P$1,"")</f>
        <v/>
      </c>
      <c r="AO4">
        <f>IF(Q4=1,", "&amp;Q$1,"")</f>
        <v/>
      </c>
      <c r="AP4">
        <f>IF(R4=1,", "&amp;R$1,"")</f>
        <v/>
      </c>
      <c r="AQ4">
        <f>IF(S4=1,", "&amp;S$1,"")</f>
        <v/>
      </c>
      <c r="AR4">
        <f>IF(T4=1,", "&amp;T$1,"")</f>
        <v/>
      </c>
      <c r="AS4">
        <f>IF(U4=1,", "&amp;U$1,"")</f>
        <v/>
      </c>
      <c r="AT4">
        <f>IF(V4=1,", "&amp;V$1,"")</f>
        <v/>
      </c>
      <c r="AU4">
        <f>IF(W4=1,", "&amp;W$1,"")</f>
        <v/>
      </c>
      <c r="AV4">
        <f>IF(X4=1,", "&amp;X$1,"")</f>
        <v/>
      </c>
      <c r="AW4">
        <f>IF(Y4=1,", "&amp;Y$1,"")</f>
        <v/>
      </c>
      <c r="AX4">
        <f>IF(Z4=1,", "&amp;Z$1,"")</f>
        <v/>
      </c>
      <c r="AY4">
        <f>IF(AA4=1,", "&amp;AA$1,"")</f>
        <v/>
      </c>
      <c r="AZ4">
        <f>MID($AB4&amp;$AC4&amp;$AD4&amp;$AE4&amp;$AF4&amp;$AG4&amp;$AH4&amp;$AI4&amp;$AJ4&amp;$AK4&amp;$AL4&amp;$AM4&amp;$AN4&amp;$AO4&amp;$AP4&amp;$AQ4&amp;$AR4&amp;$AS4&amp;$AT4&amp;$AU4&amp;$AV4&amp;$AW4&amp;$AX4&amp;$AY4,3,32767)</f>
        <v/>
      </c>
      <c r="BA4">
        <f>COUNT($D4:$AA4)</f>
        <v/>
      </c>
    </row>
    <row r="5">
      <c r="A5" t="n">
        <v>1</v>
      </c>
      <c r="B5" t="inlineStr">
        <is>
          <t>Catapult</t>
        </is>
      </c>
      <c r="C5" t="inlineStr">
        <is>
          <t>Transmutation</t>
        </is>
      </c>
      <c r="D5">
        <f>IF(Wizards!$A$2="","",IF(OR(ISNUMBER(SEARCH(", "&amp;$B5&amp;", ", ", "&amp;INDEX('Form Responses'!$I$1:$Q$200,2,$A5)&amp;", ")),ISNUMBER(SEARCH(", "&amp;$B5&amp;", ", ", "&amp;INDEX('Form Responses'!$R$1:$R$200,2)&amp;", "))),1,""))</f>
        <v/>
      </c>
      <c r="E5">
        <f>IF(Wizards!$A$3="","",IF(OR(ISNUMBER(SEARCH(", "&amp;$B5&amp;", ", ", "&amp;INDEX('Form Responses'!$I$1:$Q$200,3,$A5)&amp;", ")),ISNUMBER(SEARCH(", "&amp;$B5&amp;", ", ", "&amp;INDEX('Form Responses'!$R$1:$R$200,3)&amp;", "))),1,""))</f>
        <v/>
      </c>
      <c r="F5">
        <f>IF(Wizards!$A$4="","",IF(OR(ISNUMBER(SEARCH(", "&amp;$B5&amp;", ", ", "&amp;INDEX('Form Responses'!$I$1:$Q$200,4,$A5)&amp;", ")),ISNUMBER(SEARCH(", "&amp;$B5&amp;", ", ", "&amp;INDEX('Form Responses'!$R$1:$R$200,4)&amp;", "))),1,""))</f>
        <v/>
      </c>
      <c r="G5">
        <f>IF(Wizards!$A$5="","",IF(OR(ISNUMBER(SEARCH(", "&amp;$B5&amp;", ", ", "&amp;INDEX('Form Responses'!$I$1:$Q$200,5,$A5)&amp;", ")),ISNUMBER(SEARCH(", "&amp;$B5&amp;", ", ", "&amp;INDEX('Form Responses'!$R$1:$R$200,5)&amp;", "))),1,""))</f>
        <v/>
      </c>
      <c r="H5">
        <f>IF(Wizards!$A$6="","",IF(OR(ISNUMBER(SEARCH(", "&amp;$B5&amp;", ", ", "&amp;INDEX('Form Responses'!$I$1:$Q$200,6,$A5)&amp;", ")),ISNUMBER(SEARCH(", "&amp;$B5&amp;", ", ", "&amp;INDEX('Form Responses'!$R$1:$R$200,6)&amp;", "))),1,""))</f>
        <v/>
      </c>
      <c r="I5">
        <f>IF(Wizards!$A$7="","",IF(OR(ISNUMBER(SEARCH(", "&amp;$B5&amp;", ", ", "&amp;INDEX('Form Responses'!$I$1:$Q$200,7,$A5)&amp;", ")),ISNUMBER(SEARCH(", "&amp;$B5&amp;", ", ", "&amp;INDEX('Form Responses'!$R$1:$R$200,7)&amp;", "))),1,""))</f>
        <v/>
      </c>
      <c r="J5">
        <f>IF(Wizards!$A$8="","",IF(OR(ISNUMBER(SEARCH(", "&amp;$B5&amp;", ", ", "&amp;INDEX('Form Responses'!$I$1:$Q$200,8,$A5)&amp;", ")),ISNUMBER(SEARCH(", "&amp;$B5&amp;", ", ", "&amp;INDEX('Form Responses'!$R$1:$R$200,8)&amp;", "))),1,""))</f>
        <v/>
      </c>
      <c r="K5">
        <f>IF(Wizards!$A$9="","",IF(OR(ISNUMBER(SEARCH(", "&amp;$B5&amp;", ", ", "&amp;INDEX('Form Responses'!$I$1:$Q$200,9,$A5)&amp;", ")),ISNUMBER(SEARCH(", "&amp;$B5&amp;", ", ", "&amp;INDEX('Form Responses'!$R$1:$R$200,9)&amp;", "))),1,""))</f>
        <v/>
      </c>
      <c r="L5">
        <f>IF(Wizards!$A$10="","",IF(OR(ISNUMBER(SEARCH(", "&amp;$B5&amp;", ", ", "&amp;INDEX('Form Responses'!$I$1:$Q$200,10,$A5)&amp;", ")),ISNUMBER(SEARCH(", "&amp;$B5&amp;", ", ", "&amp;INDEX('Form Responses'!$R$1:$R$200,10)&amp;", "))),1,""))</f>
        <v/>
      </c>
      <c r="M5">
        <f>IF(Wizards!$A$11="","",IF(OR(ISNUMBER(SEARCH(", "&amp;$B5&amp;", ", ", "&amp;INDEX('Form Responses'!$I$1:$Q$200,11,$A5)&amp;", ")),ISNUMBER(SEARCH(", "&amp;$B5&amp;", ", ", "&amp;INDEX('Form Responses'!$R$1:$R$200,11)&amp;", "))),1,""))</f>
        <v/>
      </c>
      <c r="N5">
        <f>IF(Wizards!$A$12="","",IF(OR(ISNUMBER(SEARCH(", "&amp;$B5&amp;", ", ", "&amp;INDEX('Form Responses'!$I$1:$Q$200,12,$A5)&amp;", ")),ISNUMBER(SEARCH(", "&amp;$B5&amp;", ", ", "&amp;INDEX('Form Responses'!$R$1:$R$200,12)&amp;", "))),1,""))</f>
        <v/>
      </c>
      <c r="O5">
        <f>IF(Wizards!$A$13="","",IF(OR(ISNUMBER(SEARCH(", "&amp;$B5&amp;", ", ", "&amp;INDEX('Form Responses'!$I$1:$Q$200,13,$A5)&amp;", ")),ISNUMBER(SEARCH(", "&amp;$B5&amp;", ", ", "&amp;INDEX('Form Responses'!$R$1:$R$200,13)&amp;", "))),1,""))</f>
        <v/>
      </c>
      <c r="P5">
        <f>IF(Wizards!$A$14="","",IF(OR(ISNUMBER(SEARCH(", "&amp;$B5&amp;", ", ", "&amp;INDEX('Form Responses'!$I$1:$Q$200,14,$A5)&amp;", ")),ISNUMBER(SEARCH(", "&amp;$B5&amp;", ", ", "&amp;INDEX('Form Responses'!$R$1:$R$200,14)&amp;", "))),1,""))</f>
        <v/>
      </c>
      <c r="Q5">
        <f>IF(Wizards!$A$15="","",IF(OR(ISNUMBER(SEARCH(", "&amp;$B5&amp;", ", ", "&amp;INDEX('Form Responses'!$I$1:$Q$200,15,$A5)&amp;", ")),ISNUMBER(SEARCH(", "&amp;$B5&amp;", ", ", "&amp;INDEX('Form Responses'!$R$1:$R$200,15)&amp;", "))),1,""))</f>
        <v/>
      </c>
      <c r="R5">
        <f>IF(Wizards!$A$16="","",IF(OR(ISNUMBER(SEARCH(", "&amp;$B5&amp;", ", ", "&amp;INDEX('Form Responses'!$I$1:$Q$200,16,$A5)&amp;", ")),ISNUMBER(SEARCH(", "&amp;$B5&amp;", ", ", "&amp;INDEX('Form Responses'!$R$1:$R$200,16)&amp;", "))),1,""))</f>
        <v/>
      </c>
      <c r="S5">
        <f>IF(Wizards!$A$17="","",IF(OR(ISNUMBER(SEARCH(", "&amp;$B5&amp;", ", ", "&amp;INDEX('Form Responses'!$I$1:$Q$200,17,$A5)&amp;", ")),ISNUMBER(SEARCH(", "&amp;$B5&amp;", ", ", "&amp;INDEX('Form Responses'!$R$1:$R$200,17)&amp;", "))),1,""))</f>
        <v/>
      </c>
      <c r="T5">
        <f>IF(Wizards!$A$18="","",IF(OR(ISNUMBER(SEARCH(", "&amp;$B5&amp;", ", ", "&amp;INDEX('Form Responses'!$I$1:$Q$200,18,$A5)&amp;", ")),ISNUMBER(SEARCH(", "&amp;$B5&amp;", ", ", "&amp;INDEX('Form Responses'!$R$1:$R$200,18)&amp;", "))),1,""))</f>
        <v/>
      </c>
      <c r="U5">
        <f>IF(Wizards!$A$19="","",IF(OR(ISNUMBER(SEARCH(", "&amp;$B5&amp;", ", ", "&amp;INDEX('Form Responses'!$I$1:$Q$200,19,$A5)&amp;", ")),ISNUMBER(SEARCH(", "&amp;$B5&amp;", ", ", "&amp;INDEX('Form Responses'!$R$1:$R$200,19)&amp;", "))),1,""))</f>
        <v/>
      </c>
      <c r="V5">
        <f>IF(Wizards!$A$20="","",IF(OR(ISNUMBER(SEARCH(", "&amp;$B5&amp;", ", ", "&amp;INDEX('Form Responses'!$I$1:$Q$200,20,$A5)&amp;", ")),ISNUMBER(SEARCH(", "&amp;$B5&amp;", ", ", "&amp;INDEX('Form Responses'!$R$1:$R$200,20)&amp;", "))),1,""))</f>
        <v/>
      </c>
      <c r="W5">
        <f>IF(Wizards!$A$21="","",IF(OR(ISNUMBER(SEARCH(", "&amp;$B5&amp;", ", ", "&amp;INDEX('Form Responses'!$I$1:$Q$200,21,$A5)&amp;", ")),ISNUMBER(SEARCH(", "&amp;$B5&amp;", ", ", "&amp;INDEX('Form Responses'!$R$1:$R$200,21)&amp;", "))),1,""))</f>
        <v/>
      </c>
      <c r="X5">
        <f>IF(Wizards!$A$22="","",IF(OR(ISNUMBER(SEARCH(", "&amp;$B5&amp;", ", ", "&amp;INDEX('Form Responses'!$I$1:$Q$200,22,$A5)&amp;", ")),ISNUMBER(SEARCH(", "&amp;$B5&amp;", ", ", "&amp;INDEX('Form Responses'!$R$1:$R$200,22)&amp;", "))),1,""))</f>
        <v/>
      </c>
      <c r="Y5">
        <f>IF(Wizards!$A$23="","",IF(OR(ISNUMBER(SEARCH(", "&amp;$B5&amp;", ", ", "&amp;INDEX('Form Responses'!$I$1:$Q$200,23,$A5)&amp;", ")),ISNUMBER(SEARCH(", "&amp;$B5&amp;", ", ", "&amp;INDEX('Form Responses'!$R$1:$R$200,23)&amp;", "))),1,""))</f>
        <v/>
      </c>
      <c r="Z5">
        <f>IF(Wizards!$A$24="","",IF(OR(ISNUMBER(SEARCH(", "&amp;$B5&amp;", ", ", "&amp;INDEX('Form Responses'!$I$1:$Q$200,24,$A5)&amp;", ")),ISNUMBER(SEARCH(", "&amp;$B5&amp;", ", ", "&amp;INDEX('Form Responses'!$R$1:$R$200,24)&amp;", "))),1,""))</f>
        <v/>
      </c>
      <c r="AA5">
        <f>IF(Wizards!$A$25="","",IF(OR(ISNUMBER(SEARCH(", "&amp;$B5&amp;", ", ", "&amp;INDEX('Form Responses'!$I$1:$Q$200,25,$A5)&amp;", ")),ISNUMBER(SEARCH(", "&amp;$B5&amp;", ", ", "&amp;INDEX('Form Responses'!$R$1:$R$200,25)&amp;", "))),1,""))</f>
        <v/>
      </c>
      <c r="AB5">
        <f>IF(D5=1,", "&amp;D$1,"")</f>
        <v/>
      </c>
      <c r="AC5">
        <f>IF(E5=1,", "&amp;E$1,"")</f>
        <v/>
      </c>
      <c r="AD5">
        <f>IF(F5=1,", "&amp;F$1,"")</f>
        <v/>
      </c>
      <c r="AE5">
        <f>IF(G5=1,", "&amp;G$1,"")</f>
        <v/>
      </c>
      <c r="AF5">
        <f>IF(H5=1,", "&amp;H$1,"")</f>
        <v/>
      </c>
      <c r="AG5">
        <f>IF(I5=1,", "&amp;I$1,"")</f>
        <v/>
      </c>
      <c r="AH5">
        <f>IF(J5=1,", "&amp;J$1,"")</f>
        <v/>
      </c>
      <c r="AI5">
        <f>IF(K5=1,", "&amp;K$1,"")</f>
        <v/>
      </c>
      <c r="AJ5">
        <f>IF(L5=1,", "&amp;L$1,"")</f>
        <v/>
      </c>
      <c r="AK5">
        <f>IF(M5=1,", "&amp;M$1,"")</f>
        <v/>
      </c>
      <c r="AL5">
        <f>IF(N5=1,", "&amp;N$1,"")</f>
        <v/>
      </c>
      <c r="AM5">
        <f>IF(O5=1,", "&amp;O$1,"")</f>
        <v/>
      </c>
      <c r="AN5">
        <f>IF(P5=1,", "&amp;P$1,"")</f>
        <v/>
      </c>
      <c r="AO5">
        <f>IF(Q5=1,", "&amp;Q$1,"")</f>
        <v/>
      </c>
      <c r="AP5">
        <f>IF(R5=1,", "&amp;R$1,"")</f>
        <v/>
      </c>
      <c r="AQ5">
        <f>IF(S5=1,", "&amp;S$1,"")</f>
        <v/>
      </c>
      <c r="AR5">
        <f>IF(T5=1,", "&amp;T$1,"")</f>
        <v/>
      </c>
      <c r="AS5">
        <f>IF(U5=1,", "&amp;U$1,"")</f>
        <v/>
      </c>
      <c r="AT5">
        <f>IF(V5=1,", "&amp;V$1,"")</f>
        <v/>
      </c>
      <c r="AU5">
        <f>IF(W5=1,", "&amp;W$1,"")</f>
        <v/>
      </c>
      <c r="AV5">
        <f>IF(X5=1,", "&amp;X$1,"")</f>
        <v/>
      </c>
      <c r="AW5">
        <f>IF(Y5=1,", "&amp;Y$1,"")</f>
        <v/>
      </c>
      <c r="AX5">
        <f>IF(Z5=1,", "&amp;Z$1,"")</f>
        <v/>
      </c>
      <c r="AY5">
        <f>IF(AA5=1,", "&amp;AA$1,"")</f>
        <v/>
      </c>
      <c r="AZ5">
        <f>MID($AB5&amp;$AC5&amp;$AD5&amp;$AE5&amp;$AF5&amp;$AG5&amp;$AH5&amp;$AI5&amp;$AJ5&amp;$AK5&amp;$AL5&amp;$AM5&amp;$AN5&amp;$AO5&amp;$AP5&amp;$AQ5&amp;$AR5&amp;$AS5&amp;$AT5&amp;$AU5&amp;$AV5&amp;$AW5&amp;$AX5&amp;$AY5,3,32767)</f>
        <v/>
      </c>
      <c r="BA5">
        <f>COUNT($D5:$AA5)</f>
        <v/>
      </c>
    </row>
    <row r="6">
      <c r="A6" t="n">
        <v>1</v>
      </c>
      <c r="B6" t="inlineStr">
        <is>
          <t>Cause Fear</t>
        </is>
      </c>
      <c r="C6" t="inlineStr">
        <is>
          <t>Necromancy</t>
        </is>
      </c>
      <c r="D6">
        <f>IF(Wizards!$A$2="","",IF(OR(ISNUMBER(SEARCH(", "&amp;$B6&amp;", ", ", "&amp;INDEX('Form Responses'!$I$1:$Q$200,2,$A6)&amp;", ")),ISNUMBER(SEARCH(", "&amp;$B6&amp;", ", ", "&amp;INDEX('Form Responses'!$R$1:$R$200,2)&amp;", "))),1,""))</f>
        <v/>
      </c>
      <c r="E6">
        <f>IF(Wizards!$A$3="","",IF(OR(ISNUMBER(SEARCH(", "&amp;$B6&amp;", ", ", "&amp;INDEX('Form Responses'!$I$1:$Q$200,3,$A6)&amp;", ")),ISNUMBER(SEARCH(", "&amp;$B6&amp;", ", ", "&amp;INDEX('Form Responses'!$R$1:$R$200,3)&amp;", "))),1,""))</f>
        <v/>
      </c>
      <c r="F6">
        <f>IF(Wizards!$A$4="","",IF(OR(ISNUMBER(SEARCH(", "&amp;$B6&amp;", ", ", "&amp;INDEX('Form Responses'!$I$1:$Q$200,4,$A6)&amp;", ")),ISNUMBER(SEARCH(", "&amp;$B6&amp;", ", ", "&amp;INDEX('Form Responses'!$R$1:$R$200,4)&amp;", "))),1,""))</f>
        <v/>
      </c>
      <c r="G6">
        <f>IF(Wizards!$A$5="","",IF(OR(ISNUMBER(SEARCH(", "&amp;$B6&amp;", ", ", "&amp;INDEX('Form Responses'!$I$1:$Q$200,5,$A6)&amp;", ")),ISNUMBER(SEARCH(", "&amp;$B6&amp;", ", ", "&amp;INDEX('Form Responses'!$R$1:$R$200,5)&amp;", "))),1,""))</f>
        <v/>
      </c>
      <c r="H6">
        <f>IF(Wizards!$A$6="","",IF(OR(ISNUMBER(SEARCH(", "&amp;$B6&amp;", ", ", "&amp;INDEX('Form Responses'!$I$1:$Q$200,6,$A6)&amp;", ")),ISNUMBER(SEARCH(", "&amp;$B6&amp;", ", ", "&amp;INDEX('Form Responses'!$R$1:$R$200,6)&amp;", "))),1,""))</f>
        <v/>
      </c>
      <c r="I6">
        <f>IF(Wizards!$A$7="","",IF(OR(ISNUMBER(SEARCH(", "&amp;$B6&amp;", ", ", "&amp;INDEX('Form Responses'!$I$1:$Q$200,7,$A6)&amp;", ")),ISNUMBER(SEARCH(", "&amp;$B6&amp;", ", ", "&amp;INDEX('Form Responses'!$R$1:$R$200,7)&amp;", "))),1,""))</f>
        <v/>
      </c>
      <c r="J6">
        <f>IF(Wizards!$A$8="","",IF(OR(ISNUMBER(SEARCH(", "&amp;$B6&amp;", ", ", "&amp;INDEX('Form Responses'!$I$1:$Q$200,8,$A6)&amp;", ")),ISNUMBER(SEARCH(", "&amp;$B6&amp;", ", ", "&amp;INDEX('Form Responses'!$R$1:$R$200,8)&amp;", "))),1,""))</f>
        <v/>
      </c>
      <c r="K6">
        <f>IF(Wizards!$A$9="","",IF(OR(ISNUMBER(SEARCH(", "&amp;$B6&amp;", ", ", "&amp;INDEX('Form Responses'!$I$1:$Q$200,9,$A6)&amp;", ")),ISNUMBER(SEARCH(", "&amp;$B6&amp;", ", ", "&amp;INDEX('Form Responses'!$R$1:$R$200,9)&amp;", "))),1,""))</f>
        <v/>
      </c>
      <c r="L6">
        <f>IF(Wizards!$A$10="","",IF(OR(ISNUMBER(SEARCH(", "&amp;$B6&amp;", ", ", "&amp;INDEX('Form Responses'!$I$1:$Q$200,10,$A6)&amp;", ")),ISNUMBER(SEARCH(", "&amp;$B6&amp;", ", ", "&amp;INDEX('Form Responses'!$R$1:$R$200,10)&amp;", "))),1,""))</f>
        <v/>
      </c>
      <c r="M6">
        <f>IF(Wizards!$A$11="","",IF(OR(ISNUMBER(SEARCH(", "&amp;$B6&amp;", ", ", "&amp;INDEX('Form Responses'!$I$1:$Q$200,11,$A6)&amp;", ")),ISNUMBER(SEARCH(", "&amp;$B6&amp;", ", ", "&amp;INDEX('Form Responses'!$R$1:$R$200,11)&amp;", "))),1,""))</f>
        <v/>
      </c>
      <c r="N6">
        <f>IF(Wizards!$A$12="","",IF(OR(ISNUMBER(SEARCH(", "&amp;$B6&amp;", ", ", "&amp;INDEX('Form Responses'!$I$1:$Q$200,12,$A6)&amp;", ")),ISNUMBER(SEARCH(", "&amp;$B6&amp;", ", ", "&amp;INDEX('Form Responses'!$R$1:$R$200,12)&amp;", "))),1,""))</f>
        <v/>
      </c>
      <c r="O6">
        <f>IF(Wizards!$A$13="","",IF(OR(ISNUMBER(SEARCH(", "&amp;$B6&amp;", ", ", "&amp;INDEX('Form Responses'!$I$1:$Q$200,13,$A6)&amp;", ")),ISNUMBER(SEARCH(", "&amp;$B6&amp;", ", ", "&amp;INDEX('Form Responses'!$R$1:$R$200,13)&amp;", "))),1,""))</f>
        <v/>
      </c>
      <c r="P6">
        <f>IF(Wizards!$A$14="","",IF(OR(ISNUMBER(SEARCH(", "&amp;$B6&amp;", ", ", "&amp;INDEX('Form Responses'!$I$1:$Q$200,14,$A6)&amp;", ")),ISNUMBER(SEARCH(", "&amp;$B6&amp;", ", ", "&amp;INDEX('Form Responses'!$R$1:$R$200,14)&amp;", "))),1,""))</f>
        <v/>
      </c>
      <c r="Q6">
        <f>IF(Wizards!$A$15="","",IF(OR(ISNUMBER(SEARCH(", "&amp;$B6&amp;", ", ", "&amp;INDEX('Form Responses'!$I$1:$Q$200,15,$A6)&amp;", ")),ISNUMBER(SEARCH(", "&amp;$B6&amp;", ", ", "&amp;INDEX('Form Responses'!$R$1:$R$200,15)&amp;", "))),1,""))</f>
        <v/>
      </c>
      <c r="R6">
        <f>IF(Wizards!$A$16="","",IF(OR(ISNUMBER(SEARCH(", "&amp;$B6&amp;", ", ", "&amp;INDEX('Form Responses'!$I$1:$Q$200,16,$A6)&amp;", ")),ISNUMBER(SEARCH(", "&amp;$B6&amp;", ", ", "&amp;INDEX('Form Responses'!$R$1:$R$200,16)&amp;", "))),1,""))</f>
        <v/>
      </c>
      <c r="S6">
        <f>IF(Wizards!$A$17="","",IF(OR(ISNUMBER(SEARCH(", "&amp;$B6&amp;", ", ", "&amp;INDEX('Form Responses'!$I$1:$Q$200,17,$A6)&amp;", ")),ISNUMBER(SEARCH(", "&amp;$B6&amp;", ", ", "&amp;INDEX('Form Responses'!$R$1:$R$200,17)&amp;", "))),1,""))</f>
        <v/>
      </c>
      <c r="T6">
        <f>IF(Wizards!$A$18="","",IF(OR(ISNUMBER(SEARCH(", "&amp;$B6&amp;", ", ", "&amp;INDEX('Form Responses'!$I$1:$Q$200,18,$A6)&amp;", ")),ISNUMBER(SEARCH(", "&amp;$B6&amp;", ", ", "&amp;INDEX('Form Responses'!$R$1:$R$200,18)&amp;", "))),1,""))</f>
        <v/>
      </c>
      <c r="U6">
        <f>IF(Wizards!$A$19="","",IF(OR(ISNUMBER(SEARCH(", "&amp;$B6&amp;", ", ", "&amp;INDEX('Form Responses'!$I$1:$Q$200,19,$A6)&amp;", ")),ISNUMBER(SEARCH(", "&amp;$B6&amp;", ", ", "&amp;INDEX('Form Responses'!$R$1:$R$200,19)&amp;", "))),1,""))</f>
        <v/>
      </c>
      <c r="V6">
        <f>IF(Wizards!$A$20="","",IF(OR(ISNUMBER(SEARCH(", "&amp;$B6&amp;", ", ", "&amp;INDEX('Form Responses'!$I$1:$Q$200,20,$A6)&amp;", ")),ISNUMBER(SEARCH(", "&amp;$B6&amp;", ", ", "&amp;INDEX('Form Responses'!$R$1:$R$200,20)&amp;", "))),1,""))</f>
        <v/>
      </c>
      <c r="W6">
        <f>IF(Wizards!$A$21="","",IF(OR(ISNUMBER(SEARCH(", "&amp;$B6&amp;", ", ", "&amp;INDEX('Form Responses'!$I$1:$Q$200,21,$A6)&amp;", ")),ISNUMBER(SEARCH(", "&amp;$B6&amp;", ", ", "&amp;INDEX('Form Responses'!$R$1:$R$200,21)&amp;", "))),1,""))</f>
        <v/>
      </c>
      <c r="X6">
        <f>IF(Wizards!$A$22="","",IF(OR(ISNUMBER(SEARCH(", "&amp;$B6&amp;", ", ", "&amp;INDEX('Form Responses'!$I$1:$Q$200,22,$A6)&amp;", ")),ISNUMBER(SEARCH(", "&amp;$B6&amp;", ", ", "&amp;INDEX('Form Responses'!$R$1:$R$200,22)&amp;", "))),1,""))</f>
        <v/>
      </c>
      <c r="Y6">
        <f>IF(Wizards!$A$23="","",IF(OR(ISNUMBER(SEARCH(", "&amp;$B6&amp;", ", ", "&amp;INDEX('Form Responses'!$I$1:$Q$200,23,$A6)&amp;", ")),ISNUMBER(SEARCH(", "&amp;$B6&amp;", ", ", "&amp;INDEX('Form Responses'!$R$1:$R$200,23)&amp;", "))),1,""))</f>
        <v/>
      </c>
      <c r="Z6">
        <f>IF(Wizards!$A$24="","",IF(OR(ISNUMBER(SEARCH(", "&amp;$B6&amp;", ", ", "&amp;INDEX('Form Responses'!$I$1:$Q$200,24,$A6)&amp;", ")),ISNUMBER(SEARCH(", "&amp;$B6&amp;", ", ", "&amp;INDEX('Form Responses'!$R$1:$R$200,24)&amp;", "))),1,""))</f>
        <v/>
      </c>
      <c r="AA6">
        <f>IF(Wizards!$A$25="","",IF(OR(ISNUMBER(SEARCH(", "&amp;$B6&amp;", ", ", "&amp;INDEX('Form Responses'!$I$1:$Q$200,25,$A6)&amp;", ")),ISNUMBER(SEARCH(", "&amp;$B6&amp;", ", ", "&amp;INDEX('Form Responses'!$R$1:$R$200,25)&amp;", "))),1,""))</f>
        <v/>
      </c>
      <c r="AB6">
        <f>IF(D6=1,", "&amp;D$1,"")</f>
        <v/>
      </c>
      <c r="AC6">
        <f>IF(E6=1,", "&amp;E$1,"")</f>
        <v/>
      </c>
      <c r="AD6">
        <f>IF(F6=1,", "&amp;F$1,"")</f>
        <v/>
      </c>
      <c r="AE6">
        <f>IF(G6=1,", "&amp;G$1,"")</f>
        <v/>
      </c>
      <c r="AF6">
        <f>IF(H6=1,", "&amp;H$1,"")</f>
        <v/>
      </c>
      <c r="AG6">
        <f>IF(I6=1,", "&amp;I$1,"")</f>
        <v/>
      </c>
      <c r="AH6">
        <f>IF(J6=1,", "&amp;J$1,"")</f>
        <v/>
      </c>
      <c r="AI6">
        <f>IF(K6=1,", "&amp;K$1,"")</f>
        <v/>
      </c>
      <c r="AJ6">
        <f>IF(L6=1,", "&amp;L$1,"")</f>
        <v/>
      </c>
      <c r="AK6">
        <f>IF(M6=1,", "&amp;M$1,"")</f>
        <v/>
      </c>
      <c r="AL6">
        <f>IF(N6=1,", "&amp;N$1,"")</f>
        <v/>
      </c>
      <c r="AM6">
        <f>IF(O6=1,", "&amp;O$1,"")</f>
        <v/>
      </c>
      <c r="AN6">
        <f>IF(P6=1,", "&amp;P$1,"")</f>
        <v/>
      </c>
      <c r="AO6">
        <f>IF(Q6=1,", "&amp;Q$1,"")</f>
        <v/>
      </c>
      <c r="AP6">
        <f>IF(R6=1,", "&amp;R$1,"")</f>
        <v/>
      </c>
      <c r="AQ6">
        <f>IF(S6=1,", "&amp;S$1,"")</f>
        <v/>
      </c>
      <c r="AR6">
        <f>IF(T6=1,", "&amp;T$1,"")</f>
        <v/>
      </c>
      <c r="AS6">
        <f>IF(U6=1,", "&amp;U$1,"")</f>
        <v/>
      </c>
      <c r="AT6">
        <f>IF(V6=1,", "&amp;V$1,"")</f>
        <v/>
      </c>
      <c r="AU6">
        <f>IF(W6=1,", "&amp;W$1,"")</f>
        <v/>
      </c>
      <c r="AV6">
        <f>IF(X6=1,", "&amp;X$1,"")</f>
        <v/>
      </c>
      <c r="AW6">
        <f>IF(Y6=1,", "&amp;Y$1,"")</f>
        <v/>
      </c>
      <c r="AX6">
        <f>IF(Z6=1,", "&amp;Z$1,"")</f>
        <v/>
      </c>
      <c r="AY6">
        <f>IF(AA6=1,", "&amp;AA$1,"")</f>
        <v/>
      </c>
      <c r="AZ6">
        <f>MID($AB6&amp;$AC6&amp;$AD6&amp;$AE6&amp;$AF6&amp;$AG6&amp;$AH6&amp;$AI6&amp;$AJ6&amp;$AK6&amp;$AL6&amp;$AM6&amp;$AN6&amp;$AO6&amp;$AP6&amp;$AQ6&amp;$AR6&amp;$AS6&amp;$AT6&amp;$AU6&amp;$AV6&amp;$AW6&amp;$AX6&amp;$AY6,3,32767)</f>
        <v/>
      </c>
      <c r="BA6">
        <f>COUNT($D6:$AA6)</f>
        <v/>
      </c>
    </row>
    <row r="7">
      <c r="A7" t="n">
        <v>1</v>
      </c>
      <c r="B7" t="inlineStr">
        <is>
          <t>Charm Person</t>
        </is>
      </c>
      <c r="C7" t="inlineStr">
        <is>
          <t>Enchantment</t>
        </is>
      </c>
      <c r="D7">
        <f>IF(Wizards!$A$2="","",IF(OR(ISNUMBER(SEARCH(", "&amp;$B7&amp;", ", ", "&amp;INDEX('Form Responses'!$I$1:$Q$200,2,$A7)&amp;", ")),ISNUMBER(SEARCH(", "&amp;$B7&amp;", ", ", "&amp;INDEX('Form Responses'!$R$1:$R$200,2)&amp;", "))),1,""))</f>
        <v/>
      </c>
      <c r="E7">
        <f>IF(Wizards!$A$3="","",IF(OR(ISNUMBER(SEARCH(", "&amp;$B7&amp;", ", ", "&amp;INDEX('Form Responses'!$I$1:$Q$200,3,$A7)&amp;", ")),ISNUMBER(SEARCH(", "&amp;$B7&amp;", ", ", "&amp;INDEX('Form Responses'!$R$1:$R$200,3)&amp;", "))),1,""))</f>
        <v/>
      </c>
      <c r="F7">
        <f>IF(Wizards!$A$4="","",IF(OR(ISNUMBER(SEARCH(", "&amp;$B7&amp;", ", ", "&amp;INDEX('Form Responses'!$I$1:$Q$200,4,$A7)&amp;", ")),ISNUMBER(SEARCH(", "&amp;$B7&amp;", ", ", "&amp;INDEX('Form Responses'!$R$1:$R$200,4)&amp;", "))),1,""))</f>
        <v/>
      </c>
      <c r="G7">
        <f>IF(Wizards!$A$5="","",IF(OR(ISNUMBER(SEARCH(", "&amp;$B7&amp;", ", ", "&amp;INDEX('Form Responses'!$I$1:$Q$200,5,$A7)&amp;", ")),ISNUMBER(SEARCH(", "&amp;$B7&amp;", ", ", "&amp;INDEX('Form Responses'!$R$1:$R$200,5)&amp;", "))),1,""))</f>
        <v/>
      </c>
      <c r="H7">
        <f>IF(Wizards!$A$6="","",IF(OR(ISNUMBER(SEARCH(", "&amp;$B7&amp;", ", ", "&amp;INDEX('Form Responses'!$I$1:$Q$200,6,$A7)&amp;", ")),ISNUMBER(SEARCH(", "&amp;$B7&amp;", ", ", "&amp;INDEX('Form Responses'!$R$1:$R$200,6)&amp;", "))),1,""))</f>
        <v/>
      </c>
      <c r="I7">
        <f>IF(Wizards!$A$7="","",IF(OR(ISNUMBER(SEARCH(", "&amp;$B7&amp;", ", ", "&amp;INDEX('Form Responses'!$I$1:$Q$200,7,$A7)&amp;", ")),ISNUMBER(SEARCH(", "&amp;$B7&amp;", ", ", "&amp;INDEX('Form Responses'!$R$1:$R$200,7)&amp;", "))),1,""))</f>
        <v/>
      </c>
      <c r="J7">
        <f>IF(Wizards!$A$8="","",IF(OR(ISNUMBER(SEARCH(", "&amp;$B7&amp;", ", ", "&amp;INDEX('Form Responses'!$I$1:$Q$200,8,$A7)&amp;", ")),ISNUMBER(SEARCH(", "&amp;$B7&amp;", ", ", "&amp;INDEX('Form Responses'!$R$1:$R$200,8)&amp;", "))),1,""))</f>
        <v/>
      </c>
      <c r="K7">
        <f>IF(Wizards!$A$9="","",IF(OR(ISNUMBER(SEARCH(", "&amp;$B7&amp;", ", ", "&amp;INDEX('Form Responses'!$I$1:$Q$200,9,$A7)&amp;", ")),ISNUMBER(SEARCH(", "&amp;$B7&amp;", ", ", "&amp;INDEX('Form Responses'!$R$1:$R$200,9)&amp;", "))),1,""))</f>
        <v/>
      </c>
      <c r="L7">
        <f>IF(Wizards!$A$10="","",IF(OR(ISNUMBER(SEARCH(", "&amp;$B7&amp;", ", ", "&amp;INDEX('Form Responses'!$I$1:$Q$200,10,$A7)&amp;", ")),ISNUMBER(SEARCH(", "&amp;$B7&amp;", ", ", "&amp;INDEX('Form Responses'!$R$1:$R$200,10)&amp;", "))),1,""))</f>
        <v/>
      </c>
      <c r="M7">
        <f>IF(Wizards!$A$11="","",IF(OR(ISNUMBER(SEARCH(", "&amp;$B7&amp;", ", ", "&amp;INDEX('Form Responses'!$I$1:$Q$200,11,$A7)&amp;", ")),ISNUMBER(SEARCH(", "&amp;$B7&amp;", ", ", "&amp;INDEX('Form Responses'!$R$1:$R$200,11)&amp;", "))),1,""))</f>
        <v/>
      </c>
      <c r="N7">
        <f>IF(Wizards!$A$12="","",IF(OR(ISNUMBER(SEARCH(", "&amp;$B7&amp;", ", ", "&amp;INDEX('Form Responses'!$I$1:$Q$200,12,$A7)&amp;", ")),ISNUMBER(SEARCH(", "&amp;$B7&amp;", ", ", "&amp;INDEX('Form Responses'!$R$1:$R$200,12)&amp;", "))),1,""))</f>
        <v/>
      </c>
      <c r="O7">
        <f>IF(Wizards!$A$13="","",IF(OR(ISNUMBER(SEARCH(", "&amp;$B7&amp;", ", ", "&amp;INDEX('Form Responses'!$I$1:$Q$200,13,$A7)&amp;", ")),ISNUMBER(SEARCH(", "&amp;$B7&amp;", ", ", "&amp;INDEX('Form Responses'!$R$1:$R$200,13)&amp;", "))),1,""))</f>
        <v/>
      </c>
      <c r="P7">
        <f>IF(Wizards!$A$14="","",IF(OR(ISNUMBER(SEARCH(", "&amp;$B7&amp;", ", ", "&amp;INDEX('Form Responses'!$I$1:$Q$200,14,$A7)&amp;", ")),ISNUMBER(SEARCH(", "&amp;$B7&amp;", ", ", "&amp;INDEX('Form Responses'!$R$1:$R$200,14)&amp;", "))),1,""))</f>
        <v/>
      </c>
      <c r="Q7">
        <f>IF(Wizards!$A$15="","",IF(OR(ISNUMBER(SEARCH(", "&amp;$B7&amp;", ", ", "&amp;INDEX('Form Responses'!$I$1:$Q$200,15,$A7)&amp;", ")),ISNUMBER(SEARCH(", "&amp;$B7&amp;", ", ", "&amp;INDEX('Form Responses'!$R$1:$R$200,15)&amp;", "))),1,""))</f>
        <v/>
      </c>
      <c r="R7">
        <f>IF(Wizards!$A$16="","",IF(OR(ISNUMBER(SEARCH(", "&amp;$B7&amp;", ", ", "&amp;INDEX('Form Responses'!$I$1:$Q$200,16,$A7)&amp;", ")),ISNUMBER(SEARCH(", "&amp;$B7&amp;", ", ", "&amp;INDEX('Form Responses'!$R$1:$R$200,16)&amp;", "))),1,""))</f>
        <v/>
      </c>
      <c r="S7">
        <f>IF(Wizards!$A$17="","",IF(OR(ISNUMBER(SEARCH(", "&amp;$B7&amp;", ", ", "&amp;INDEX('Form Responses'!$I$1:$Q$200,17,$A7)&amp;", ")),ISNUMBER(SEARCH(", "&amp;$B7&amp;", ", ", "&amp;INDEX('Form Responses'!$R$1:$R$200,17)&amp;", "))),1,""))</f>
        <v/>
      </c>
      <c r="T7">
        <f>IF(Wizards!$A$18="","",IF(OR(ISNUMBER(SEARCH(", "&amp;$B7&amp;", ", ", "&amp;INDEX('Form Responses'!$I$1:$Q$200,18,$A7)&amp;", ")),ISNUMBER(SEARCH(", "&amp;$B7&amp;", ", ", "&amp;INDEX('Form Responses'!$R$1:$R$200,18)&amp;", "))),1,""))</f>
        <v/>
      </c>
      <c r="U7">
        <f>IF(Wizards!$A$19="","",IF(OR(ISNUMBER(SEARCH(", "&amp;$B7&amp;", ", ", "&amp;INDEX('Form Responses'!$I$1:$Q$200,19,$A7)&amp;", ")),ISNUMBER(SEARCH(", "&amp;$B7&amp;", ", ", "&amp;INDEX('Form Responses'!$R$1:$R$200,19)&amp;", "))),1,""))</f>
        <v/>
      </c>
      <c r="V7">
        <f>IF(Wizards!$A$20="","",IF(OR(ISNUMBER(SEARCH(", "&amp;$B7&amp;", ", ", "&amp;INDEX('Form Responses'!$I$1:$Q$200,20,$A7)&amp;", ")),ISNUMBER(SEARCH(", "&amp;$B7&amp;", ", ", "&amp;INDEX('Form Responses'!$R$1:$R$200,20)&amp;", "))),1,""))</f>
        <v/>
      </c>
      <c r="W7">
        <f>IF(Wizards!$A$21="","",IF(OR(ISNUMBER(SEARCH(", "&amp;$B7&amp;", ", ", "&amp;INDEX('Form Responses'!$I$1:$Q$200,21,$A7)&amp;", ")),ISNUMBER(SEARCH(", "&amp;$B7&amp;", ", ", "&amp;INDEX('Form Responses'!$R$1:$R$200,21)&amp;", "))),1,""))</f>
        <v/>
      </c>
      <c r="X7">
        <f>IF(Wizards!$A$22="","",IF(OR(ISNUMBER(SEARCH(", "&amp;$B7&amp;", ", ", "&amp;INDEX('Form Responses'!$I$1:$Q$200,22,$A7)&amp;", ")),ISNUMBER(SEARCH(", "&amp;$B7&amp;", ", ", "&amp;INDEX('Form Responses'!$R$1:$R$200,22)&amp;", "))),1,""))</f>
        <v/>
      </c>
      <c r="Y7">
        <f>IF(Wizards!$A$23="","",IF(OR(ISNUMBER(SEARCH(", "&amp;$B7&amp;", ", ", "&amp;INDEX('Form Responses'!$I$1:$Q$200,23,$A7)&amp;", ")),ISNUMBER(SEARCH(", "&amp;$B7&amp;", ", ", "&amp;INDEX('Form Responses'!$R$1:$R$200,23)&amp;", "))),1,""))</f>
        <v/>
      </c>
      <c r="Z7">
        <f>IF(Wizards!$A$24="","",IF(OR(ISNUMBER(SEARCH(", "&amp;$B7&amp;", ", ", "&amp;INDEX('Form Responses'!$I$1:$Q$200,24,$A7)&amp;", ")),ISNUMBER(SEARCH(", "&amp;$B7&amp;", ", ", "&amp;INDEX('Form Responses'!$R$1:$R$200,24)&amp;", "))),1,""))</f>
        <v/>
      </c>
      <c r="AA7">
        <f>IF(Wizards!$A$25="","",IF(OR(ISNUMBER(SEARCH(", "&amp;$B7&amp;", ", ", "&amp;INDEX('Form Responses'!$I$1:$Q$200,25,$A7)&amp;", ")),ISNUMBER(SEARCH(", "&amp;$B7&amp;", ", ", "&amp;INDEX('Form Responses'!$R$1:$R$200,25)&amp;", "))),1,""))</f>
        <v/>
      </c>
      <c r="AB7">
        <f>IF(D7=1,", "&amp;D$1,"")</f>
        <v/>
      </c>
      <c r="AC7">
        <f>IF(E7=1,", "&amp;E$1,"")</f>
        <v/>
      </c>
      <c r="AD7">
        <f>IF(F7=1,", "&amp;F$1,"")</f>
        <v/>
      </c>
      <c r="AE7">
        <f>IF(G7=1,", "&amp;G$1,"")</f>
        <v/>
      </c>
      <c r="AF7">
        <f>IF(H7=1,", "&amp;H$1,"")</f>
        <v/>
      </c>
      <c r="AG7">
        <f>IF(I7=1,", "&amp;I$1,"")</f>
        <v/>
      </c>
      <c r="AH7">
        <f>IF(J7=1,", "&amp;J$1,"")</f>
        <v/>
      </c>
      <c r="AI7">
        <f>IF(K7=1,", "&amp;K$1,"")</f>
        <v/>
      </c>
      <c r="AJ7">
        <f>IF(L7=1,", "&amp;L$1,"")</f>
        <v/>
      </c>
      <c r="AK7">
        <f>IF(M7=1,", "&amp;M$1,"")</f>
        <v/>
      </c>
      <c r="AL7">
        <f>IF(N7=1,", "&amp;N$1,"")</f>
        <v/>
      </c>
      <c r="AM7">
        <f>IF(O7=1,", "&amp;O$1,"")</f>
        <v/>
      </c>
      <c r="AN7">
        <f>IF(P7=1,", "&amp;P$1,"")</f>
        <v/>
      </c>
      <c r="AO7">
        <f>IF(Q7=1,", "&amp;Q$1,"")</f>
        <v/>
      </c>
      <c r="AP7">
        <f>IF(R7=1,", "&amp;R$1,"")</f>
        <v/>
      </c>
      <c r="AQ7">
        <f>IF(S7=1,", "&amp;S$1,"")</f>
        <v/>
      </c>
      <c r="AR7">
        <f>IF(T7=1,", "&amp;T$1,"")</f>
        <v/>
      </c>
      <c r="AS7">
        <f>IF(U7=1,", "&amp;U$1,"")</f>
        <v/>
      </c>
      <c r="AT7">
        <f>IF(V7=1,", "&amp;V$1,"")</f>
        <v/>
      </c>
      <c r="AU7">
        <f>IF(W7=1,", "&amp;W$1,"")</f>
        <v/>
      </c>
      <c r="AV7">
        <f>IF(X7=1,", "&amp;X$1,"")</f>
        <v/>
      </c>
      <c r="AW7">
        <f>IF(Y7=1,", "&amp;Y$1,"")</f>
        <v/>
      </c>
      <c r="AX7">
        <f>IF(Z7=1,", "&amp;Z$1,"")</f>
        <v/>
      </c>
      <c r="AY7">
        <f>IF(AA7=1,", "&amp;AA$1,"")</f>
        <v/>
      </c>
      <c r="AZ7">
        <f>MID($AB7&amp;$AC7&amp;$AD7&amp;$AE7&amp;$AF7&amp;$AG7&amp;$AH7&amp;$AI7&amp;$AJ7&amp;$AK7&amp;$AL7&amp;$AM7&amp;$AN7&amp;$AO7&amp;$AP7&amp;$AQ7&amp;$AR7&amp;$AS7&amp;$AT7&amp;$AU7&amp;$AV7&amp;$AW7&amp;$AX7&amp;$AY7,3,32767)</f>
        <v/>
      </c>
      <c r="BA7">
        <f>COUNT($D7:$AA7)</f>
        <v/>
      </c>
    </row>
    <row r="8">
      <c r="A8" t="n">
        <v>1</v>
      </c>
      <c r="B8" t="inlineStr">
        <is>
          <t>Chromatic Orb</t>
        </is>
      </c>
      <c r="C8" t="inlineStr">
        <is>
          <t>Evocation</t>
        </is>
      </c>
      <c r="D8">
        <f>IF(Wizards!$A$2="","",IF(OR(ISNUMBER(SEARCH(", "&amp;$B8&amp;", ", ", "&amp;INDEX('Form Responses'!$I$1:$Q$200,2,$A8)&amp;", ")),ISNUMBER(SEARCH(", "&amp;$B8&amp;", ", ", "&amp;INDEX('Form Responses'!$R$1:$R$200,2)&amp;", "))),1,""))</f>
        <v/>
      </c>
      <c r="E8">
        <f>IF(Wizards!$A$3="","",IF(OR(ISNUMBER(SEARCH(", "&amp;$B8&amp;", ", ", "&amp;INDEX('Form Responses'!$I$1:$Q$200,3,$A8)&amp;", ")),ISNUMBER(SEARCH(", "&amp;$B8&amp;", ", ", "&amp;INDEX('Form Responses'!$R$1:$R$200,3)&amp;", "))),1,""))</f>
        <v/>
      </c>
      <c r="F8">
        <f>IF(Wizards!$A$4="","",IF(OR(ISNUMBER(SEARCH(", "&amp;$B8&amp;", ", ", "&amp;INDEX('Form Responses'!$I$1:$Q$200,4,$A8)&amp;", ")),ISNUMBER(SEARCH(", "&amp;$B8&amp;", ", ", "&amp;INDEX('Form Responses'!$R$1:$R$200,4)&amp;", "))),1,""))</f>
        <v/>
      </c>
      <c r="G8">
        <f>IF(Wizards!$A$5="","",IF(OR(ISNUMBER(SEARCH(", "&amp;$B8&amp;", ", ", "&amp;INDEX('Form Responses'!$I$1:$Q$200,5,$A8)&amp;", ")),ISNUMBER(SEARCH(", "&amp;$B8&amp;", ", ", "&amp;INDEX('Form Responses'!$R$1:$R$200,5)&amp;", "))),1,""))</f>
        <v/>
      </c>
      <c r="H8">
        <f>IF(Wizards!$A$6="","",IF(OR(ISNUMBER(SEARCH(", "&amp;$B8&amp;", ", ", "&amp;INDEX('Form Responses'!$I$1:$Q$200,6,$A8)&amp;", ")),ISNUMBER(SEARCH(", "&amp;$B8&amp;", ", ", "&amp;INDEX('Form Responses'!$R$1:$R$200,6)&amp;", "))),1,""))</f>
        <v/>
      </c>
      <c r="I8">
        <f>IF(Wizards!$A$7="","",IF(OR(ISNUMBER(SEARCH(", "&amp;$B8&amp;", ", ", "&amp;INDEX('Form Responses'!$I$1:$Q$200,7,$A8)&amp;", ")),ISNUMBER(SEARCH(", "&amp;$B8&amp;", ", ", "&amp;INDEX('Form Responses'!$R$1:$R$200,7)&amp;", "))),1,""))</f>
        <v/>
      </c>
      <c r="J8">
        <f>IF(Wizards!$A$8="","",IF(OR(ISNUMBER(SEARCH(", "&amp;$B8&amp;", ", ", "&amp;INDEX('Form Responses'!$I$1:$Q$200,8,$A8)&amp;", ")),ISNUMBER(SEARCH(", "&amp;$B8&amp;", ", ", "&amp;INDEX('Form Responses'!$R$1:$R$200,8)&amp;", "))),1,""))</f>
        <v/>
      </c>
      <c r="K8">
        <f>IF(Wizards!$A$9="","",IF(OR(ISNUMBER(SEARCH(", "&amp;$B8&amp;", ", ", "&amp;INDEX('Form Responses'!$I$1:$Q$200,9,$A8)&amp;", ")),ISNUMBER(SEARCH(", "&amp;$B8&amp;", ", ", "&amp;INDEX('Form Responses'!$R$1:$R$200,9)&amp;", "))),1,""))</f>
        <v/>
      </c>
      <c r="L8">
        <f>IF(Wizards!$A$10="","",IF(OR(ISNUMBER(SEARCH(", "&amp;$B8&amp;", ", ", "&amp;INDEX('Form Responses'!$I$1:$Q$200,10,$A8)&amp;", ")),ISNUMBER(SEARCH(", "&amp;$B8&amp;", ", ", "&amp;INDEX('Form Responses'!$R$1:$R$200,10)&amp;", "))),1,""))</f>
        <v/>
      </c>
      <c r="M8">
        <f>IF(Wizards!$A$11="","",IF(OR(ISNUMBER(SEARCH(", "&amp;$B8&amp;", ", ", "&amp;INDEX('Form Responses'!$I$1:$Q$200,11,$A8)&amp;", ")),ISNUMBER(SEARCH(", "&amp;$B8&amp;", ", ", "&amp;INDEX('Form Responses'!$R$1:$R$200,11)&amp;", "))),1,""))</f>
        <v/>
      </c>
      <c r="N8">
        <f>IF(Wizards!$A$12="","",IF(OR(ISNUMBER(SEARCH(", "&amp;$B8&amp;", ", ", "&amp;INDEX('Form Responses'!$I$1:$Q$200,12,$A8)&amp;", ")),ISNUMBER(SEARCH(", "&amp;$B8&amp;", ", ", "&amp;INDEX('Form Responses'!$R$1:$R$200,12)&amp;", "))),1,""))</f>
        <v/>
      </c>
      <c r="O8">
        <f>IF(Wizards!$A$13="","",IF(OR(ISNUMBER(SEARCH(", "&amp;$B8&amp;", ", ", "&amp;INDEX('Form Responses'!$I$1:$Q$200,13,$A8)&amp;", ")),ISNUMBER(SEARCH(", "&amp;$B8&amp;", ", ", "&amp;INDEX('Form Responses'!$R$1:$R$200,13)&amp;", "))),1,""))</f>
        <v/>
      </c>
      <c r="P8">
        <f>IF(Wizards!$A$14="","",IF(OR(ISNUMBER(SEARCH(", "&amp;$B8&amp;", ", ", "&amp;INDEX('Form Responses'!$I$1:$Q$200,14,$A8)&amp;", ")),ISNUMBER(SEARCH(", "&amp;$B8&amp;", ", ", "&amp;INDEX('Form Responses'!$R$1:$R$200,14)&amp;", "))),1,""))</f>
        <v/>
      </c>
      <c r="Q8">
        <f>IF(Wizards!$A$15="","",IF(OR(ISNUMBER(SEARCH(", "&amp;$B8&amp;", ", ", "&amp;INDEX('Form Responses'!$I$1:$Q$200,15,$A8)&amp;", ")),ISNUMBER(SEARCH(", "&amp;$B8&amp;", ", ", "&amp;INDEX('Form Responses'!$R$1:$R$200,15)&amp;", "))),1,""))</f>
        <v/>
      </c>
      <c r="R8">
        <f>IF(Wizards!$A$16="","",IF(OR(ISNUMBER(SEARCH(", "&amp;$B8&amp;", ", ", "&amp;INDEX('Form Responses'!$I$1:$Q$200,16,$A8)&amp;", ")),ISNUMBER(SEARCH(", "&amp;$B8&amp;", ", ", "&amp;INDEX('Form Responses'!$R$1:$R$200,16)&amp;", "))),1,""))</f>
        <v/>
      </c>
      <c r="S8">
        <f>IF(Wizards!$A$17="","",IF(OR(ISNUMBER(SEARCH(", "&amp;$B8&amp;", ", ", "&amp;INDEX('Form Responses'!$I$1:$Q$200,17,$A8)&amp;", ")),ISNUMBER(SEARCH(", "&amp;$B8&amp;", ", ", "&amp;INDEX('Form Responses'!$R$1:$R$200,17)&amp;", "))),1,""))</f>
        <v/>
      </c>
      <c r="T8">
        <f>IF(Wizards!$A$18="","",IF(OR(ISNUMBER(SEARCH(", "&amp;$B8&amp;", ", ", "&amp;INDEX('Form Responses'!$I$1:$Q$200,18,$A8)&amp;", ")),ISNUMBER(SEARCH(", "&amp;$B8&amp;", ", ", "&amp;INDEX('Form Responses'!$R$1:$R$200,18)&amp;", "))),1,""))</f>
        <v/>
      </c>
      <c r="U8">
        <f>IF(Wizards!$A$19="","",IF(OR(ISNUMBER(SEARCH(", "&amp;$B8&amp;", ", ", "&amp;INDEX('Form Responses'!$I$1:$Q$200,19,$A8)&amp;", ")),ISNUMBER(SEARCH(", "&amp;$B8&amp;", ", ", "&amp;INDEX('Form Responses'!$R$1:$R$200,19)&amp;", "))),1,""))</f>
        <v/>
      </c>
      <c r="V8">
        <f>IF(Wizards!$A$20="","",IF(OR(ISNUMBER(SEARCH(", "&amp;$B8&amp;", ", ", "&amp;INDEX('Form Responses'!$I$1:$Q$200,20,$A8)&amp;", ")),ISNUMBER(SEARCH(", "&amp;$B8&amp;", ", ", "&amp;INDEX('Form Responses'!$R$1:$R$200,20)&amp;", "))),1,""))</f>
        <v/>
      </c>
      <c r="W8">
        <f>IF(Wizards!$A$21="","",IF(OR(ISNUMBER(SEARCH(", "&amp;$B8&amp;", ", ", "&amp;INDEX('Form Responses'!$I$1:$Q$200,21,$A8)&amp;", ")),ISNUMBER(SEARCH(", "&amp;$B8&amp;", ", ", "&amp;INDEX('Form Responses'!$R$1:$R$200,21)&amp;", "))),1,""))</f>
        <v/>
      </c>
      <c r="X8">
        <f>IF(Wizards!$A$22="","",IF(OR(ISNUMBER(SEARCH(", "&amp;$B8&amp;", ", ", "&amp;INDEX('Form Responses'!$I$1:$Q$200,22,$A8)&amp;", ")),ISNUMBER(SEARCH(", "&amp;$B8&amp;", ", ", "&amp;INDEX('Form Responses'!$R$1:$R$200,22)&amp;", "))),1,""))</f>
        <v/>
      </c>
      <c r="Y8">
        <f>IF(Wizards!$A$23="","",IF(OR(ISNUMBER(SEARCH(", "&amp;$B8&amp;", ", ", "&amp;INDEX('Form Responses'!$I$1:$Q$200,23,$A8)&amp;", ")),ISNUMBER(SEARCH(", "&amp;$B8&amp;", ", ", "&amp;INDEX('Form Responses'!$R$1:$R$200,23)&amp;", "))),1,""))</f>
        <v/>
      </c>
      <c r="Z8">
        <f>IF(Wizards!$A$24="","",IF(OR(ISNUMBER(SEARCH(", "&amp;$B8&amp;", ", ", "&amp;INDEX('Form Responses'!$I$1:$Q$200,24,$A8)&amp;", ")),ISNUMBER(SEARCH(", "&amp;$B8&amp;", ", ", "&amp;INDEX('Form Responses'!$R$1:$R$200,24)&amp;", "))),1,""))</f>
        <v/>
      </c>
      <c r="AA8">
        <f>IF(Wizards!$A$25="","",IF(OR(ISNUMBER(SEARCH(", "&amp;$B8&amp;", ", ", "&amp;INDEX('Form Responses'!$I$1:$Q$200,25,$A8)&amp;", ")),ISNUMBER(SEARCH(", "&amp;$B8&amp;", ", ", "&amp;INDEX('Form Responses'!$R$1:$R$200,25)&amp;", "))),1,""))</f>
        <v/>
      </c>
      <c r="AB8">
        <f>IF(D8=1,", "&amp;D$1,"")</f>
        <v/>
      </c>
      <c r="AC8">
        <f>IF(E8=1,", "&amp;E$1,"")</f>
        <v/>
      </c>
      <c r="AD8">
        <f>IF(F8=1,", "&amp;F$1,"")</f>
        <v/>
      </c>
      <c r="AE8">
        <f>IF(G8=1,", "&amp;G$1,"")</f>
        <v/>
      </c>
      <c r="AF8">
        <f>IF(H8=1,", "&amp;H$1,"")</f>
        <v/>
      </c>
      <c r="AG8">
        <f>IF(I8=1,", "&amp;I$1,"")</f>
        <v/>
      </c>
      <c r="AH8">
        <f>IF(J8=1,", "&amp;J$1,"")</f>
        <v/>
      </c>
      <c r="AI8">
        <f>IF(K8=1,", "&amp;K$1,"")</f>
        <v/>
      </c>
      <c r="AJ8">
        <f>IF(L8=1,", "&amp;L$1,"")</f>
        <v/>
      </c>
      <c r="AK8">
        <f>IF(M8=1,", "&amp;M$1,"")</f>
        <v/>
      </c>
      <c r="AL8">
        <f>IF(N8=1,", "&amp;N$1,"")</f>
        <v/>
      </c>
      <c r="AM8">
        <f>IF(O8=1,", "&amp;O$1,"")</f>
        <v/>
      </c>
      <c r="AN8">
        <f>IF(P8=1,", "&amp;P$1,"")</f>
        <v/>
      </c>
      <c r="AO8">
        <f>IF(Q8=1,", "&amp;Q$1,"")</f>
        <v/>
      </c>
      <c r="AP8">
        <f>IF(R8=1,", "&amp;R$1,"")</f>
        <v/>
      </c>
      <c r="AQ8">
        <f>IF(S8=1,", "&amp;S$1,"")</f>
        <v/>
      </c>
      <c r="AR8">
        <f>IF(T8=1,", "&amp;T$1,"")</f>
        <v/>
      </c>
      <c r="AS8">
        <f>IF(U8=1,", "&amp;U$1,"")</f>
        <v/>
      </c>
      <c r="AT8">
        <f>IF(V8=1,", "&amp;V$1,"")</f>
        <v/>
      </c>
      <c r="AU8">
        <f>IF(W8=1,", "&amp;W$1,"")</f>
        <v/>
      </c>
      <c r="AV8">
        <f>IF(X8=1,", "&amp;X$1,"")</f>
        <v/>
      </c>
      <c r="AW8">
        <f>IF(Y8=1,", "&amp;Y$1,"")</f>
        <v/>
      </c>
      <c r="AX8">
        <f>IF(Z8=1,", "&amp;Z$1,"")</f>
        <v/>
      </c>
      <c r="AY8">
        <f>IF(AA8=1,", "&amp;AA$1,"")</f>
        <v/>
      </c>
      <c r="AZ8">
        <f>MID($AB8&amp;$AC8&amp;$AD8&amp;$AE8&amp;$AF8&amp;$AG8&amp;$AH8&amp;$AI8&amp;$AJ8&amp;$AK8&amp;$AL8&amp;$AM8&amp;$AN8&amp;$AO8&amp;$AP8&amp;$AQ8&amp;$AR8&amp;$AS8&amp;$AT8&amp;$AU8&amp;$AV8&amp;$AW8&amp;$AX8&amp;$AY8,3,32767)</f>
        <v/>
      </c>
      <c r="BA8">
        <f>COUNT($D8:$AA8)</f>
        <v/>
      </c>
    </row>
    <row r="9">
      <c r="A9" t="n">
        <v>1</v>
      </c>
      <c r="B9" t="inlineStr">
        <is>
          <t>Color Spray</t>
        </is>
      </c>
      <c r="C9" t="inlineStr">
        <is>
          <t>Illusion</t>
        </is>
      </c>
      <c r="D9">
        <f>IF(Wizards!$A$2="","",IF(OR(ISNUMBER(SEARCH(", "&amp;$B9&amp;", ", ", "&amp;INDEX('Form Responses'!$I$1:$Q$200,2,$A9)&amp;", ")),ISNUMBER(SEARCH(", "&amp;$B9&amp;", ", ", "&amp;INDEX('Form Responses'!$R$1:$R$200,2)&amp;", "))),1,""))</f>
        <v/>
      </c>
      <c r="E9">
        <f>IF(Wizards!$A$3="","",IF(OR(ISNUMBER(SEARCH(", "&amp;$B9&amp;", ", ", "&amp;INDEX('Form Responses'!$I$1:$Q$200,3,$A9)&amp;", ")),ISNUMBER(SEARCH(", "&amp;$B9&amp;", ", ", "&amp;INDEX('Form Responses'!$R$1:$R$200,3)&amp;", "))),1,""))</f>
        <v/>
      </c>
      <c r="F9">
        <f>IF(Wizards!$A$4="","",IF(OR(ISNUMBER(SEARCH(", "&amp;$B9&amp;", ", ", "&amp;INDEX('Form Responses'!$I$1:$Q$200,4,$A9)&amp;", ")),ISNUMBER(SEARCH(", "&amp;$B9&amp;", ", ", "&amp;INDEX('Form Responses'!$R$1:$R$200,4)&amp;", "))),1,""))</f>
        <v/>
      </c>
      <c r="G9">
        <f>IF(Wizards!$A$5="","",IF(OR(ISNUMBER(SEARCH(", "&amp;$B9&amp;", ", ", "&amp;INDEX('Form Responses'!$I$1:$Q$200,5,$A9)&amp;", ")),ISNUMBER(SEARCH(", "&amp;$B9&amp;", ", ", "&amp;INDEX('Form Responses'!$R$1:$R$200,5)&amp;", "))),1,""))</f>
        <v/>
      </c>
      <c r="H9">
        <f>IF(Wizards!$A$6="","",IF(OR(ISNUMBER(SEARCH(", "&amp;$B9&amp;", ", ", "&amp;INDEX('Form Responses'!$I$1:$Q$200,6,$A9)&amp;", ")),ISNUMBER(SEARCH(", "&amp;$B9&amp;", ", ", "&amp;INDEX('Form Responses'!$R$1:$R$200,6)&amp;", "))),1,""))</f>
        <v/>
      </c>
      <c r="I9">
        <f>IF(Wizards!$A$7="","",IF(OR(ISNUMBER(SEARCH(", "&amp;$B9&amp;", ", ", "&amp;INDEX('Form Responses'!$I$1:$Q$200,7,$A9)&amp;", ")),ISNUMBER(SEARCH(", "&amp;$B9&amp;", ", ", "&amp;INDEX('Form Responses'!$R$1:$R$200,7)&amp;", "))),1,""))</f>
        <v/>
      </c>
      <c r="J9">
        <f>IF(Wizards!$A$8="","",IF(OR(ISNUMBER(SEARCH(", "&amp;$B9&amp;", ", ", "&amp;INDEX('Form Responses'!$I$1:$Q$200,8,$A9)&amp;", ")),ISNUMBER(SEARCH(", "&amp;$B9&amp;", ", ", "&amp;INDEX('Form Responses'!$R$1:$R$200,8)&amp;", "))),1,""))</f>
        <v/>
      </c>
      <c r="K9">
        <f>IF(Wizards!$A$9="","",IF(OR(ISNUMBER(SEARCH(", "&amp;$B9&amp;", ", ", "&amp;INDEX('Form Responses'!$I$1:$Q$200,9,$A9)&amp;", ")),ISNUMBER(SEARCH(", "&amp;$B9&amp;", ", ", "&amp;INDEX('Form Responses'!$R$1:$R$200,9)&amp;", "))),1,""))</f>
        <v/>
      </c>
      <c r="L9">
        <f>IF(Wizards!$A$10="","",IF(OR(ISNUMBER(SEARCH(", "&amp;$B9&amp;", ", ", "&amp;INDEX('Form Responses'!$I$1:$Q$200,10,$A9)&amp;", ")),ISNUMBER(SEARCH(", "&amp;$B9&amp;", ", ", "&amp;INDEX('Form Responses'!$R$1:$R$200,10)&amp;", "))),1,""))</f>
        <v/>
      </c>
      <c r="M9">
        <f>IF(Wizards!$A$11="","",IF(OR(ISNUMBER(SEARCH(", "&amp;$B9&amp;", ", ", "&amp;INDEX('Form Responses'!$I$1:$Q$200,11,$A9)&amp;", ")),ISNUMBER(SEARCH(", "&amp;$B9&amp;", ", ", "&amp;INDEX('Form Responses'!$R$1:$R$200,11)&amp;", "))),1,""))</f>
        <v/>
      </c>
      <c r="N9">
        <f>IF(Wizards!$A$12="","",IF(OR(ISNUMBER(SEARCH(", "&amp;$B9&amp;", ", ", "&amp;INDEX('Form Responses'!$I$1:$Q$200,12,$A9)&amp;", ")),ISNUMBER(SEARCH(", "&amp;$B9&amp;", ", ", "&amp;INDEX('Form Responses'!$R$1:$R$200,12)&amp;", "))),1,""))</f>
        <v/>
      </c>
      <c r="O9">
        <f>IF(Wizards!$A$13="","",IF(OR(ISNUMBER(SEARCH(", "&amp;$B9&amp;", ", ", "&amp;INDEX('Form Responses'!$I$1:$Q$200,13,$A9)&amp;", ")),ISNUMBER(SEARCH(", "&amp;$B9&amp;", ", ", "&amp;INDEX('Form Responses'!$R$1:$R$200,13)&amp;", "))),1,""))</f>
        <v/>
      </c>
      <c r="P9">
        <f>IF(Wizards!$A$14="","",IF(OR(ISNUMBER(SEARCH(", "&amp;$B9&amp;", ", ", "&amp;INDEX('Form Responses'!$I$1:$Q$200,14,$A9)&amp;", ")),ISNUMBER(SEARCH(", "&amp;$B9&amp;", ", ", "&amp;INDEX('Form Responses'!$R$1:$R$200,14)&amp;", "))),1,""))</f>
        <v/>
      </c>
      <c r="Q9">
        <f>IF(Wizards!$A$15="","",IF(OR(ISNUMBER(SEARCH(", "&amp;$B9&amp;", ", ", "&amp;INDEX('Form Responses'!$I$1:$Q$200,15,$A9)&amp;", ")),ISNUMBER(SEARCH(", "&amp;$B9&amp;", ", ", "&amp;INDEX('Form Responses'!$R$1:$R$200,15)&amp;", "))),1,""))</f>
        <v/>
      </c>
      <c r="R9">
        <f>IF(Wizards!$A$16="","",IF(OR(ISNUMBER(SEARCH(", "&amp;$B9&amp;", ", ", "&amp;INDEX('Form Responses'!$I$1:$Q$200,16,$A9)&amp;", ")),ISNUMBER(SEARCH(", "&amp;$B9&amp;", ", ", "&amp;INDEX('Form Responses'!$R$1:$R$200,16)&amp;", "))),1,""))</f>
        <v/>
      </c>
      <c r="S9">
        <f>IF(Wizards!$A$17="","",IF(OR(ISNUMBER(SEARCH(", "&amp;$B9&amp;", ", ", "&amp;INDEX('Form Responses'!$I$1:$Q$200,17,$A9)&amp;", ")),ISNUMBER(SEARCH(", "&amp;$B9&amp;", ", ", "&amp;INDEX('Form Responses'!$R$1:$R$200,17)&amp;", "))),1,""))</f>
        <v/>
      </c>
      <c r="T9">
        <f>IF(Wizards!$A$18="","",IF(OR(ISNUMBER(SEARCH(", "&amp;$B9&amp;", ", ", "&amp;INDEX('Form Responses'!$I$1:$Q$200,18,$A9)&amp;", ")),ISNUMBER(SEARCH(", "&amp;$B9&amp;", ", ", "&amp;INDEX('Form Responses'!$R$1:$R$200,18)&amp;", "))),1,""))</f>
        <v/>
      </c>
      <c r="U9">
        <f>IF(Wizards!$A$19="","",IF(OR(ISNUMBER(SEARCH(", "&amp;$B9&amp;", ", ", "&amp;INDEX('Form Responses'!$I$1:$Q$200,19,$A9)&amp;", ")),ISNUMBER(SEARCH(", "&amp;$B9&amp;", ", ", "&amp;INDEX('Form Responses'!$R$1:$R$200,19)&amp;", "))),1,""))</f>
        <v/>
      </c>
      <c r="V9">
        <f>IF(Wizards!$A$20="","",IF(OR(ISNUMBER(SEARCH(", "&amp;$B9&amp;", ", ", "&amp;INDEX('Form Responses'!$I$1:$Q$200,20,$A9)&amp;", ")),ISNUMBER(SEARCH(", "&amp;$B9&amp;", ", ", "&amp;INDEX('Form Responses'!$R$1:$R$200,20)&amp;", "))),1,""))</f>
        <v/>
      </c>
      <c r="W9">
        <f>IF(Wizards!$A$21="","",IF(OR(ISNUMBER(SEARCH(", "&amp;$B9&amp;", ", ", "&amp;INDEX('Form Responses'!$I$1:$Q$200,21,$A9)&amp;", ")),ISNUMBER(SEARCH(", "&amp;$B9&amp;", ", ", "&amp;INDEX('Form Responses'!$R$1:$R$200,21)&amp;", "))),1,""))</f>
        <v/>
      </c>
      <c r="X9">
        <f>IF(Wizards!$A$22="","",IF(OR(ISNUMBER(SEARCH(", "&amp;$B9&amp;", ", ", "&amp;INDEX('Form Responses'!$I$1:$Q$200,22,$A9)&amp;", ")),ISNUMBER(SEARCH(", "&amp;$B9&amp;", ", ", "&amp;INDEX('Form Responses'!$R$1:$R$200,22)&amp;", "))),1,""))</f>
        <v/>
      </c>
      <c r="Y9">
        <f>IF(Wizards!$A$23="","",IF(OR(ISNUMBER(SEARCH(", "&amp;$B9&amp;", ", ", "&amp;INDEX('Form Responses'!$I$1:$Q$200,23,$A9)&amp;", ")),ISNUMBER(SEARCH(", "&amp;$B9&amp;", ", ", "&amp;INDEX('Form Responses'!$R$1:$R$200,23)&amp;", "))),1,""))</f>
        <v/>
      </c>
      <c r="Z9">
        <f>IF(Wizards!$A$24="","",IF(OR(ISNUMBER(SEARCH(", "&amp;$B9&amp;", ", ", "&amp;INDEX('Form Responses'!$I$1:$Q$200,24,$A9)&amp;", ")),ISNUMBER(SEARCH(", "&amp;$B9&amp;", ", ", "&amp;INDEX('Form Responses'!$R$1:$R$200,24)&amp;", "))),1,""))</f>
        <v/>
      </c>
      <c r="AA9">
        <f>IF(Wizards!$A$25="","",IF(OR(ISNUMBER(SEARCH(", "&amp;$B9&amp;", ", ", "&amp;INDEX('Form Responses'!$I$1:$Q$200,25,$A9)&amp;", ")),ISNUMBER(SEARCH(", "&amp;$B9&amp;", ", ", "&amp;INDEX('Form Responses'!$R$1:$R$200,25)&amp;", "))),1,""))</f>
        <v/>
      </c>
      <c r="AB9">
        <f>IF(D9=1,", "&amp;D$1,"")</f>
        <v/>
      </c>
      <c r="AC9">
        <f>IF(E9=1,", "&amp;E$1,"")</f>
        <v/>
      </c>
      <c r="AD9">
        <f>IF(F9=1,", "&amp;F$1,"")</f>
        <v/>
      </c>
      <c r="AE9">
        <f>IF(G9=1,", "&amp;G$1,"")</f>
        <v/>
      </c>
      <c r="AF9">
        <f>IF(H9=1,", "&amp;H$1,"")</f>
        <v/>
      </c>
      <c r="AG9">
        <f>IF(I9=1,", "&amp;I$1,"")</f>
        <v/>
      </c>
      <c r="AH9">
        <f>IF(J9=1,", "&amp;J$1,"")</f>
        <v/>
      </c>
      <c r="AI9">
        <f>IF(K9=1,", "&amp;K$1,"")</f>
        <v/>
      </c>
      <c r="AJ9">
        <f>IF(L9=1,", "&amp;L$1,"")</f>
        <v/>
      </c>
      <c r="AK9">
        <f>IF(M9=1,", "&amp;M$1,"")</f>
        <v/>
      </c>
      <c r="AL9">
        <f>IF(N9=1,", "&amp;N$1,"")</f>
        <v/>
      </c>
      <c r="AM9">
        <f>IF(O9=1,", "&amp;O$1,"")</f>
        <v/>
      </c>
      <c r="AN9">
        <f>IF(P9=1,", "&amp;P$1,"")</f>
        <v/>
      </c>
      <c r="AO9">
        <f>IF(Q9=1,", "&amp;Q$1,"")</f>
        <v/>
      </c>
      <c r="AP9">
        <f>IF(R9=1,", "&amp;R$1,"")</f>
        <v/>
      </c>
      <c r="AQ9">
        <f>IF(S9=1,", "&amp;S$1,"")</f>
        <v/>
      </c>
      <c r="AR9">
        <f>IF(T9=1,", "&amp;T$1,"")</f>
        <v/>
      </c>
      <c r="AS9">
        <f>IF(U9=1,", "&amp;U$1,"")</f>
        <v/>
      </c>
      <c r="AT9">
        <f>IF(V9=1,", "&amp;V$1,"")</f>
        <v/>
      </c>
      <c r="AU9">
        <f>IF(W9=1,", "&amp;W$1,"")</f>
        <v/>
      </c>
      <c r="AV9">
        <f>IF(X9=1,", "&amp;X$1,"")</f>
        <v/>
      </c>
      <c r="AW9">
        <f>IF(Y9=1,", "&amp;Y$1,"")</f>
        <v/>
      </c>
      <c r="AX9">
        <f>IF(Z9=1,", "&amp;Z$1,"")</f>
        <v/>
      </c>
      <c r="AY9">
        <f>IF(AA9=1,", "&amp;AA$1,"")</f>
        <v/>
      </c>
      <c r="AZ9">
        <f>MID($AB9&amp;$AC9&amp;$AD9&amp;$AE9&amp;$AF9&amp;$AG9&amp;$AH9&amp;$AI9&amp;$AJ9&amp;$AK9&amp;$AL9&amp;$AM9&amp;$AN9&amp;$AO9&amp;$AP9&amp;$AQ9&amp;$AR9&amp;$AS9&amp;$AT9&amp;$AU9&amp;$AV9&amp;$AW9&amp;$AX9&amp;$AY9,3,32767)</f>
        <v/>
      </c>
      <c r="BA9">
        <f>COUNT($D9:$AA9)</f>
        <v/>
      </c>
    </row>
    <row r="10">
      <c r="A10" t="n">
        <v>1</v>
      </c>
      <c r="B10" t="inlineStr">
        <is>
          <t>Comprehend Languages</t>
        </is>
      </c>
      <c r="C10" t="inlineStr">
        <is>
          <t>Divination</t>
        </is>
      </c>
      <c r="D10">
        <f>IF(Wizards!$A$2="","",IF(OR(ISNUMBER(SEARCH(", "&amp;$B10&amp;", ", ", "&amp;INDEX('Form Responses'!$I$1:$Q$200,2,$A10)&amp;", ")),ISNUMBER(SEARCH(", "&amp;$B10&amp;", ", ", "&amp;INDEX('Form Responses'!$R$1:$R$200,2)&amp;", "))),1,""))</f>
        <v/>
      </c>
      <c r="E10">
        <f>IF(Wizards!$A$3="","",IF(OR(ISNUMBER(SEARCH(", "&amp;$B10&amp;", ", ", "&amp;INDEX('Form Responses'!$I$1:$Q$200,3,$A10)&amp;", ")),ISNUMBER(SEARCH(", "&amp;$B10&amp;", ", ", "&amp;INDEX('Form Responses'!$R$1:$R$200,3)&amp;", "))),1,""))</f>
        <v/>
      </c>
      <c r="F10">
        <f>IF(Wizards!$A$4="","",IF(OR(ISNUMBER(SEARCH(", "&amp;$B10&amp;", ", ", "&amp;INDEX('Form Responses'!$I$1:$Q$200,4,$A10)&amp;", ")),ISNUMBER(SEARCH(", "&amp;$B10&amp;", ", ", "&amp;INDEX('Form Responses'!$R$1:$R$200,4)&amp;", "))),1,""))</f>
        <v/>
      </c>
      <c r="G10">
        <f>IF(Wizards!$A$5="","",IF(OR(ISNUMBER(SEARCH(", "&amp;$B10&amp;", ", ", "&amp;INDEX('Form Responses'!$I$1:$Q$200,5,$A10)&amp;", ")),ISNUMBER(SEARCH(", "&amp;$B10&amp;", ", ", "&amp;INDEX('Form Responses'!$R$1:$R$200,5)&amp;", "))),1,""))</f>
        <v/>
      </c>
      <c r="H10">
        <f>IF(Wizards!$A$6="","",IF(OR(ISNUMBER(SEARCH(", "&amp;$B10&amp;", ", ", "&amp;INDEX('Form Responses'!$I$1:$Q$200,6,$A10)&amp;", ")),ISNUMBER(SEARCH(", "&amp;$B10&amp;", ", ", "&amp;INDEX('Form Responses'!$R$1:$R$200,6)&amp;", "))),1,""))</f>
        <v/>
      </c>
      <c r="I10">
        <f>IF(Wizards!$A$7="","",IF(OR(ISNUMBER(SEARCH(", "&amp;$B10&amp;", ", ", "&amp;INDEX('Form Responses'!$I$1:$Q$200,7,$A10)&amp;", ")),ISNUMBER(SEARCH(", "&amp;$B10&amp;", ", ", "&amp;INDEX('Form Responses'!$R$1:$R$200,7)&amp;", "))),1,""))</f>
        <v/>
      </c>
      <c r="J10">
        <f>IF(Wizards!$A$8="","",IF(OR(ISNUMBER(SEARCH(", "&amp;$B10&amp;", ", ", "&amp;INDEX('Form Responses'!$I$1:$Q$200,8,$A10)&amp;", ")),ISNUMBER(SEARCH(", "&amp;$B10&amp;", ", ", "&amp;INDEX('Form Responses'!$R$1:$R$200,8)&amp;", "))),1,""))</f>
        <v/>
      </c>
      <c r="K10">
        <f>IF(Wizards!$A$9="","",IF(OR(ISNUMBER(SEARCH(", "&amp;$B10&amp;", ", ", "&amp;INDEX('Form Responses'!$I$1:$Q$200,9,$A10)&amp;", ")),ISNUMBER(SEARCH(", "&amp;$B10&amp;", ", ", "&amp;INDEX('Form Responses'!$R$1:$R$200,9)&amp;", "))),1,""))</f>
        <v/>
      </c>
      <c r="L10">
        <f>IF(Wizards!$A$10="","",IF(OR(ISNUMBER(SEARCH(", "&amp;$B10&amp;", ", ", "&amp;INDEX('Form Responses'!$I$1:$Q$200,10,$A10)&amp;", ")),ISNUMBER(SEARCH(", "&amp;$B10&amp;", ", ", "&amp;INDEX('Form Responses'!$R$1:$R$200,10)&amp;", "))),1,""))</f>
        <v/>
      </c>
      <c r="M10">
        <f>IF(Wizards!$A$11="","",IF(OR(ISNUMBER(SEARCH(", "&amp;$B10&amp;", ", ", "&amp;INDEX('Form Responses'!$I$1:$Q$200,11,$A10)&amp;", ")),ISNUMBER(SEARCH(", "&amp;$B10&amp;", ", ", "&amp;INDEX('Form Responses'!$R$1:$R$200,11)&amp;", "))),1,""))</f>
        <v/>
      </c>
      <c r="N10">
        <f>IF(Wizards!$A$12="","",IF(OR(ISNUMBER(SEARCH(", "&amp;$B10&amp;", ", ", "&amp;INDEX('Form Responses'!$I$1:$Q$200,12,$A10)&amp;", ")),ISNUMBER(SEARCH(", "&amp;$B10&amp;", ", ", "&amp;INDEX('Form Responses'!$R$1:$R$200,12)&amp;", "))),1,""))</f>
        <v/>
      </c>
      <c r="O10">
        <f>IF(Wizards!$A$13="","",IF(OR(ISNUMBER(SEARCH(", "&amp;$B10&amp;", ", ", "&amp;INDEX('Form Responses'!$I$1:$Q$200,13,$A10)&amp;", ")),ISNUMBER(SEARCH(", "&amp;$B10&amp;", ", ", "&amp;INDEX('Form Responses'!$R$1:$R$200,13)&amp;", "))),1,""))</f>
        <v/>
      </c>
      <c r="P10">
        <f>IF(Wizards!$A$14="","",IF(OR(ISNUMBER(SEARCH(", "&amp;$B10&amp;", ", ", "&amp;INDEX('Form Responses'!$I$1:$Q$200,14,$A10)&amp;", ")),ISNUMBER(SEARCH(", "&amp;$B10&amp;", ", ", "&amp;INDEX('Form Responses'!$R$1:$R$200,14)&amp;", "))),1,""))</f>
        <v/>
      </c>
      <c r="Q10">
        <f>IF(Wizards!$A$15="","",IF(OR(ISNUMBER(SEARCH(", "&amp;$B10&amp;", ", ", "&amp;INDEX('Form Responses'!$I$1:$Q$200,15,$A10)&amp;", ")),ISNUMBER(SEARCH(", "&amp;$B10&amp;", ", ", "&amp;INDEX('Form Responses'!$R$1:$R$200,15)&amp;", "))),1,""))</f>
        <v/>
      </c>
      <c r="R10">
        <f>IF(Wizards!$A$16="","",IF(OR(ISNUMBER(SEARCH(", "&amp;$B10&amp;", ", ", "&amp;INDEX('Form Responses'!$I$1:$Q$200,16,$A10)&amp;", ")),ISNUMBER(SEARCH(", "&amp;$B10&amp;", ", ", "&amp;INDEX('Form Responses'!$R$1:$R$200,16)&amp;", "))),1,""))</f>
        <v/>
      </c>
      <c r="S10">
        <f>IF(Wizards!$A$17="","",IF(OR(ISNUMBER(SEARCH(", "&amp;$B10&amp;", ", ", "&amp;INDEX('Form Responses'!$I$1:$Q$200,17,$A10)&amp;", ")),ISNUMBER(SEARCH(", "&amp;$B10&amp;", ", ", "&amp;INDEX('Form Responses'!$R$1:$R$200,17)&amp;", "))),1,""))</f>
        <v/>
      </c>
      <c r="T10">
        <f>IF(Wizards!$A$18="","",IF(OR(ISNUMBER(SEARCH(", "&amp;$B10&amp;", ", ", "&amp;INDEX('Form Responses'!$I$1:$Q$200,18,$A10)&amp;", ")),ISNUMBER(SEARCH(", "&amp;$B10&amp;", ", ", "&amp;INDEX('Form Responses'!$R$1:$R$200,18)&amp;", "))),1,""))</f>
        <v/>
      </c>
      <c r="U10">
        <f>IF(Wizards!$A$19="","",IF(OR(ISNUMBER(SEARCH(", "&amp;$B10&amp;", ", ", "&amp;INDEX('Form Responses'!$I$1:$Q$200,19,$A10)&amp;", ")),ISNUMBER(SEARCH(", "&amp;$B10&amp;", ", ", "&amp;INDEX('Form Responses'!$R$1:$R$200,19)&amp;", "))),1,""))</f>
        <v/>
      </c>
      <c r="V10">
        <f>IF(Wizards!$A$20="","",IF(OR(ISNUMBER(SEARCH(", "&amp;$B10&amp;", ", ", "&amp;INDEX('Form Responses'!$I$1:$Q$200,20,$A10)&amp;", ")),ISNUMBER(SEARCH(", "&amp;$B10&amp;", ", ", "&amp;INDEX('Form Responses'!$R$1:$R$200,20)&amp;", "))),1,""))</f>
        <v/>
      </c>
      <c r="W10">
        <f>IF(Wizards!$A$21="","",IF(OR(ISNUMBER(SEARCH(", "&amp;$B10&amp;", ", ", "&amp;INDEX('Form Responses'!$I$1:$Q$200,21,$A10)&amp;", ")),ISNUMBER(SEARCH(", "&amp;$B10&amp;", ", ", "&amp;INDEX('Form Responses'!$R$1:$R$200,21)&amp;", "))),1,""))</f>
        <v/>
      </c>
      <c r="X10">
        <f>IF(Wizards!$A$22="","",IF(OR(ISNUMBER(SEARCH(", "&amp;$B10&amp;", ", ", "&amp;INDEX('Form Responses'!$I$1:$Q$200,22,$A10)&amp;", ")),ISNUMBER(SEARCH(", "&amp;$B10&amp;", ", ", "&amp;INDEX('Form Responses'!$R$1:$R$200,22)&amp;", "))),1,""))</f>
        <v/>
      </c>
      <c r="Y10">
        <f>IF(Wizards!$A$23="","",IF(OR(ISNUMBER(SEARCH(", "&amp;$B10&amp;", ", ", "&amp;INDEX('Form Responses'!$I$1:$Q$200,23,$A10)&amp;", ")),ISNUMBER(SEARCH(", "&amp;$B10&amp;", ", ", "&amp;INDEX('Form Responses'!$R$1:$R$200,23)&amp;", "))),1,""))</f>
        <v/>
      </c>
      <c r="Z10">
        <f>IF(Wizards!$A$24="","",IF(OR(ISNUMBER(SEARCH(", "&amp;$B10&amp;", ", ", "&amp;INDEX('Form Responses'!$I$1:$Q$200,24,$A10)&amp;", ")),ISNUMBER(SEARCH(", "&amp;$B10&amp;", ", ", "&amp;INDEX('Form Responses'!$R$1:$R$200,24)&amp;", "))),1,""))</f>
        <v/>
      </c>
      <c r="AA10">
        <f>IF(Wizards!$A$25="","",IF(OR(ISNUMBER(SEARCH(", "&amp;$B10&amp;", ", ", "&amp;INDEX('Form Responses'!$I$1:$Q$200,25,$A10)&amp;", ")),ISNUMBER(SEARCH(", "&amp;$B10&amp;", ", ", "&amp;INDEX('Form Responses'!$R$1:$R$200,25)&amp;", "))),1,""))</f>
        <v/>
      </c>
      <c r="AB10">
        <f>IF(D10=1,", "&amp;D$1,"")</f>
        <v/>
      </c>
      <c r="AC10">
        <f>IF(E10=1,", "&amp;E$1,"")</f>
        <v/>
      </c>
      <c r="AD10">
        <f>IF(F10=1,", "&amp;F$1,"")</f>
        <v/>
      </c>
      <c r="AE10">
        <f>IF(G10=1,", "&amp;G$1,"")</f>
        <v/>
      </c>
      <c r="AF10">
        <f>IF(H10=1,", "&amp;H$1,"")</f>
        <v/>
      </c>
      <c r="AG10">
        <f>IF(I10=1,", "&amp;I$1,"")</f>
        <v/>
      </c>
      <c r="AH10">
        <f>IF(J10=1,", "&amp;J$1,"")</f>
        <v/>
      </c>
      <c r="AI10">
        <f>IF(K10=1,", "&amp;K$1,"")</f>
        <v/>
      </c>
      <c r="AJ10">
        <f>IF(L10=1,", "&amp;L$1,"")</f>
        <v/>
      </c>
      <c r="AK10">
        <f>IF(M10=1,", "&amp;M$1,"")</f>
        <v/>
      </c>
      <c r="AL10">
        <f>IF(N10=1,", "&amp;N$1,"")</f>
        <v/>
      </c>
      <c r="AM10">
        <f>IF(O10=1,", "&amp;O$1,"")</f>
        <v/>
      </c>
      <c r="AN10">
        <f>IF(P10=1,", "&amp;P$1,"")</f>
        <v/>
      </c>
      <c r="AO10">
        <f>IF(Q10=1,", "&amp;Q$1,"")</f>
        <v/>
      </c>
      <c r="AP10">
        <f>IF(R10=1,", "&amp;R$1,"")</f>
        <v/>
      </c>
      <c r="AQ10">
        <f>IF(S10=1,", "&amp;S$1,"")</f>
        <v/>
      </c>
      <c r="AR10">
        <f>IF(T10=1,", "&amp;T$1,"")</f>
        <v/>
      </c>
      <c r="AS10">
        <f>IF(U10=1,", "&amp;U$1,"")</f>
        <v/>
      </c>
      <c r="AT10">
        <f>IF(V10=1,", "&amp;V$1,"")</f>
        <v/>
      </c>
      <c r="AU10">
        <f>IF(W10=1,", "&amp;W$1,"")</f>
        <v/>
      </c>
      <c r="AV10">
        <f>IF(X10=1,", "&amp;X$1,"")</f>
        <v/>
      </c>
      <c r="AW10">
        <f>IF(Y10=1,", "&amp;Y$1,"")</f>
        <v/>
      </c>
      <c r="AX10">
        <f>IF(Z10=1,", "&amp;Z$1,"")</f>
        <v/>
      </c>
      <c r="AY10">
        <f>IF(AA10=1,", "&amp;AA$1,"")</f>
        <v/>
      </c>
      <c r="AZ10">
        <f>MID($AB10&amp;$AC10&amp;$AD10&amp;$AE10&amp;$AF10&amp;$AG10&amp;$AH10&amp;$AI10&amp;$AJ10&amp;$AK10&amp;$AL10&amp;$AM10&amp;$AN10&amp;$AO10&amp;$AP10&amp;$AQ10&amp;$AR10&amp;$AS10&amp;$AT10&amp;$AU10&amp;$AV10&amp;$AW10&amp;$AX10&amp;$AY10,3,32767)</f>
        <v/>
      </c>
      <c r="BA10">
        <f>COUNT($D10:$AA10)</f>
        <v/>
      </c>
    </row>
    <row r="11">
      <c r="A11" t="n">
        <v>1</v>
      </c>
      <c r="B11" t="inlineStr">
        <is>
          <t>Detect Magic</t>
        </is>
      </c>
      <c r="C11" t="inlineStr">
        <is>
          <t>Divination</t>
        </is>
      </c>
      <c r="D11">
        <f>IF(Wizards!$A$2="","",IF(OR(ISNUMBER(SEARCH(", "&amp;$B11&amp;", ", ", "&amp;INDEX('Form Responses'!$I$1:$Q$200,2,$A11)&amp;", ")),ISNUMBER(SEARCH(", "&amp;$B11&amp;", ", ", "&amp;INDEX('Form Responses'!$R$1:$R$200,2)&amp;", "))),1,""))</f>
        <v/>
      </c>
      <c r="E11">
        <f>IF(Wizards!$A$3="","",IF(OR(ISNUMBER(SEARCH(", "&amp;$B11&amp;", ", ", "&amp;INDEX('Form Responses'!$I$1:$Q$200,3,$A11)&amp;", ")),ISNUMBER(SEARCH(", "&amp;$B11&amp;", ", ", "&amp;INDEX('Form Responses'!$R$1:$R$200,3)&amp;", "))),1,""))</f>
        <v/>
      </c>
      <c r="F11">
        <f>IF(Wizards!$A$4="","",IF(OR(ISNUMBER(SEARCH(", "&amp;$B11&amp;", ", ", "&amp;INDEX('Form Responses'!$I$1:$Q$200,4,$A11)&amp;", ")),ISNUMBER(SEARCH(", "&amp;$B11&amp;", ", ", "&amp;INDEX('Form Responses'!$R$1:$R$200,4)&amp;", "))),1,""))</f>
        <v/>
      </c>
      <c r="G11">
        <f>IF(Wizards!$A$5="","",IF(OR(ISNUMBER(SEARCH(", "&amp;$B11&amp;", ", ", "&amp;INDEX('Form Responses'!$I$1:$Q$200,5,$A11)&amp;", ")),ISNUMBER(SEARCH(", "&amp;$B11&amp;", ", ", "&amp;INDEX('Form Responses'!$R$1:$R$200,5)&amp;", "))),1,""))</f>
        <v/>
      </c>
      <c r="H11">
        <f>IF(Wizards!$A$6="","",IF(OR(ISNUMBER(SEARCH(", "&amp;$B11&amp;", ", ", "&amp;INDEX('Form Responses'!$I$1:$Q$200,6,$A11)&amp;", ")),ISNUMBER(SEARCH(", "&amp;$B11&amp;", ", ", "&amp;INDEX('Form Responses'!$R$1:$R$200,6)&amp;", "))),1,""))</f>
        <v/>
      </c>
      <c r="I11">
        <f>IF(Wizards!$A$7="","",IF(OR(ISNUMBER(SEARCH(", "&amp;$B11&amp;", ", ", "&amp;INDEX('Form Responses'!$I$1:$Q$200,7,$A11)&amp;", ")),ISNUMBER(SEARCH(", "&amp;$B11&amp;", ", ", "&amp;INDEX('Form Responses'!$R$1:$R$200,7)&amp;", "))),1,""))</f>
        <v/>
      </c>
      <c r="J11">
        <f>IF(Wizards!$A$8="","",IF(OR(ISNUMBER(SEARCH(", "&amp;$B11&amp;", ", ", "&amp;INDEX('Form Responses'!$I$1:$Q$200,8,$A11)&amp;", ")),ISNUMBER(SEARCH(", "&amp;$B11&amp;", ", ", "&amp;INDEX('Form Responses'!$R$1:$R$200,8)&amp;", "))),1,""))</f>
        <v/>
      </c>
      <c r="K11">
        <f>IF(Wizards!$A$9="","",IF(OR(ISNUMBER(SEARCH(", "&amp;$B11&amp;", ", ", "&amp;INDEX('Form Responses'!$I$1:$Q$200,9,$A11)&amp;", ")),ISNUMBER(SEARCH(", "&amp;$B11&amp;", ", ", "&amp;INDEX('Form Responses'!$R$1:$R$200,9)&amp;", "))),1,""))</f>
        <v/>
      </c>
      <c r="L11">
        <f>IF(Wizards!$A$10="","",IF(OR(ISNUMBER(SEARCH(", "&amp;$B11&amp;", ", ", "&amp;INDEX('Form Responses'!$I$1:$Q$200,10,$A11)&amp;", ")),ISNUMBER(SEARCH(", "&amp;$B11&amp;", ", ", "&amp;INDEX('Form Responses'!$R$1:$R$200,10)&amp;", "))),1,""))</f>
        <v/>
      </c>
      <c r="M11">
        <f>IF(Wizards!$A$11="","",IF(OR(ISNUMBER(SEARCH(", "&amp;$B11&amp;", ", ", "&amp;INDEX('Form Responses'!$I$1:$Q$200,11,$A11)&amp;", ")),ISNUMBER(SEARCH(", "&amp;$B11&amp;", ", ", "&amp;INDEX('Form Responses'!$R$1:$R$200,11)&amp;", "))),1,""))</f>
        <v/>
      </c>
      <c r="N11">
        <f>IF(Wizards!$A$12="","",IF(OR(ISNUMBER(SEARCH(", "&amp;$B11&amp;", ", ", "&amp;INDEX('Form Responses'!$I$1:$Q$200,12,$A11)&amp;", ")),ISNUMBER(SEARCH(", "&amp;$B11&amp;", ", ", "&amp;INDEX('Form Responses'!$R$1:$R$200,12)&amp;", "))),1,""))</f>
        <v/>
      </c>
      <c r="O11">
        <f>IF(Wizards!$A$13="","",IF(OR(ISNUMBER(SEARCH(", "&amp;$B11&amp;", ", ", "&amp;INDEX('Form Responses'!$I$1:$Q$200,13,$A11)&amp;", ")),ISNUMBER(SEARCH(", "&amp;$B11&amp;", ", ", "&amp;INDEX('Form Responses'!$R$1:$R$200,13)&amp;", "))),1,""))</f>
        <v/>
      </c>
      <c r="P11">
        <f>IF(Wizards!$A$14="","",IF(OR(ISNUMBER(SEARCH(", "&amp;$B11&amp;", ", ", "&amp;INDEX('Form Responses'!$I$1:$Q$200,14,$A11)&amp;", ")),ISNUMBER(SEARCH(", "&amp;$B11&amp;", ", ", "&amp;INDEX('Form Responses'!$R$1:$R$200,14)&amp;", "))),1,""))</f>
        <v/>
      </c>
      <c r="Q11">
        <f>IF(Wizards!$A$15="","",IF(OR(ISNUMBER(SEARCH(", "&amp;$B11&amp;", ", ", "&amp;INDEX('Form Responses'!$I$1:$Q$200,15,$A11)&amp;", ")),ISNUMBER(SEARCH(", "&amp;$B11&amp;", ", ", "&amp;INDEX('Form Responses'!$R$1:$R$200,15)&amp;", "))),1,""))</f>
        <v/>
      </c>
      <c r="R11">
        <f>IF(Wizards!$A$16="","",IF(OR(ISNUMBER(SEARCH(", "&amp;$B11&amp;", ", ", "&amp;INDEX('Form Responses'!$I$1:$Q$200,16,$A11)&amp;", ")),ISNUMBER(SEARCH(", "&amp;$B11&amp;", ", ", "&amp;INDEX('Form Responses'!$R$1:$R$200,16)&amp;", "))),1,""))</f>
        <v/>
      </c>
      <c r="S11">
        <f>IF(Wizards!$A$17="","",IF(OR(ISNUMBER(SEARCH(", "&amp;$B11&amp;", ", ", "&amp;INDEX('Form Responses'!$I$1:$Q$200,17,$A11)&amp;", ")),ISNUMBER(SEARCH(", "&amp;$B11&amp;", ", ", "&amp;INDEX('Form Responses'!$R$1:$R$200,17)&amp;", "))),1,""))</f>
        <v/>
      </c>
      <c r="T11">
        <f>IF(Wizards!$A$18="","",IF(OR(ISNUMBER(SEARCH(", "&amp;$B11&amp;", ", ", "&amp;INDEX('Form Responses'!$I$1:$Q$200,18,$A11)&amp;", ")),ISNUMBER(SEARCH(", "&amp;$B11&amp;", ", ", "&amp;INDEX('Form Responses'!$R$1:$R$200,18)&amp;", "))),1,""))</f>
        <v/>
      </c>
      <c r="U11">
        <f>IF(Wizards!$A$19="","",IF(OR(ISNUMBER(SEARCH(", "&amp;$B11&amp;", ", ", "&amp;INDEX('Form Responses'!$I$1:$Q$200,19,$A11)&amp;", ")),ISNUMBER(SEARCH(", "&amp;$B11&amp;", ", ", "&amp;INDEX('Form Responses'!$R$1:$R$200,19)&amp;", "))),1,""))</f>
        <v/>
      </c>
      <c r="V11">
        <f>IF(Wizards!$A$20="","",IF(OR(ISNUMBER(SEARCH(", "&amp;$B11&amp;", ", ", "&amp;INDEX('Form Responses'!$I$1:$Q$200,20,$A11)&amp;", ")),ISNUMBER(SEARCH(", "&amp;$B11&amp;", ", ", "&amp;INDEX('Form Responses'!$R$1:$R$200,20)&amp;", "))),1,""))</f>
        <v/>
      </c>
      <c r="W11">
        <f>IF(Wizards!$A$21="","",IF(OR(ISNUMBER(SEARCH(", "&amp;$B11&amp;", ", ", "&amp;INDEX('Form Responses'!$I$1:$Q$200,21,$A11)&amp;", ")),ISNUMBER(SEARCH(", "&amp;$B11&amp;", ", ", "&amp;INDEX('Form Responses'!$R$1:$R$200,21)&amp;", "))),1,""))</f>
        <v/>
      </c>
      <c r="X11">
        <f>IF(Wizards!$A$22="","",IF(OR(ISNUMBER(SEARCH(", "&amp;$B11&amp;", ", ", "&amp;INDEX('Form Responses'!$I$1:$Q$200,22,$A11)&amp;", ")),ISNUMBER(SEARCH(", "&amp;$B11&amp;", ", ", "&amp;INDEX('Form Responses'!$R$1:$R$200,22)&amp;", "))),1,""))</f>
        <v/>
      </c>
      <c r="Y11">
        <f>IF(Wizards!$A$23="","",IF(OR(ISNUMBER(SEARCH(", "&amp;$B11&amp;", ", ", "&amp;INDEX('Form Responses'!$I$1:$Q$200,23,$A11)&amp;", ")),ISNUMBER(SEARCH(", "&amp;$B11&amp;", ", ", "&amp;INDEX('Form Responses'!$R$1:$R$200,23)&amp;", "))),1,""))</f>
        <v/>
      </c>
      <c r="Z11">
        <f>IF(Wizards!$A$24="","",IF(OR(ISNUMBER(SEARCH(", "&amp;$B11&amp;", ", ", "&amp;INDEX('Form Responses'!$I$1:$Q$200,24,$A11)&amp;", ")),ISNUMBER(SEARCH(", "&amp;$B11&amp;", ", ", "&amp;INDEX('Form Responses'!$R$1:$R$200,24)&amp;", "))),1,""))</f>
        <v/>
      </c>
      <c r="AA11">
        <f>IF(Wizards!$A$25="","",IF(OR(ISNUMBER(SEARCH(", "&amp;$B11&amp;", ", ", "&amp;INDEX('Form Responses'!$I$1:$Q$200,25,$A11)&amp;", ")),ISNUMBER(SEARCH(", "&amp;$B11&amp;", ", ", "&amp;INDEX('Form Responses'!$R$1:$R$200,25)&amp;", "))),1,""))</f>
        <v/>
      </c>
      <c r="AB11">
        <f>IF(D11=1,", "&amp;D$1,"")</f>
        <v/>
      </c>
      <c r="AC11">
        <f>IF(E11=1,", "&amp;E$1,"")</f>
        <v/>
      </c>
      <c r="AD11">
        <f>IF(F11=1,", "&amp;F$1,"")</f>
        <v/>
      </c>
      <c r="AE11">
        <f>IF(G11=1,", "&amp;G$1,"")</f>
        <v/>
      </c>
      <c r="AF11">
        <f>IF(H11=1,", "&amp;H$1,"")</f>
        <v/>
      </c>
      <c r="AG11">
        <f>IF(I11=1,", "&amp;I$1,"")</f>
        <v/>
      </c>
      <c r="AH11">
        <f>IF(J11=1,", "&amp;J$1,"")</f>
        <v/>
      </c>
      <c r="AI11">
        <f>IF(K11=1,", "&amp;K$1,"")</f>
        <v/>
      </c>
      <c r="AJ11">
        <f>IF(L11=1,", "&amp;L$1,"")</f>
        <v/>
      </c>
      <c r="AK11">
        <f>IF(M11=1,", "&amp;M$1,"")</f>
        <v/>
      </c>
      <c r="AL11">
        <f>IF(N11=1,", "&amp;N$1,"")</f>
        <v/>
      </c>
      <c r="AM11">
        <f>IF(O11=1,", "&amp;O$1,"")</f>
        <v/>
      </c>
      <c r="AN11">
        <f>IF(P11=1,", "&amp;P$1,"")</f>
        <v/>
      </c>
      <c r="AO11">
        <f>IF(Q11=1,", "&amp;Q$1,"")</f>
        <v/>
      </c>
      <c r="AP11">
        <f>IF(R11=1,", "&amp;R$1,"")</f>
        <v/>
      </c>
      <c r="AQ11">
        <f>IF(S11=1,", "&amp;S$1,"")</f>
        <v/>
      </c>
      <c r="AR11">
        <f>IF(T11=1,", "&amp;T$1,"")</f>
        <v/>
      </c>
      <c r="AS11">
        <f>IF(U11=1,", "&amp;U$1,"")</f>
        <v/>
      </c>
      <c r="AT11">
        <f>IF(V11=1,", "&amp;V$1,"")</f>
        <v/>
      </c>
      <c r="AU11">
        <f>IF(W11=1,", "&amp;W$1,"")</f>
        <v/>
      </c>
      <c r="AV11">
        <f>IF(X11=1,", "&amp;X$1,"")</f>
        <v/>
      </c>
      <c r="AW11">
        <f>IF(Y11=1,", "&amp;Y$1,"")</f>
        <v/>
      </c>
      <c r="AX11">
        <f>IF(Z11=1,", "&amp;Z$1,"")</f>
        <v/>
      </c>
      <c r="AY11">
        <f>IF(AA11=1,", "&amp;AA$1,"")</f>
        <v/>
      </c>
      <c r="AZ11">
        <f>MID($AB11&amp;$AC11&amp;$AD11&amp;$AE11&amp;$AF11&amp;$AG11&amp;$AH11&amp;$AI11&amp;$AJ11&amp;$AK11&amp;$AL11&amp;$AM11&amp;$AN11&amp;$AO11&amp;$AP11&amp;$AQ11&amp;$AR11&amp;$AS11&amp;$AT11&amp;$AU11&amp;$AV11&amp;$AW11&amp;$AX11&amp;$AY11,3,32767)</f>
        <v/>
      </c>
      <c r="BA11">
        <f>COUNT($D11:$AA11)</f>
        <v/>
      </c>
    </row>
    <row r="12">
      <c r="A12" t="n">
        <v>1</v>
      </c>
      <c r="B12" t="inlineStr">
        <is>
          <t>Disguise Self</t>
        </is>
      </c>
      <c r="C12" t="inlineStr">
        <is>
          <t>Illusion</t>
        </is>
      </c>
      <c r="D12">
        <f>IF(Wizards!$A$2="","",IF(OR(ISNUMBER(SEARCH(", "&amp;$B12&amp;", ", ", "&amp;INDEX('Form Responses'!$I$1:$Q$200,2,$A12)&amp;", ")),ISNUMBER(SEARCH(", "&amp;$B12&amp;", ", ", "&amp;INDEX('Form Responses'!$R$1:$R$200,2)&amp;", "))),1,""))</f>
        <v/>
      </c>
      <c r="E12">
        <f>IF(Wizards!$A$3="","",IF(OR(ISNUMBER(SEARCH(", "&amp;$B12&amp;", ", ", "&amp;INDEX('Form Responses'!$I$1:$Q$200,3,$A12)&amp;", ")),ISNUMBER(SEARCH(", "&amp;$B12&amp;", ", ", "&amp;INDEX('Form Responses'!$R$1:$R$200,3)&amp;", "))),1,""))</f>
        <v/>
      </c>
      <c r="F12">
        <f>IF(Wizards!$A$4="","",IF(OR(ISNUMBER(SEARCH(", "&amp;$B12&amp;", ", ", "&amp;INDEX('Form Responses'!$I$1:$Q$200,4,$A12)&amp;", ")),ISNUMBER(SEARCH(", "&amp;$B12&amp;", ", ", "&amp;INDEX('Form Responses'!$R$1:$R$200,4)&amp;", "))),1,""))</f>
        <v/>
      </c>
      <c r="G12">
        <f>IF(Wizards!$A$5="","",IF(OR(ISNUMBER(SEARCH(", "&amp;$B12&amp;", ", ", "&amp;INDEX('Form Responses'!$I$1:$Q$200,5,$A12)&amp;", ")),ISNUMBER(SEARCH(", "&amp;$B12&amp;", ", ", "&amp;INDEX('Form Responses'!$R$1:$R$200,5)&amp;", "))),1,""))</f>
        <v/>
      </c>
      <c r="H12">
        <f>IF(Wizards!$A$6="","",IF(OR(ISNUMBER(SEARCH(", "&amp;$B12&amp;", ", ", "&amp;INDEX('Form Responses'!$I$1:$Q$200,6,$A12)&amp;", ")),ISNUMBER(SEARCH(", "&amp;$B12&amp;", ", ", "&amp;INDEX('Form Responses'!$R$1:$R$200,6)&amp;", "))),1,""))</f>
        <v/>
      </c>
      <c r="I12">
        <f>IF(Wizards!$A$7="","",IF(OR(ISNUMBER(SEARCH(", "&amp;$B12&amp;", ", ", "&amp;INDEX('Form Responses'!$I$1:$Q$200,7,$A12)&amp;", ")),ISNUMBER(SEARCH(", "&amp;$B12&amp;", ", ", "&amp;INDEX('Form Responses'!$R$1:$R$200,7)&amp;", "))),1,""))</f>
        <v/>
      </c>
      <c r="J12">
        <f>IF(Wizards!$A$8="","",IF(OR(ISNUMBER(SEARCH(", "&amp;$B12&amp;", ", ", "&amp;INDEX('Form Responses'!$I$1:$Q$200,8,$A12)&amp;", ")),ISNUMBER(SEARCH(", "&amp;$B12&amp;", ", ", "&amp;INDEX('Form Responses'!$R$1:$R$200,8)&amp;", "))),1,""))</f>
        <v/>
      </c>
      <c r="K12">
        <f>IF(Wizards!$A$9="","",IF(OR(ISNUMBER(SEARCH(", "&amp;$B12&amp;", ", ", "&amp;INDEX('Form Responses'!$I$1:$Q$200,9,$A12)&amp;", ")),ISNUMBER(SEARCH(", "&amp;$B12&amp;", ", ", "&amp;INDEX('Form Responses'!$R$1:$R$200,9)&amp;", "))),1,""))</f>
        <v/>
      </c>
      <c r="L12">
        <f>IF(Wizards!$A$10="","",IF(OR(ISNUMBER(SEARCH(", "&amp;$B12&amp;", ", ", "&amp;INDEX('Form Responses'!$I$1:$Q$200,10,$A12)&amp;", ")),ISNUMBER(SEARCH(", "&amp;$B12&amp;", ", ", "&amp;INDEX('Form Responses'!$R$1:$R$200,10)&amp;", "))),1,""))</f>
        <v/>
      </c>
      <c r="M12">
        <f>IF(Wizards!$A$11="","",IF(OR(ISNUMBER(SEARCH(", "&amp;$B12&amp;", ", ", "&amp;INDEX('Form Responses'!$I$1:$Q$200,11,$A12)&amp;", ")),ISNUMBER(SEARCH(", "&amp;$B12&amp;", ", ", "&amp;INDEX('Form Responses'!$R$1:$R$200,11)&amp;", "))),1,""))</f>
        <v/>
      </c>
      <c r="N12">
        <f>IF(Wizards!$A$12="","",IF(OR(ISNUMBER(SEARCH(", "&amp;$B12&amp;", ", ", "&amp;INDEX('Form Responses'!$I$1:$Q$200,12,$A12)&amp;", ")),ISNUMBER(SEARCH(", "&amp;$B12&amp;", ", ", "&amp;INDEX('Form Responses'!$R$1:$R$200,12)&amp;", "))),1,""))</f>
        <v/>
      </c>
      <c r="O12">
        <f>IF(Wizards!$A$13="","",IF(OR(ISNUMBER(SEARCH(", "&amp;$B12&amp;", ", ", "&amp;INDEX('Form Responses'!$I$1:$Q$200,13,$A12)&amp;", ")),ISNUMBER(SEARCH(", "&amp;$B12&amp;", ", ", "&amp;INDEX('Form Responses'!$R$1:$R$200,13)&amp;", "))),1,""))</f>
        <v/>
      </c>
      <c r="P12">
        <f>IF(Wizards!$A$14="","",IF(OR(ISNUMBER(SEARCH(", "&amp;$B12&amp;", ", ", "&amp;INDEX('Form Responses'!$I$1:$Q$200,14,$A12)&amp;", ")),ISNUMBER(SEARCH(", "&amp;$B12&amp;", ", ", "&amp;INDEX('Form Responses'!$R$1:$R$200,14)&amp;", "))),1,""))</f>
        <v/>
      </c>
      <c r="Q12">
        <f>IF(Wizards!$A$15="","",IF(OR(ISNUMBER(SEARCH(", "&amp;$B12&amp;", ", ", "&amp;INDEX('Form Responses'!$I$1:$Q$200,15,$A12)&amp;", ")),ISNUMBER(SEARCH(", "&amp;$B12&amp;", ", ", "&amp;INDEX('Form Responses'!$R$1:$R$200,15)&amp;", "))),1,""))</f>
        <v/>
      </c>
      <c r="R12">
        <f>IF(Wizards!$A$16="","",IF(OR(ISNUMBER(SEARCH(", "&amp;$B12&amp;", ", ", "&amp;INDEX('Form Responses'!$I$1:$Q$200,16,$A12)&amp;", ")),ISNUMBER(SEARCH(", "&amp;$B12&amp;", ", ", "&amp;INDEX('Form Responses'!$R$1:$R$200,16)&amp;", "))),1,""))</f>
        <v/>
      </c>
      <c r="S12">
        <f>IF(Wizards!$A$17="","",IF(OR(ISNUMBER(SEARCH(", "&amp;$B12&amp;", ", ", "&amp;INDEX('Form Responses'!$I$1:$Q$200,17,$A12)&amp;", ")),ISNUMBER(SEARCH(", "&amp;$B12&amp;", ", ", "&amp;INDEX('Form Responses'!$R$1:$R$200,17)&amp;", "))),1,""))</f>
        <v/>
      </c>
      <c r="T12">
        <f>IF(Wizards!$A$18="","",IF(OR(ISNUMBER(SEARCH(", "&amp;$B12&amp;", ", ", "&amp;INDEX('Form Responses'!$I$1:$Q$200,18,$A12)&amp;", ")),ISNUMBER(SEARCH(", "&amp;$B12&amp;", ", ", "&amp;INDEX('Form Responses'!$R$1:$R$200,18)&amp;", "))),1,""))</f>
        <v/>
      </c>
      <c r="U12">
        <f>IF(Wizards!$A$19="","",IF(OR(ISNUMBER(SEARCH(", "&amp;$B12&amp;", ", ", "&amp;INDEX('Form Responses'!$I$1:$Q$200,19,$A12)&amp;", ")),ISNUMBER(SEARCH(", "&amp;$B12&amp;", ", ", "&amp;INDEX('Form Responses'!$R$1:$R$200,19)&amp;", "))),1,""))</f>
        <v/>
      </c>
      <c r="V12">
        <f>IF(Wizards!$A$20="","",IF(OR(ISNUMBER(SEARCH(", "&amp;$B12&amp;", ", ", "&amp;INDEX('Form Responses'!$I$1:$Q$200,20,$A12)&amp;", ")),ISNUMBER(SEARCH(", "&amp;$B12&amp;", ", ", "&amp;INDEX('Form Responses'!$R$1:$R$200,20)&amp;", "))),1,""))</f>
        <v/>
      </c>
      <c r="W12">
        <f>IF(Wizards!$A$21="","",IF(OR(ISNUMBER(SEARCH(", "&amp;$B12&amp;", ", ", "&amp;INDEX('Form Responses'!$I$1:$Q$200,21,$A12)&amp;", ")),ISNUMBER(SEARCH(", "&amp;$B12&amp;", ", ", "&amp;INDEX('Form Responses'!$R$1:$R$200,21)&amp;", "))),1,""))</f>
        <v/>
      </c>
      <c r="X12">
        <f>IF(Wizards!$A$22="","",IF(OR(ISNUMBER(SEARCH(", "&amp;$B12&amp;", ", ", "&amp;INDEX('Form Responses'!$I$1:$Q$200,22,$A12)&amp;", ")),ISNUMBER(SEARCH(", "&amp;$B12&amp;", ", ", "&amp;INDEX('Form Responses'!$R$1:$R$200,22)&amp;", "))),1,""))</f>
        <v/>
      </c>
      <c r="Y12">
        <f>IF(Wizards!$A$23="","",IF(OR(ISNUMBER(SEARCH(", "&amp;$B12&amp;", ", ", "&amp;INDEX('Form Responses'!$I$1:$Q$200,23,$A12)&amp;", ")),ISNUMBER(SEARCH(", "&amp;$B12&amp;", ", ", "&amp;INDEX('Form Responses'!$R$1:$R$200,23)&amp;", "))),1,""))</f>
        <v/>
      </c>
      <c r="Z12">
        <f>IF(Wizards!$A$24="","",IF(OR(ISNUMBER(SEARCH(", "&amp;$B12&amp;", ", ", "&amp;INDEX('Form Responses'!$I$1:$Q$200,24,$A12)&amp;", ")),ISNUMBER(SEARCH(", "&amp;$B12&amp;", ", ", "&amp;INDEX('Form Responses'!$R$1:$R$200,24)&amp;", "))),1,""))</f>
        <v/>
      </c>
      <c r="AA12">
        <f>IF(Wizards!$A$25="","",IF(OR(ISNUMBER(SEARCH(", "&amp;$B12&amp;", ", ", "&amp;INDEX('Form Responses'!$I$1:$Q$200,25,$A12)&amp;", ")),ISNUMBER(SEARCH(", "&amp;$B12&amp;", ", ", "&amp;INDEX('Form Responses'!$R$1:$R$200,25)&amp;", "))),1,""))</f>
        <v/>
      </c>
      <c r="AB12">
        <f>IF(D12=1,", "&amp;D$1,"")</f>
        <v/>
      </c>
      <c r="AC12">
        <f>IF(E12=1,", "&amp;E$1,"")</f>
        <v/>
      </c>
      <c r="AD12">
        <f>IF(F12=1,", "&amp;F$1,"")</f>
        <v/>
      </c>
      <c r="AE12">
        <f>IF(G12=1,", "&amp;G$1,"")</f>
        <v/>
      </c>
      <c r="AF12">
        <f>IF(H12=1,", "&amp;H$1,"")</f>
        <v/>
      </c>
      <c r="AG12">
        <f>IF(I12=1,", "&amp;I$1,"")</f>
        <v/>
      </c>
      <c r="AH12">
        <f>IF(J12=1,", "&amp;J$1,"")</f>
        <v/>
      </c>
      <c r="AI12">
        <f>IF(K12=1,", "&amp;K$1,"")</f>
        <v/>
      </c>
      <c r="AJ12">
        <f>IF(L12=1,", "&amp;L$1,"")</f>
        <v/>
      </c>
      <c r="AK12">
        <f>IF(M12=1,", "&amp;M$1,"")</f>
        <v/>
      </c>
      <c r="AL12">
        <f>IF(N12=1,", "&amp;N$1,"")</f>
        <v/>
      </c>
      <c r="AM12">
        <f>IF(O12=1,", "&amp;O$1,"")</f>
        <v/>
      </c>
      <c r="AN12">
        <f>IF(P12=1,", "&amp;P$1,"")</f>
        <v/>
      </c>
      <c r="AO12">
        <f>IF(Q12=1,", "&amp;Q$1,"")</f>
        <v/>
      </c>
      <c r="AP12">
        <f>IF(R12=1,", "&amp;R$1,"")</f>
        <v/>
      </c>
      <c r="AQ12">
        <f>IF(S12=1,", "&amp;S$1,"")</f>
        <v/>
      </c>
      <c r="AR12">
        <f>IF(T12=1,", "&amp;T$1,"")</f>
        <v/>
      </c>
      <c r="AS12">
        <f>IF(U12=1,", "&amp;U$1,"")</f>
        <v/>
      </c>
      <c r="AT12">
        <f>IF(V12=1,", "&amp;V$1,"")</f>
        <v/>
      </c>
      <c r="AU12">
        <f>IF(W12=1,", "&amp;W$1,"")</f>
        <v/>
      </c>
      <c r="AV12">
        <f>IF(X12=1,", "&amp;X$1,"")</f>
        <v/>
      </c>
      <c r="AW12">
        <f>IF(Y12=1,", "&amp;Y$1,"")</f>
        <v/>
      </c>
      <c r="AX12">
        <f>IF(Z12=1,", "&amp;Z$1,"")</f>
        <v/>
      </c>
      <c r="AY12">
        <f>IF(AA12=1,", "&amp;AA$1,"")</f>
        <v/>
      </c>
      <c r="AZ12">
        <f>MID($AB12&amp;$AC12&amp;$AD12&amp;$AE12&amp;$AF12&amp;$AG12&amp;$AH12&amp;$AI12&amp;$AJ12&amp;$AK12&amp;$AL12&amp;$AM12&amp;$AN12&amp;$AO12&amp;$AP12&amp;$AQ12&amp;$AR12&amp;$AS12&amp;$AT12&amp;$AU12&amp;$AV12&amp;$AW12&amp;$AX12&amp;$AY12,3,32767)</f>
        <v/>
      </c>
      <c r="BA12">
        <f>COUNT($D12:$AA12)</f>
        <v/>
      </c>
    </row>
    <row r="13">
      <c r="A13" t="n">
        <v>1</v>
      </c>
      <c r="B13" t="inlineStr">
        <is>
          <t>Earth Tremor</t>
        </is>
      </c>
      <c r="C13" t="inlineStr">
        <is>
          <t>Evocation</t>
        </is>
      </c>
      <c r="D13">
        <f>IF(Wizards!$A$2="","",IF(OR(ISNUMBER(SEARCH(", "&amp;$B13&amp;", ", ", "&amp;INDEX('Form Responses'!$I$1:$Q$200,2,$A13)&amp;", ")),ISNUMBER(SEARCH(", "&amp;$B13&amp;", ", ", "&amp;INDEX('Form Responses'!$R$1:$R$200,2)&amp;", "))),1,""))</f>
        <v/>
      </c>
      <c r="E13">
        <f>IF(Wizards!$A$3="","",IF(OR(ISNUMBER(SEARCH(", "&amp;$B13&amp;", ", ", "&amp;INDEX('Form Responses'!$I$1:$Q$200,3,$A13)&amp;", ")),ISNUMBER(SEARCH(", "&amp;$B13&amp;", ", ", "&amp;INDEX('Form Responses'!$R$1:$R$200,3)&amp;", "))),1,""))</f>
        <v/>
      </c>
      <c r="F13">
        <f>IF(Wizards!$A$4="","",IF(OR(ISNUMBER(SEARCH(", "&amp;$B13&amp;", ", ", "&amp;INDEX('Form Responses'!$I$1:$Q$200,4,$A13)&amp;", ")),ISNUMBER(SEARCH(", "&amp;$B13&amp;", ", ", "&amp;INDEX('Form Responses'!$R$1:$R$200,4)&amp;", "))),1,""))</f>
        <v/>
      </c>
      <c r="G13">
        <f>IF(Wizards!$A$5="","",IF(OR(ISNUMBER(SEARCH(", "&amp;$B13&amp;", ", ", "&amp;INDEX('Form Responses'!$I$1:$Q$200,5,$A13)&amp;", ")),ISNUMBER(SEARCH(", "&amp;$B13&amp;", ", ", "&amp;INDEX('Form Responses'!$R$1:$R$200,5)&amp;", "))),1,""))</f>
        <v/>
      </c>
      <c r="H13">
        <f>IF(Wizards!$A$6="","",IF(OR(ISNUMBER(SEARCH(", "&amp;$B13&amp;", ", ", "&amp;INDEX('Form Responses'!$I$1:$Q$200,6,$A13)&amp;", ")),ISNUMBER(SEARCH(", "&amp;$B13&amp;", ", ", "&amp;INDEX('Form Responses'!$R$1:$R$200,6)&amp;", "))),1,""))</f>
        <v/>
      </c>
      <c r="I13">
        <f>IF(Wizards!$A$7="","",IF(OR(ISNUMBER(SEARCH(", "&amp;$B13&amp;", ", ", "&amp;INDEX('Form Responses'!$I$1:$Q$200,7,$A13)&amp;", ")),ISNUMBER(SEARCH(", "&amp;$B13&amp;", ", ", "&amp;INDEX('Form Responses'!$R$1:$R$200,7)&amp;", "))),1,""))</f>
        <v/>
      </c>
      <c r="J13">
        <f>IF(Wizards!$A$8="","",IF(OR(ISNUMBER(SEARCH(", "&amp;$B13&amp;", ", ", "&amp;INDEX('Form Responses'!$I$1:$Q$200,8,$A13)&amp;", ")),ISNUMBER(SEARCH(", "&amp;$B13&amp;", ", ", "&amp;INDEX('Form Responses'!$R$1:$R$200,8)&amp;", "))),1,""))</f>
        <v/>
      </c>
      <c r="K13">
        <f>IF(Wizards!$A$9="","",IF(OR(ISNUMBER(SEARCH(", "&amp;$B13&amp;", ", ", "&amp;INDEX('Form Responses'!$I$1:$Q$200,9,$A13)&amp;", ")),ISNUMBER(SEARCH(", "&amp;$B13&amp;", ", ", "&amp;INDEX('Form Responses'!$R$1:$R$200,9)&amp;", "))),1,""))</f>
        <v/>
      </c>
      <c r="L13">
        <f>IF(Wizards!$A$10="","",IF(OR(ISNUMBER(SEARCH(", "&amp;$B13&amp;", ", ", "&amp;INDEX('Form Responses'!$I$1:$Q$200,10,$A13)&amp;", ")),ISNUMBER(SEARCH(", "&amp;$B13&amp;", ", ", "&amp;INDEX('Form Responses'!$R$1:$R$200,10)&amp;", "))),1,""))</f>
        <v/>
      </c>
      <c r="M13">
        <f>IF(Wizards!$A$11="","",IF(OR(ISNUMBER(SEARCH(", "&amp;$B13&amp;", ", ", "&amp;INDEX('Form Responses'!$I$1:$Q$200,11,$A13)&amp;", ")),ISNUMBER(SEARCH(", "&amp;$B13&amp;", ", ", "&amp;INDEX('Form Responses'!$R$1:$R$200,11)&amp;", "))),1,""))</f>
        <v/>
      </c>
      <c r="N13">
        <f>IF(Wizards!$A$12="","",IF(OR(ISNUMBER(SEARCH(", "&amp;$B13&amp;", ", ", "&amp;INDEX('Form Responses'!$I$1:$Q$200,12,$A13)&amp;", ")),ISNUMBER(SEARCH(", "&amp;$B13&amp;", ", ", "&amp;INDEX('Form Responses'!$R$1:$R$200,12)&amp;", "))),1,""))</f>
        <v/>
      </c>
      <c r="O13">
        <f>IF(Wizards!$A$13="","",IF(OR(ISNUMBER(SEARCH(", "&amp;$B13&amp;", ", ", "&amp;INDEX('Form Responses'!$I$1:$Q$200,13,$A13)&amp;", ")),ISNUMBER(SEARCH(", "&amp;$B13&amp;", ", ", "&amp;INDEX('Form Responses'!$R$1:$R$200,13)&amp;", "))),1,""))</f>
        <v/>
      </c>
      <c r="P13">
        <f>IF(Wizards!$A$14="","",IF(OR(ISNUMBER(SEARCH(", "&amp;$B13&amp;", ", ", "&amp;INDEX('Form Responses'!$I$1:$Q$200,14,$A13)&amp;", ")),ISNUMBER(SEARCH(", "&amp;$B13&amp;", ", ", "&amp;INDEX('Form Responses'!$R$1:$R$200,14)&amp;", "))),1,""))</f>
        <v/>
      </c>
      <c r="Q13">
        <f>IF(Wizards!$A$15="","",IF(OR(ISNUMBER(SEARCH(", "&amp;$B13&amp;", ", ", "&amp;INDEX('Form Responses'!$I$1:$Q$200,15,$A13)&amp;", ")),ISNUMBER(SEARCH(", "&amp;$B13&amp;", ", ", "&amp;INDEX('Form Responses'!$R$1:$R$200,15)&amp;", "))),1,""))</f>
        <v/>
      </c>
      <c r="R13">
        <f>IF(Wizards!$A$16="","",IF(OR(ISNUMBER(SEARCH(", "&amp;$B13&amp;", ", ", "&amp;INDEX('Form Responses'!$I$1:$Q$200,16,$A13)&amp;", ")),ISNUMBER(SEARCH(", "&amp;$B13&amp;", ", ", "&amp;INDEX('Form Responses'!$R$1:$R$200,16)&amp;", "))),1,""))</f>
        <v/>
      </c>
      <c r="S13">
        <f>IF(Wizards!$A$17="","",IF(OR(ISNUMBER(SEARCH(", "&amp;$B13&amp;", ", ", "&amp;INDEX('Form Responses'!$I$1:$Q$200,17,$A13)&amp;", ")),ISNUMBER(SEARCH(", "&amp;$B13&amp;", ", ", "&amp;INDEX('Form Responses'!$R$1:$R$200,17)&amp;", "))),1,""))</f>
        <v/>
      </c>
      <c r="T13">
        <f>IF(Wizards!$A$18="","",IF(OR(ISNUMBER(SEARCH(", "&amp;$B13&amp;", ", ", "&amp;INDEX('Form Responses'!$I$1:$Q$200,18,$A13)&amp;", ")),ISNUMBER(SEARCH(", "&amp;$B13&amp;", ", ", "&amp;INDEX('Form Responses'!$R$1:$R$200,18)&amp;", "))),1,""))</f>
        <v/>
      </c>
      <c r="U13">
        <f>IF(Wizards!$A$19="","",IF(OR(ISNUMBER(SEARCH(", "&amp;$B13&amp;", ", ", "&amp;INDEX('Form Responses'!$I$1:$Q$200,19,$A13)&amp;", ")),ISNUMBER(SEARCH(", "&amp;$B13&amp;", ", ", "&amp;INDEX('Form Responses'!$R$1:$R$200,19)&amp;", "))),1,""))</f>
        <v/>
      </c>
      <c r="V13">
        <f>IF(Wizards!$A$20="","",IF(OR(ISNUMBER(SEARCH(", "&amp;$B13&amp;", ", ", "&amp;INDEX('Form Responses'!$I$1:$Q$200,20,$A13)&amp;", ")),ISNUMBER(SEARCH(", "&amp;$B13&amp;", ", ", "&amp;INDEX('Form Responses'!$R$1:$R$200,20)&amp;", "))),1,""))</f>
        <v/>
      </c>
      <c r="W13">
        <f>IF(Wizards!$A$21="","",IF(OR(ISNUMBER(SEARCH(", "&amp;$B13&amp;", ", ", "&amp;INDEX('Form Responses'!$I$1:$Q$200,21,$A13)&amp;", ")),ISNUMBER(SEARCH(", "&amp;$B13&amp;", ", ", "&amp;INDEX('Form Responses'!$R$1:$R$200,21)&amp;", "))),1,""))</f>
        <v/>
      </c>
      <c r="X13">
        <f>IF(Wizards!$A$22="","",IF(OR(ISNUMBER(SEARCH(", "&amp;$B13&amp;", ", ", "&amp;INDEX('Form Responses'!$I$1:$Q$200,22,$A13)&amp;", ")),ISNUMBER(SEARCH(", "&amp;$B13&amp;", ", ", "&amp;INDEX('Form Responses'!$R$1:$R$200,22)&amp;", "))),1,""))</f>
        <v/>
      </c>
      <c r="Y13">
        <f>IF(Wizards!$A$23="","",IF(OR(ISNUMBER(SEARCH(", "&amp;$B13&amp;", ", ", "&amp;INDEX('Form Responses'!$I$1:$Q$200,23,$A13)&amp;", ")),ISNUMBER(SEARCH(", "&amp;$B13&amp;", ", ", "&amp;INDEX('Form Responses'!$R$1:$R$200,23)&amp;", "))),1,""))</f>
        <v/>
      </c>
      <c r="Z13">
        <f>IF(Wizards!$A$24="","",IF(OR(ISNUMBER(SEARCH(", "&amp;$B13&amp;", ", ", "&amp;INDEX('Form Responses'!$I$1:$Q$200,24,$A13)&amp;", ")),ISNUMBER(SEARCH(", "&amp;$B13&amp;", ", ", "&amp;INDEX('Form Responses'!$R$1:$R$200,24)&amp;", "))),1,""))</f>
        <v/>
      </c>
      <c r="AA13">
        <f>IF(Wizards!$A$25="","",IF(OR(ISNUMBER(SEARCH(", "&amp;$B13&amp;", ", ", "&amp;INDEX('Form Responses'!$I$1:$Q$200,25,$A13)&amp;", ")),ISNUMBER(SEARCH(", "&amp;$B13&amp;", ", ", "&amp;INDEX('Form Responses'!$R$1:$R$200,25)&amp;", "))),1,""))</f>
        <v/>
      </c>
      <c r="AB13">
        <f>IF(D13=1,", "&amp;D$1,"")</f>
        <v/>
      </c>
      <c r="AC13">
        <f>IF(E13=1,", "&amp;E$1,"")</f>
        <v/>
      </c>
      <c r="AD13">
        <f>IF(F13=1,", "&amp;F$1,"")</f>
        <v/>
      </c>
      <c r="AE13">
        <f>IF(G13=1,", "&amp;G$1,"")</f>
        <v/>
      </c>
      <c r="AF13">
        <f>IF(H13=1,", "&amp;H$1,"")</f>
        <v/>
      </c>
      <c r="AG13">
        <f>IF(I13=1,", "&amp;I$1,"")</f>
        <v/>
      </c>
      <c r="AH13">
        <f>IF(J13=1,", "&amp;J$1,"")</f>
        <v/>
      </c>
      <c r="AI13">
        <f>IF(K13=1,", "&amp;K$1,"")</f>
        <v/>
      </c>
      <c r="AJ13">
        <f>IF(L13=1,", "&amp;L$1,"")</f>
        <v/>
      </c>
      <c r="AK13">
        <f>IF(M13=1,", "&amp;M$1,"")</f>
        <v/>
      </c>
      <c r="AL13">
        <f>IF(N13=1,", "&amp;N$1,"")</f>
        <v/>
      </c>
      <c r="AM13">
        <f>IF(O13=1,", "&amp;O$1,"")</f>
        <v/>
      </c>
      <c r="AN13">
        <f>IF(P13=1,", "&amp;P$1,"")</f>
        <v/>
      </c>
      <c r="AO13">
        <f>IF(Q13=1,", "&amp;Q$1,"")</f>
        <v/>
      </c>
      <c r="AP13">
        <f>IF(R13=1,", "&amp;R$1,"")</f>
        <v/>
      </c>
      <c r="AQ13">
        <f>IF(S13=1,", "&amp;S$1,"")</f>
        <v/>
      </c>
      <c r="AR13">
        <f>IF(T13=1,", "&amp;T$1,"")</f>
        <v/>
      </c>
      <c r="AS13">
        <f>IF(U13=1,", "&amp;U$1,"")</f>
        <v/>
      </c>
      <c r="AT13">
        <f>IF(V13=1,", "&amp;V$1,"")</f>
        <v/>
      </c>
      <c r="AU13">
        <f>IF(W13=1,", "&amp;W$1,"")</f>
        <v/>
      </c>
      <c r="AV13">
        <f>IF(X13=1,", "&amp;X$1,"")</f>
        <v/>
      </c>
      <c r="AW13">
        <f>IF(Y13=1,", "&amp;Y$1,"")</f>
        <v/>
      </c>
      <c r="AX13">
        <f>IF(Z13=1,", "&amp;Z$1,"")</f>
        <v/>
      </c>
      <c r="AY13">
        <f>IF(AA13=1,", "&amp;AA$1,"")</f>
        <v/>
      </c>
      <c r="AZ13">
        <f>MID($AB13&amp;$AC13&amp;$AD13&amp;$AE13&amp;$AF13&amp;$AG13&amp;$AH13&amp;$AI13&amp;$AJ13&amp;$AK13&amp;$AL13&amp;$AM13&amp;$AN13&amp;$AO13&amp;$AP13&amp;$AQ13&amp;$AR13&amp;$AS13&amp;$AT13&amp;$AU13&amp;$AV13&amp;$AW13&amp;$AX13&amp;$AY13,3,32767)</f>
        <v/>
      </c>
      <c r="BA13">
        <f>COUNT($D13:$AA13)</f>
        <v/>
      </c>
    </row>
    <row r="14">
      <c r="A14" t="n">
        <v>1</v>
      </c>
      <c r="B14" t="inlineStr">
        <is>
          <t>Expeditious Retreat</t>
        </is>
      </c>
      <c r="C14" t="inlineStr">
        <is>
          <t>Transmutation</t>
        </is>
      </c>
      <c r="D14">
        <f>IF(Wizards!$A$2="","",IF(OR(ISNUMBER(SEARCH(", "&amp;$B14&amp;", ", ", "&amp;INDEX('Form Responses'!$I$1:$Q$200,2,$A14)&amp;", ")),ISNUMBER(SEARCH(", "&amp;$B14&amp;", ", ", "&amp;INDEX('Form Responses'!$R$1:$R$200,2)&amp;", "))),1,""))</f>
        <v/>
      </c>
      <c r="E14">
        <f>IF(Wizards!$A$3="","",IF(OR(ISNUMBER(SEARCH(", "&amp;$B14&amp;", ", ", "&amp;INDEX('Form Responses'!$I$1:$Q$200,3,$A14)&amp;", ")),ISNUMBER(SEARCH(", "&amp;$B14&amp;", ", ", "&amp;INDEX('Form Responses'!$R$1:$R$200,3)&amp;", "))),1,""))</f>
        <v/>
      </c>
      <c r="F14">
        <f>IF(Wizards!$A$4="","",IF(OR(ISNUMBER(SEARCH(", "&amp;$B14&amp;", ", ", "&amp;INDEX('Form Responses'!$I$1:$Q$200,4,$A14)&amp;", ")),ISNUMBER(SEARCH(", "&amp;$B14&amp;", ", ", "&amp;INDEX('Form Responses'!$R$1:$R$200,4)&amp;", "))),1,""))</f>
        <v/>
      </c>
      <c r="G14">
        <f>IF(Wizards!$A$5="","",IF(OR(ISNUMBER(SEARCH(", "&amp;$B14&amp;", ", ", "&amp;INDEX('Form Responses'!$I$1:$Q$200,5,$A14)&amp;", ")),ISNUMBER(SEARCH(", "&amp;$B14&amp;", ", ", "&amp;INDEX('Form Responses'!$R$1:$R$200,5)&amp;", "))),1,""))</f>
        <v/>
      </c>
      <c r="H14">
        <f>IF(Wizards!$A$6="","",IF(OR(ISNUMBER(SEARCH(", "&amp;$B14&amp;", ", ", "&amp;INDEX('Form Responses'!$I$1:$Q$200,6,$A14)&amp;", ")),ISNUMBER(SEARCH(", "&amp;$B14&amp;", ", ", "&amp;INDEX('Form Responses'!$R$1:$R$200,6)&amp;", "))),1,""))</f>
        <v/>
      </c>
      <c r="I14">
        <f>IF(Wizards!$A$7="","",IF(OR(ISNUMBER(SEARCH(", "&amp;$B14&amp;", ", ", "&amp;INDEX('Form Responses'!$I$1:$Q$200,7,$A14)&amp;", ")),ISNUMBER(SEARCH(", "&amp;$B14&amp;", ", ", "&amp;INDEX('Form Responses'!$R$1:$R$200,7)&amp;", "))),1,""))</f>
        <v/>
      </c>
      <c r="J14">
        <f>IF(Wizards!$A$8="","",IF(OR(ISNUMBER(SEARCH(", "&amp;$B14&amp;", ", ", "&amp;INDEX('Form Responses'!$I$1:$Q$200,8,$A14)&amp;", ")),ISNUMBER(SEARCH(", "&amp;$B14&amp;", ", ", "&amp;INDEX('Form Responses'!$R$1:$R$200,8)&amp;", "))),1,""))</f>
        <v/>
      </c>
      <c r="K14">
        <f>IF(Wizards!$A$9="","",IF(OR(ISNUMBER(SEARCH(", "&amp;$B14&amp;", ", ", "&amp;INDEX('Form Responses'!$I$1:$Q$200,9,$A14)&amp;", ")),ISNUMBER(SEARCH(", "&amp;$B14&amp;", ", ", "&amp;INDEX('Form Responses'!$R$1:$R$200,9)&amp;", "))),1,""))</f>
        <v/>
      </c>
      <c r="L14">
        <f>IF(Wizards!$A$10="","",IF(OR(ISNUMBER(SEARCH(", "&amp;$B14&amp;", ", ", "&amp;INDEX('Form Responses'!$I$1:$Q$200,10,$A14)&amp;", ")),ISNUMBER(SEARCH(", "&amp;$B14&amp;", ", ", "&amp;INDEX('Form Responses'!$R$1:$R$200,10)&amp;", "))),1,""))</f>
        <v/>
      </c>
      <c r="M14">
        <f>IF(Wizards!$A$11="","",IF(OR(ISNUMBER(SEARCH(", "&amp;$B14&amp;", ", ", "&amp;INDEX('Form Responses'!$I$1:$Q$200,11,$A14)&amp;", ")),ISNUMBER(SEARCH(", "&amp;$B14&amp;", ", ", "&amp;INDEX('Form Responses'!$R$1:$R$200,11)&amp;", "))),1,""))</f>
        <v/>
      </c>
      <c r="N14">
        <f>IF(Wizards!$A$12="","",IF(OR(ISNUMBER(SEARCH(", "&amp;$B14&amp;", ", ", "&amp;INDEX('Form Responses'!$I$1:$Q$200,12,$A14)&amp;", ")),ISNUMBER(SEARCH(", "&amp;$B14&amp;", ", ", "&amp;INDEX('Form Responses'!$R$1:$R$200,12)&amp;", "))),1,""))</f>
        <v/>
      </c>
      <c r="O14">
        <f>IF(Wizards!$A$13="","",IF(OR(ISNUMBER(SEARCH(", "&amp;$B14&amp;", ", ", "&amp;INDEX('Form Responses'!$I$1:$Q$200,13,$A14)&amp;", ")),ISNUMBER(SEARCH(", "&amp;$B14&amp;", ", ", "&amp;INDEX('Form Responses'!$R$1:$R$200,13)&amp;", "))),1,""))</f>
        <v/>
      </c>
      <c r="P14">
        <f>IF(Wizards!$A$14="","",IF(OR(ISNUMBER(SEARCH(", "&amp;$B14&amp;", ", ", "&amp;INDEX('Form Responses'!$I$1:$Q$200,14,$A14)&amp;", ")),ISNUMBER(SEARCH(", "&amp;$B14&amp;", ", ", "&amp;INDEX('Form Responses'!$R$1:$R$200,14)&amp;", "))),1,""))</f>
        <v/>
      </c>
      <c r="Q14">
        <f>IF(Wizards!$A$15="","",IF(OR(ISNUMBER(SEARCH(", "&amp;$B14&amp;", ", ", "&amp;INDEX('Form Responses'!$I$1:$Q$200,15,$A14)&amp;", ")),ISNUMBER(SEARCH(", "&amp;$B14&amp;", ", ", "&amp;INDEX('Form Responses'!$R$1:$R$200,15)&amp;", "))),1,""))</f>
        <v/>
      </c>
      <c r="R14">
        <f>IF(Wizards!$A$16="","",IF(OR(ISNUMBER(SEARCH(", "&amp;$B14&amp;", ", ", "&amp;INDEX('Form Responses'!$I$1:$Q$200,16,$A14)&amp;", ")),ISNUMBER(SEARCH(", "&amp;$B14&amp;", ", ", "&amp;INDEX('Form Responses'!$R$1:$R$200,16)&amp;", "))),1,""))</f>
        <v/>
      </c>
      <c r="S14">
        <f>IF(Wizards!$A$17="","",IF(OR(ISNUMBER(SEARCH(", "&amp;$B14&amp;", ", ", "&amp;INDEX('Form Responses'!$I$1:$Q$200,17,$A14)&amp;", ")),ISNUMBER(SEARCH(", "&amp;$B14&amp;", ", ", "&amp;INDEX('Form Responses'!$R$1:$R$200,17)&amp;", "))),1,""))</f>
        <v/>
      </c>
      <c r="T14">
        <f>IF(Wizards!$A$18="","",IF(OR(ISNUMBER(SEARCH(", "&amp;$B14&amp;", ", ", "&amp;INDEX('Form Responses'!$I$1:$Q$200,18,$A14)&amp;", ")),ISNUMBER(SEARCH(", "&amp;$B14&amp;", ", ", "&amp;INDEX('Form Responses'!$R$1:$R$200,18)&amp;", "))),1,""))</f>
        <v/>
      </c>
      <c r="U14">
        <f>IF(Wizards!$A$19="","",IF(OR(ISNUMBER(SEARCH(", "&amp;$B14&amp;", ", ", "&amp;INDEX('Form Responses'!$I$1:$Q$200,19,$A14)&amp;", ")),ISNUMBER(SEARCH(", "&amp;$B14&amp;", ", ", "&amp;INDEX('Form Responses'!$R$1:$R$200,19)&amp;", "))),1,""))</f>
        <v/>
      </c>
      <c r="V14">
        <f>IF(Wizards!$A$20="","",IF(OR(ISNUMBER(SEARCH(", "&amp;$B14&amp;", ", ", "&amp;INDEX('Form Responses'!$I$1:$Q$200,20,$A14)&amp;", ")),ISNUMBER(SEARCH(", "&amp;$B14&amp;", ", ", "&amp;INDEX('Form Responses'!$R$1:$R$200,20)&amp;", "))),1,""))</f>
        <v/>
      </c>
      <c r="W14">
        <f>IF(Wizards!$A$21="","",IF(OR(ISNUMBER(SEARCH(", "&amp;$B14&amp;", ", ", "&amp;INDEX('Form Responses'!$I$1:$Q$200,21,$A14)&amp;", ")),ISNUMBER(SEARCH(", "&amp;$B14&amp;", ", ", "&amp;INDEX('Form Responses'!$R$1:$R$200,21)&amp;", "))),1,""))</f>
        <v/>
      </c>
      <c r="X14">
        <f>IF(Wizards!$A$22="","",IF(OR(ISNUMBER(SEARCH(", "&amp;$B14&amp;", ", ", "&amp;INDEX('Form Responses'!$I$1:$Q$200,22,$A14)&amp;", ")),ISNUMBER(SEARCH(", "&amp;$B14&amp;", ", ", "&amp;INDEX('Form Responses'!$R$1:$R$200,22)&amp;", "))),1,""))</f>
        <v/>
      </c>
      <c r="Y14">
        <f>IF(Wizards!$A$23="","",IF(OR(ISNUMBER(SEARCH(", "&amp;$B14&amp;", ", ", "&amp;INDEX('Form Responses'!$I$1:$Q$200,23,$A14)&amp;", ")),ISNUMBER(SEARCH(", "&amp;$B14&amp;", ", ", "&amp;INDEX('Form Responses'!$R$1:$R$200,23)&amp;", "))),1,""))</f>
        <v/>
      </c>
      <c r="Z14">
        <f>IF(Wizards!$A$24="","",IF(OR(ISNUMBER(SEARCH(", "&amp;$B14&amp;", ", ", "&amp;INDEX('Form Responses'!$I$1:$Q$200,24,$A14)&amp;", ")),ISNUMBER(SEARCH(", "&amp;$B14&amp;", ", ", "&amp;INDEX('Form Responses'!$R$1:$R$200,24)&amp;", "))),1,""))</f>
        <v/>
      </c>
      <c r="AA14">
        <f>IF(Wizards!$A$25="","",IF(OR(ISNUMBER(SEARCH(", "&amp;$B14&amp;", ", ", "&amp;INDEX('Form Responses'!$I$1:$Q$200,25,$A14)&amp;", ")),ISNUMBER(SEARCH(", "&amp;$B14&amp;", ", ", "&amp;INDEX('Form Responses'!$R$1:$R$200,25)&amp;", "))),1,""))</f>
        <v/>
      </c>
      <c r="AB14">
        <f>IF(D14=1,", "&amp;D$1,"")</f>
        <v/>
      </c>
      <c r="AC14">
        <f>IF(E14=1,", "&amp;E$1,"")</f>
        <v/>
      </c>
      <c r="AD14">
        <f>IF(F14=1,", "&amp;F$1,"")</f>
        <v/>
      </c>
      <c r="AE14">
        <f>IF(G14=1,", "&amp;G$1,"")</f>
        <v/>
      </c>
      <c r="AF14">
        <f>IF(H14=1,", "&amp;H$1,"")</f>
        <v/>
      </c>
      <c r="AG14">
        <f>IF(I14=1,", "&amp;I$1,"")</f>
        <v/>
      </c>
      <c r="AH14">
        <f>IF(J14=1,", "&amp;J$1,"")</f>
        <v/>
      </c>
      <c r="AI14">
        <f>IF(K14=1,", "&amp;K$1,"")</f>
        <v/>
      </c>
      <c r="AJ14">
        <f>IF(L14=1,", "&amp;L$1,"")</f>
        <v/>
      </c>
      <c r="AK14">
        <f>IF(M14=1,", "&amp;M$1,"")</f>
        <v/>
      </c>
      <c r="AL14">
        <f>IF(N14=1,", "&amp;N$1,"")</f>
        <v/>
      </c>
      <c r="AM14">
        <f>IF(O14=1,", "&amp;O$1,"")</f>
        <v/>
      </c>
      <c r="AN14">
        <f>IF(P14=1,", "&amp;P$1,"")</f>
        <v/>
      </c>
      <c r="AO14">
        <f>IF(Q14=1,", "&amp;Q$1,"")</f>
        <v/>
      </c>
      <c r="AP14">
        <f>IF(R14=1,", "&amp;R$1,"")</f>
        <v/>
      </c>
      <c r="AQ14">
        <f>IF(S14=1,", "&amp;S$1,"")</f>
        <v/>
      </c>
      <c r="AR14">
        <f>IF(T14=1,", "&amp;T$1,"")</f>
        <v/>
      </c>
      <c r="AS14">
        <f>IF(U14=1,", "&amp;U$1,"")</f>
        <v/>
      </c>
      <c r="AT14">
        <f>IF(V14=1,", "&amp;V$1,"")</f>
        <v/>
      </c>
      <c r="AU14">
        <f>IF(W14=1,", "&amp;W$1,"")</f>
        <v/>
      </c>
      <c r="AV14">
        <f>IF(X14=1,", "&amp;X$1,"")</f>
        <v/>
      </c>
      <c r="AW14">
        <f>IF(Y14=1,", "&amp;Y$1,"")</f>
        <v/>
      </c>
      <c r="AX14">
        <f>IF(Z14=1,", "&amp;Z$1,"")</f>
        <v/>
      </c>
      <c r="AY14">
        <f>IF(AA14=1,", "&amp;AA$1,"")</f>
        <v/>
      </c>
      <c r="AZ14">
        <f>MID($AB14&amp;$AC14&amp;$AD14&amp;$AE14&amp;$AF14&amp;$AG14&amp;$AH14&amp;$AI14&amp;$AJ14&amp;$AK14&amp;$AL14&amp;$AM14&amp;$AN14&amp;$AO14&amp;$AP14&amp;$AQ14&amp;$AR14&amp;$AS14&amp;$AT14&amp;$AU14&amp;$AV14&amp;$AW14&amp;$AX14&amp;$AY14,3,32767)</f>
        <v/>
      </c>
      <c r="BA14">
        <f>COUNT($D14:$AA14)</f>
        <v/>
      </c>
    </row>
    <row r="15">
      <c r="A15" t="n">
        <v>1</v>
      </c>
      <c r="B15" t="inlineStr">
        <is>
          <t>False Life</t>
        </is>
      </c>
      <c r="C15" t="inlineStr">
        <is>
          <t>Necromancy</t>
        </is>
      </c>
      <c r="D15">
        <f>IF(Wizards!$A$2="","",IF(OR(ISNUMBER(SEARCH(", "&amp;$B15&amp;", ", ", "&amp;INDEX('Form Responses'!$I$1:$Q$200,2,$A15)&amp;", ")),ISNUMBER(SEARCH(", "&amp;$B15&amp;", ", ", "&amp;INDEX('Form Responses'!$R$1:$R$200,2)&amp;", "))),1,""))</f>
        <v/>
      </c>
      <c r="E15">
        <f>IF(Wizards!$A$3="","",IF(OR(ISNUMBER(SEARCH(", "&amp;$B15&amp;", ", ", "&amp;INDEX('Form Responses'!$I$1:$Q$200,3,$A15)&amp;", ")),ISNUMBER(SEARCH(", "&amp;$B15&amp;", ", ", "&amp;INDEX('Form Responses'!$R$1:$R$200,3)&amp;", "))),1,""))</f>
        <v/>
      </c>
      <c r="F15">
        <f>IF(Wizards!$A$4="","",IF(OR(ISNUMBER(SEARCH(", "&amp;$B15&amp;", ", ", "&amp;INDEX('Form Responses'!$I$1:$Q$200,4,$A15)&amp;", ")),ISNUMBER(SEARCH(", "&amp;$B15&amp;", ", ", "&amp;INDEX('Form Responses'!$R$1:$R$200,4)&amp;", "))),1,""))</f>
        <v/>
      </c>
      <c r="G15">
        <f>IF(Wizards!$A$5="","",IF(OR(ISNUMBER(SEARCH(", "&amp;$B15&amp;", ", ", "&amp;INDEX('Form Responses'!$I$1:$Q$200,5,$A15)&amp;", ")),ISNUMBER(SEARCH(", "&amp;$B15&amp;", ", ", "&amp;INDEX('Form Responses'!$R$1:$R$200,5)&amp;", "))),1,""))</f>
        <v/>
      </c>
      <c r="H15">
        <f>IF(Wizards!$A$6="","",IF(OR(ISNUMBER(SEARCH(", "&amp;$B15&amp;", ", ", "&amp;INDEX('Form Responses'!$I$1:$Q$200,6,$A15)&amp;", ")),ISNUMBER(SEARCH(", "&amp;$B15&amp;", ", ", "&amp;INDEX('Form Responses'!$R$1:$R$200,6)&amp;", "))),1,""))</f>
        <v/>
      </c>
      <c r="I15">
        <f>IF(Wizards!$A$7="","",IF(OR(ISNUMBER(SEARCH(", "&amp;$B15&amp;", ", ", "&amp;INDEX('Form Responses'!$I$1:$Q$200,7,$A15)&amp;", ")),ISNUMBER(SEARCH(", "&amp;$B15&amp;", ", ", "&amp;INDEX('Form Responses'!$R$1:$R$200,7)&amp;", "))),1,""))</f>
        <v/>
      </c>
      <c r="J15">
        <f>IF(Wizards!$A$8="","",IF(OR(ISNUMBER(SEARCH(", "&amp;$B15&amp;", ", ", "&amp;INDEX('Form Responses'!$I$1:$Q$200,8,$A15)&amp;", ")),ISNUMBER(SEARCH(", "&amp;$B15&amp;", ", ", "&amp;INDEX('Form Responses'!$R$1:$R$200,8)&amp;", "))),1,""))</f>
        <v/>
      </c>
      <c r="K15">
        <f>IF(Wizards!$A$9="","",IF(OR(ISNUMBER(SEARCH(", "&amp;$B15&amp;", ", ", "&amp;INDEX('Form Responses'!$I$1:$Q$200,9,$A15)&amp;", ")),ISNUMBER(SEARCH(", "&amp;$B15&amp;", ", ", "&amp;INDEX('Form Responses'!$R$1:$R$200,9)&amp;", "))),1,""))</f>
        <v/>
      </c>
      <c r="L15">
        <f>IF(Wizards!$A$10="","",IF(OR(ISNUMBER(SEARCH(", "&amp;$B15&amp;", ", ", "&amp;INDEX('Form Responses'!$I$1:$Q$200,10,$A15)&amp;", ")),ISNUMBER(SEARCH(", "&amp;$B15&amp;", ", ", "&amp;INDEX('Form Responses'!$R$1:$R$200,10)&amp;", "))),1,""))</f>
        <v/>
      </c>
      <c r="M15">
        <f>IF(Wizards!$A$11="","",IF(OR(ISNUMBER(SEARCH(", "&amp;$B15&amp;", ", ", "&amp;INDEX('Form Responses'!$I$1:$Q$200,11,$A15)&amp;", ")),ISNUMBER(SEARCH(", "&amp;$B15&amp;", ", ", "&amp;INDEX('Form Responses'!$R$1:$R$200,11)&amp;", "))),1,""))</f>
        <v/>
      </c>
      <c r="N15">
        <f>IF(Wizards!$A$12="","",IF(OR(ISNUMBER(SEARCH(", "&amp;$B15&amp;", ", ", "&amp;INDEX('Form Responses'!$I$1:$Q$200,12,$A15)&amp;", ")),ISNUMBER(SEARCH(", "&amp;$B15&amp;", ", ", "&amp;INDEX('Form Responses'!$R$1:$R$200,12)&amp;", "))),1,""))</f>
        <v/>
      </c>
      <c r="O15">
        <f>IF(Wizards!$A$13="","",IF(OR(ISNUMBER(SEARCH(", "&amp;$B15&amp;", ", ", "&amp;INDEX('Form Responses'!$I$1:$Q$200,13,$A15)&amp;", ")),ISNUMBER(SEARCH(", "&amp;$B15&amp;", ", ", "&amp;INDEX('Form Responses'!$R$1:$R$200,13)&amp;", "))),1,""))</f>
        <v/>
      </c>
      <c r="P15">
        <f>IF(Wizards!$A$14="","",IF(OR(ISNUMBER(SEARCH(", "&amp;$B15&amp;", ", ", "&amp;INDEX('Form Responses'!$I$1:$Q$200,14,$A15)&amp;", ")),ISNUMBER(SEARCH(", "&amp;$B15&amp;", ", ", "&amp;INDEX('Form Responses'!$R$1:$R$200,14)&amp;", "))),1,""))</f>
        <v/>
      </c>
      <c r="Q15">
        <f>IF(Wizards!$A$15="","",IF(OR(ISNUMBER(SEARCH(", "&amp;$B15&amp;", ", ", "&amp;INDEX('Form Responses'!$I$1:$Q$200,15,$A15)&amp;", ")),ISNUMBER(SEARCH(", "&amp;$B15&amp;", ", ", "&amp;INDEX('Form Responses'!$R$1:$R$200,15)&amp;", "))),1,""))</f>
        <v/>
      </c>
      <c r="R15">
        <f>IF(Wizards!$A$16="","",IF(OR(ISNUMBER(SEARCH(", "&amp;$B15&amp;", ", ", "&amp;INDEX('Form Responses'!$I$1:$Q$200,16,$A15)&amp;", ")),ISNUMBER(SEARCH(", "&amp;$B15&amp;", ", ", "&amp;INDEX('Form Responses'!$R$1:$R$200,16)&amp;", "))),1,""))</f>
        <v/>
      </c>
      <c r="S15">
        <f>IF(Wizards!$A$17="","",IF(OR(ISNUMBER(SEARCH(", "&amp;$B15&amp;", ", ", "&amp;INDEX('Form Responses'!$I$1:$Q$200,17,$A15)&amp;", ")),ISNUMBER(SEARCH(", "&amp;$B15&amp;", ", ", "&amp;INDEX('Form Responses'!$R$1:$R$200,17)&amp;", "))),1,""))</f>
        <v/>
      </c>
      <c r="T15">
        <f>IF(Wizards!$A$18="","",IF(OR(ISNUMBER(SEARCH(", "&amp;$B15&amp;", ", ", "&amp;INDEX('Form Responses'!$I$1:$Q$200,18,$A15)&amp;", ")),ISNUMBER(SEARCH(", "&amp;$B15&amp;", ", ", "&amp;INDEX('Form Responses'!$R$1:$R$200,18)&amp;", "))),1,""))</f>
        <v/>
      </c>
      <c r="U15">
        <f>IF(Wizards!$A$19="","",IF(OR(ISNUMBER(SEARCH(", "&amp;$B15&amp;", ", ", "&amp;INDEX('Form Responses'!$I$1:$Q$200,19,$A15)&amp;", ")),ISNUMBER(SEARCH(", "&amp;$B15&amp;", ", ", "&amp;INDEX('Form Responses'!$R$1:$R$200,19)&amp;", "))),1,""))</f>
        <v/>
      </c>
      <c r="V15">
        <f>IF(Wizards!$A$20="","",IF(OR(ISNUMBER(SEARCH(", "&amp;$B15&amp;", ", ", "&amp;INDEX('Form Responses'!$I$1:$Q$200,20,$A15)&amp;", ")),ISNUMBER(SEARCH(", "&amp;$B15&amp;", ", ", "&amp;INDEX('Form Responses'!$R$1:$R$200,20)&amp;", "))),1,""))</f>
        <v/>
      </c>
      <c r="W15">
        <f>IF(Wizards!$A$21="","",IF(OR(ISNUMBER(SEARCH(", "&amp;$B15&amp;", ", ", "&amp;INDEX('Form Responses'!$I$1:$Q$200,21,$A15)&amp;", ")),ISNUMBER(SEARCH(", "&amp;$B15&amp;", ", ", "&amp;INDEX('Form Responses'!$R$1:$R$200,21)&amp;", "))),1,""))</f>
        <v/>
      </c>
      <c r="X15">
        <f>IF(Wizards!$A$22="","",IF(OR(ISNUMBER(SEARCH(", "&amp;$B15&amp;", ", ", "&amp;INDEX('Form Responses'!$I$1:$Q$200,22,$A15)&amp;", ")),ISNUMBER(SEARCH(", "&amp;$B15&amp;", ", ", "&amp;INDEX('Form Responses'!$R$1:$R$200,22)&amp;", "))),1,""))</f>
        <v/>
      </c>
      <c r="Y15">
        <f>IF(Wizards!$A$23="","",IF(OR(ISNUMBER(SEARCH(", "&amp;$B15&amp;", ", ", "&amp;INDEX('Form Responses'!$I$1:$Q$200,23,$A15)&amp;", ")),ISNUMBER(SEARCH(", "&amp;$B15&amp;", ", ", "&amp;INDEX('Form Responses'!$R$1:$R$200,23)&amp;", "))),1,""))</f>
        <v/>
      </c>
      <c r="Z15">
        <f>IF(Wizards!$A$24="","",IF(OR(ISNUMBER(SEARCH(", "&amp;$B15&amp;", ", ", "&amp;INDEX('Form Responses'!$I$1:$Q$200,24,$A15)&amp;", ")),ISNUMBER(SEARCH(", "&amp;$B15&amp;", ", ", "&amp;INDEX('Form Responses'!$R$1:$R$200,24)&amp;", "))),1,""))</f>
        <v/>
      </c>
      <c r="AA15">
        <f>IF(Wizards!$A$25="","",IF(OR(ISNUMBER(SEARCH(", "&amp;$B15&amp;", ", ", "&amp;INDEX('Form Responses'!$I$1:$Q$200,25,$A15)&amp;", ")),ISNUMBER(SEARCH(", "&amp;$B15&amp;", ", ", "&amp;INDEX('Form Responses'!$R$1:$R$200,25)&amp;", "))),1,""))</f>
        <v/>
      </c>
      <c r="AB15">
        <f>IF(D15=1,", "&amp;D$1,"")</f>
        <v/>
      </c>
      <c r="AC15">
        <f>IF(E15=1,", "&amp;E$1,"")</f>
        <v/>
      </c>
      <c r="AD15">
        <f>IF(F15=1,", "&amp;F$1,"")</f>
        <v/>
      </c>
      <c r="AE15">
        <f>IF(G15=1,", "&amp;G$1,"")</f>
        <v/>
      </c>
      <c r="AF15">
        <f>IF(H15=1,", "&amp;H$1,"")</f>
        <v/>
      </c>
      <c r="AG15">
        <f>IF(I15=1,", "&amp;I$1,"")</f>
        <v/>
      </c>
      <c r="AH15">
        <f>IF(J15=1,", "&amp;J$1,"")</f>
        <v/>
      </c>
      <c r="AI15">
        <f>IF(K15=1,", "&amp;K$1,"")</f>
        <v/>
      </c>
      <c r="AJ15">
        <f>IF(L15=1,", "&amp;L$1,"")</f>
        <v/>
      </c>
      <c r="AK15">
        <f>IF(M15=1,", "&amp;M$1,"")</f>
        <v/>
      </c>
      <c r="AL15">
        <f>IF(N15=1,", "&amp;N$1,"")</f>
        <v/>
      </c>
      <c r="AM15">
        <f>IF(O15=1,", "&amp;O$1,"")</f>
        <v/>
      </c>
      <c r="AN15">
        <f>IF(P15=1,", "&amp;P$1,"")</f>
        <v/>
      </c>
      <c r="AO15">
        <f>IF(Q15=1,", "&amp;Q$1,"")</f>
        <v/>
      </c>
      <c r="AP15">
        <f>IF(R15=1,", "&amp;R$1,"")</f>
        <v/>
      </c>
      <c r="AQ15">
        <f>IF(S15=1,", "&amp;S$1,"")</f>
        <v/>
      </c>
      <c r="AR15">
        <f>IF(T15=1,", "&amp;T$1,"")</f>
        <v/>
      </c>
      <c r="AS15">
        <f>IF(U15=1,", "&amp;U$1,"")</f>
        <v/>
      </c>
      <c r="AT15">
        <f>IF(V15=1,", "&amp;V$1,"")</f>
        <v/>
      </c>
      <c r="AU15">
        <f>IF(W15=1,", "&amp;W$1,"")</f>
        <v/>
      </c>
      <c r="AV15">
        <f>IF(X15=1,", "&amp;X$1,"")</f>
        <v/>
      </c>
      <c r="AW15">
        <f>IF(Y15=1,", "&amp;Y$1,"")</f>
        <v/>
      </c>
      <c r="AX15">
        <f>IF(Z15=1,", "&amp;Z$1,"")</f>
        <v/>
      </c>
      <c r="AY15">
        <f>IF(AA15=1,", "&amp;AA$1,"")</f>
        <v/>
      </c>
      <c r="AZ15">
        <f>MID($AB15&amp;$AC15&amp;$AD15&amp;$AE15&amp;$AF15&amp;$AG15&amp;$AH15&amp;$AI15&amp;$AJ15&amp;$AK15&amp;$AL15&amp;$AM15&amp;$AN15&amp;$AO15&amp;$AP15&amp;$AQ15&amp;$AR15&amp;$AS15&amp;$AT15&amp;$AU15&amp;$AV15&amp;$AW15&amp;$AX15&amp;$AY15,3,32767)</f>
        <v/>
      </c>
      <c r="BA15">
        <f>COUNT($D15:$AA15)</f>
        <v/>
      </c>
    </row>
    <row r="16">
      <c r="A16" t="n">
        <v>1</v>
      </c>
      <c r="B16" t="inlineStr">
        <is>
          <t>Feather Fall</t>
        </is>
      </c>
      <c r="C16" t="inlineStr">
        <is>
          <t>Transmutation</t>
        </is>
      </c>
      <c r="D16">
        <f>IF(Wizards!$A$2="","",IF(OR(ISNUMBER(SEARCH(", "&amp;$B16&amp;", ", ", "&amp;INDEX('Form Responses'!$I$1:$Q$200,2,$A16)&amp;", ")),ISNUMBER(SEARCH(", "&amp;$B16&amp;", ", ", "&amp;INDEX('Form Responses'!$R$1:$R$200,2)&amp;", "))),1,""))</f>
        <v/>
      </c>
      <c r="E16">
        <f>IF(Wizards!$A$3="","",IF(OR(ISNUMBER(SEARCH(", "&amp;$B16&amp;", ", ", "&amp;INDEX('Form Responses'!$I$1:$Q$200,3,$A16)&amp;", ")),ISNUMBER(SEARCH(", "&amp;$B16&amp;", ", ", "&amp;INDEX('Form Responses'!$R$1:$R$200,3)&amp;", "))),1,""))</f>
        <v/>
      </c>
      <c r="F16">
        <f>IF(Wizards!$A$4="","",IF(OR(ISNUMBER(SEARCH(", "&amp;$B16&amp;", ", ", "&amp;INDEX('Form Responses'!$I$1:$Q$200,4,$A16)&amp;", ")),ISNUMBER(SEARCH(", "&amp;$B16&amp;", ", ", "&amp;INDEX('Form Responses'!$R$1:$R$200,4)&amp;", "))),1,""))</f>
        <v/>
      </c>
      <c r="G16">
        <f>IF(Wizards!$A$5="","",IF(OR(ISNUMBER(SEARCH(", "&amp;$B16&amp;", ", ", "&amp;INDEX('Form Responses'!$I$1:$Q$200,5,$A16)&amp;", ")),ISNUMBER(SEARCH(", "&amp;$B16&amp;", ", ", "&amp;INDEX('Form Responses'!$R$1:$R$200,5)&amp;", "))),1,""))</f>
        <v/>
      </c>
      <c r="H16">
        <f>IF(Wizards!$A$6="","",IF(OR(ISNUMBER(SEARCH(", "&amp;$B16&amp;", ", ", "&amp;INDEX('Form Responses'!$I$1:$Q$200,6,$A16)&amp;", ")),ISNUMBER(SEARCH(", "&amp;$B16&amp;", ", ", "&amp;INDEX('Form Responses'!$R$1:$R$200,6)&amp;", "))),1,""))</f>
        <v/>
      </c>
      <c r="I16">
        <f>IF(Wizards!$A$7="","",IF(OR(ISNUMBER(SEARCH(", "&amp;$B16&amp;", ", ", "&amp;INDEX('Form Responses'!$I$1:$Q$200,7,$A16)&amp;", ")),ISNUMBER(SEARCH(", "&amp;$B16&amp;", ", ", "&amp;INDEX('Form Responses'!$R$1:$R$200,7)&amp;", "))),1,""))</f>
        <v/>
      </c>
      <c r="J16">
        <f>IF(Wizards!$A$8="","",IF(OR(ISNUMBER(SEARCH(", "&amp;$B16&amp;", ", ", "&amp;INDEX('Form Responses'!$I$1:$Q$200,8,$A16)&amp;", ")),ISNUMBER(SEARCH(", "&amp;$B16&amp;", ", ", "&amp;INDEX('Form Responses'!$R$1:$R$200,8)&amp;", "))),1,""))</f>
        <v/>
      </c>
      <c r="K16">
        <f>IF(Wizards!$A$9="","",IF(OR(ISNUMBER(SEARCH(", "&amp;$B16&amp;", ", ", "&amp;INDEX('Form Responses'!$I$1:$Q$200,9,$A16)&amp;", ")),ISNUMBER(SEARCH(", "&amp;$B16&amp;", ", ", "&amp;INDEX('Form Responses'!$R$1:$R$200,9)&amp;", "))),1,""))</f>
        <v/>
      </c>
      <c r="L16">
        <f>IF(Wizards!$A$10="","",IF(OR(ISNUMBER(SEARCH(", "&amp;$B16&amp;", ", ", "&amp;INDEX('Form Responses'!$I$1:$Q$200,10,$A16)&amp;", ")),ISNUMBER(SEARCH(", "&amp;$B16&amp;", ", ", "&amp;INDEX('Form Responses'!$R$1:$R$200,10)&amp;", "))),1,""))</f>
        <v/>
      </c>
      <c r="M16">
        <f>IF(Wizards!$A$11="","",IF(OR(ISNUMBER(SEARCH(", "&amp;$B16&amp;", ", ", "&amp;INDEX('Form Responses'!$I$1:$Q$200,11,$A16)&amp;", ")),ISNUMBER(SEARCH(", "&amp;$B16&amp;", ", ", "&amp;INDEX('Form Responses'!$R$1:$R$200,11)&amp;", "))),1,""))</f>
        <v/>
      </c>
      <c r="N16">
        <f>IF(Wizards!$A$12="","",IF(OR(ISNUMBER(SEARCH(", "&amp;$B16&amp;", ", ", "&amp;INDEX('Form Responses'!$I$1:$Q$200,12,$A16)&amp;", ")),ISNUMBER(SEARCH(", "&amp;$B16&amp;", ", ", "&amp;INDEX('Form Responses'!$R$1:$R$200,12)&amp;", "))),1,""))</f>
        <v/>
      </c>
      <c r="O16">
        <f>IF(Wizards!$A$13="","",IF(OR(ISNUMBER(SEARCH(", "&amp;$B16&amp;", ", ", "&amp;INDEX('Form Responses'!$I$1:$Q$200,13,$A16)&amp;", ")),ISNUMBER(SEARCH(", "&amp;$B16&amp;", ", ", "&amp;INDEX('Form Responses'!$R$1:$R$200,13)&amp;", "))),1,""))</f>
        <v/>
      </c>
      <c r="P16">
        <f>IF(Wizards!$A$14="","",IF(OR(ISNUMBER(SEARCH(", "&amp;$B16&amp;", ", ", "&amp;INDEX('Form Responses'!$I$1:$Q$200,14,$A16)&amp;", ")),ISNUMBER(SEARCH(", "&amp;$B16&amp;", ", ", "&amp;INDEX('Form Responses'!$R$1:$R$200,14)&amp;", "))),1,""))</f>
        <v/>
      </c>
      <c r="Q16">
        <f>IF(Wizards!$A$15="","",IF(OR(ISNUMBER(SEARCH(", "&amp;$B16&amp;", ", ", "&amp;INDEX('Form Responses'!$I$1:$Q$200,15,$A16)&amp;", ")),ISNUMBER(SEARCH(", "&amp;$B16&amp;", ", ", "&amp;INDEX('Form Responses'!$R$1:$R$200,15)&amp;", "))),1,""))</f>
        <v/>
      </c>
      <c r="R16">
        <f>IF(Wizards!$A$16="","",IF(OR(ISNUMBER(SEARCH(", "&amp;$B16&amp;", ", ", "&amp;INDEX('Form Responses'!$I$1:$Q$200,16,$A16)&amp;", ")),ISNUMBER(SEARCH(", "&amp;$B16&amp;", ", ", "&amp;INDEX('Form Responses'!$R$1:$R$200,16)&amp;", "))),1,""))</f>
        <v/>
      </c>
      <c r="S16">
        <f>IF(Wizards!$A$17="","",IF(OR(ISNUMBER(SEARCH(", "&amp;$B16&amp;", ", ", "&amp;INDEX('Form Responses'!$I$1:$Q$200,17,$A16)&amp;", ")),ISNUMBER(SEARCH(", "&amp;$B16&amp;", ", ", "&amp;INDEX('Form Responses'!$R$1:$R$200,17)&amp;", "))),1,""))</f>
        <v/>
      </c>
      <c r="T16">
        <f>IF(Wizards!$A$18="","",IF(OR(ISNUMBER(SEARCH(", "&amp;$B16&amp;", ", ", "&amp;INDEX('Form Responses'!$I$1:$Q$200,18,$A16)&amp;", ")),ISNUMBER(SEARCH(", "&amp;$B16&amp;", ", ", "&amp;INDEX('Form Responses'!$R$1:$R$200,18)&amp;", "))),1,""))</f>
        <v/>
      </c>
      <c r="U16">
        <f>IF(Wizards!$A$19="","",IF(OR(ISNUMBER(SEARCH(", "&amp;$B16&amp;", ", ", "&amp;INDEX('Form Responses'!$I$1:$Q$200,19,$A16)&amp;", ")),ISNUMBER(SEARCH(", "&amp;$B16&amp;", ", ", "&amp;INDEX('Form Responses'!$R$1:$R$200,19)&amp;", "))),1,""))</f>
        <v/>
      </c>
      <c r="V16">
        <f>IF(Wizards!$A$20="","",IF(OR(ISNUMBER(SEARCH(", "&amp;$B16&amp;", ", ", "&amp;INDEX('Form Responses'!$I$1:$Q$200,20,$A16)&amp;", ")),ISNUMBER(SEARCH(", "&amp;$B16&amp;", ", ", "&amp;INDEX('Form Responses'!$R$1:$R$200,20)&amp;", "))),1,""))</f>
        <v/>
      </c>
      <c r="W16">
        <f>IF(Wizards!$A$21="","",IF(OR(ISNUMBER(SEARCH(", "&amp;$B16&amp;", ", ", "&amp;INDEX('Form Responses'!$I$1:$Q$200,21,$A16)&amp;", ")),ISNUMBER(SEARCH(", "&amp;$B16&amp;", ", ", "&amp;INDEX('Form Responses'!$R$1:$R$200,21)&amp;", "))),1,""))</f>
        <v/>
      </c>
      <c r="X16">
        <f>IF(Wizards!$A$22="","",IF(OR(ISNUMBER(SEARCH(", "&amp;$B16&amp;", ", ", "&amp;INDEX('Form Responses'!$I$1:$Q$200,22,$A16)&amp;", ")),ISNUMBER(SEARCH(", "&amp;$B16&amp;", ", ", "&amp;INDEX('Form Responses'!$R$1:$R$200,22)&amp;", "))),1,""))</f>
        <v/>
      </c>
      <c r="Y16">
        <f>IF(Wizards!$A$23="","",IF(OR(ISNUMBER(SEARCH(", "&amp;$B16&amp;", ", ", "&amp;INDEX('Form Responses'!$I$1:$Q$200,23,$A16)&amp;", ")),ISNUMBER(SEARCH(", "&amp;$B16&amp;", ", ", "&amp;INDEX('Form Responses'!$R$1:$R$200,23)&amp;", "))),1,""))</f>
        <v/>
      </c>
      <c r="Z16">
        <f>IF(Wizards!$A$24="","",IF(OR(ISNUMBER(SEARCH(", "&amp;$B16&amp;", ", ", "&amp;INDEX('Form Responses'!$I$1:$Q$200,24,$A16)&amp;", ")),ISNUMBER(SEARCH(", "&amp;$B16&amp;", ", ", "&amp;INDEX('Form Responses'!$R$1:$R$200,24)&amp;", "))),1,""))</f>
        <v/>
      </c>
      <c r="AA16">
        <f>IF(Wizards!$A$25="","",IF(OR(ISNUMBER(SEARCH(", "&amp;$B16&amp;", ", ", "&amp;INDEX('Form Responses'!$I$1:$Q$200,25,$A16)&amp;", ")),ISNUMBER(SEARCH(", "&amp;$B16&amp;", ", ", "&amp;INDEX('Form Responses'!$R$1:$R$200,25)&amp;", "))),1,""))</f>
        <v/>
      </c>
      <c r="AB16">
        <f>IF(D16=1,", "&amp;D$1,"")</f>
        <v/>
      </c>
      <c r="AC16">
        <f>IF(E16=1,", "&amp;E$1,"")</f>
        <v/>
      </c>
      <c r="AD16">
        <f>IF(F16=1,", "&amp;F$1,"")</f>
        <v/>
      </c>
      <c r="AE16">
        <f>IF(G16=1,", "&amp;G$1,"")</f>
        <v/>
      </c>
      <c r="AF16">
        <f>IF(H16=1,", "&amp;H$1,"")</f>
        <v/>
      </c>
      <c r="AG16">
        <f>IF(I16=1,", "&amp;I$1,"")</f>
        <v/>
      </c>
      <c r="AH16">
        <f>IF(J16=1,", "&amp;J$1,"")</f>
        <v/>
      </c>
      <c r="AI16">
        <f>IF(K16=1,", "&amp;K$1,"")</f>
        <v/>
      </c>
      <c r="AJ16">
        <f>IF(L16=1,", "&amp;L$1,"")</f>
        <v/>
      </c>
      <c r="AK16">
        <f>IF(M16=1,", "&amp;M$1,"")</f>
        <v/>
      </c>
      <c r="AL16">
        <f>IF(N16=1,", "&amp;N$1,"")</f>
        <v/>
      </c>
      <c r="AM16">
        <f>IF(O16=1,", "&amp;O$1,"")</f>
        <v/>
      </c>
      <c r="AN16">
        <f>IF(P16=1,", "&amp;P$1,"")</f>
        <v/>
      </c>
      <c r="AO16">
        <f>IF(Q16=1,", "&amp;Q$1,"")</f>
        <v/>
      </c>
      <c r="AP16">
        <f>IF(R16=1,", "&amp;R$1,"")</f>
        <v/>
      </c>
      <c r="AQ16">
        <f>IF(S16=1,", "&amp;S$1,"")</f>
        <v/>
      </c>
      <c r="AR16">
        <f>IF(T16=1,", "&amp;T$1,"")</f>
        <v/>
      </c>
      <c r="AS16">
        <f>IF(U16=1,", "&amp;U$1,"")</f>
        <v/>
      </c>
      <c r="AT16">
        <f>IF(V16=1,", "&amp;V$1,"")</f>
        <v/>
      </c>
      <c r="AU16">
        <f>IF(W16=1,", "&amp;W$1,"")</f>
        <v/>
      </c>
      <c r="AV16">
        <f>IF(X16=1,", "&amp;X$1,"")</f>
        <v/>
      </c>
      <c r="AW16">
        <f>IF(Y16=1,", "&amp;Y$1,"")</f>
        <v/>
      </c>
      <c r="AX16">
        <f>IF(Z16=1,", "&amp;Z$1,"")</f>
        <v/>
      </c>
      <c r="AY16">
        <f>IF(AA16=1,", "&amp;AA$1,"")</f>
        <v/>
      </c>
      <c r="AZ16">
        <f>MID($AB16&amp;$AC16&amp;$AD16&amp;$AE16&amp;$AF16&amp;$AG16&amp;$AH16&amp;$AI16&amp;$AJ16&amp;$AK16&amp;$AL16&amp;$AM16&amp;$AN16&amp;$AO16&amp;$AP16&amp;$AQ16&amp;$AR16&amp;$AS16&amp;$AT16&amp;$AU16&amp;$AV16&amp;$AW16&amp;$AX16&amp;$AY16,3,32767)</f>
        <v/>
      </c>
      <c r="BA16">
        <f>COUNT($D16:$AA16)</f>
        <v/>
      </c>
    </row>
    <row r="17">
      <c r="A17" t="n">
        <v>1</v>
      </c>
      <c r="B17" t="inlineStr">
        <is>
          <t>Find Familiar</t>
        </is>
      </c>
      <c r="C17" t="inlineStr">
        <is>
          <t>Conjuration</t>
        </is>
      </c>
      <c r="D17">
        <f>IF(Wizards!$A$2="","",IF(OR(ISNUMBER(SEARCH(", "&amp;$B17&amp;", ", ", "&amp;INDEX('Form Responses'!$I$1:$Q$200,2,$A17)&amp;", ")),ISNUMBER(SEARCH(", "&amp;$B17&amp;", ", ", "&amp;INDEX('Form Responses'!$R$1:$R$200,2)&amp;", "))),1,""))</f>
        <v/>
      </c>
      <c r="E17">
        <f>IF(Wizards!$A$3="","",IF(OR(ISNUMBER(SEARCH(", "&amp;$B17&amp;", ", ", "&amp;INDEX('Form Responses'!$I$1:$Q$200,3,$A17)&amp;", ")),ISNUMBER(SEARCH(", "&amp;$B17&amp;", ", ", "&amp;INDEX('Form Responses'!$R$1:$R$200,3)&amp;", "))),1,""))</f>
        <v/>
      </c>
      <c r="F17">
        <f>IF(Wizards!$A$4="","",IF(OR(ISNUMBER(SEARCH(", "&amp;$B17&amp;", ", ", "&amp;INDEX('Form Responses'!$I$1:$Q$200,4,$A17)&amp;", ")),ISNUMBER(SEARCH(", "&amp;$B17&amp;", ", ", "&amp;INDEX('Form Responses'!$R$1:$R$200,4)&amp;", "))),1,""))</f>
        <v/>
      </c>
      <c r="G17">
        <f>IF(Wizards!$A$5="","",IF(OR(ISNUMBER(SEARCH(", "&amp;$B17&amp;", ", ", "&amp;INDEX('Form Responses'!$I$1:$Q$200,5,$A17)&amp;", ")),ISNUMBER(SEARCH(", "&amp;$B17&amp;", ", ", "&amp;INDEX('Form Responses'!$R$1:$R$200,5)&amp;", "))),1,""))</f>
        <v/>
      </c>
      <c r="H17">
        <f>IF(Wizards!$A$6="","",IF(OR(ISNUMBER(SEARCH(", "&amp;$B17&amp;", ", ", "&amp;INDEX('Form Responses'!$I$1:$Q$200,6,$A17)&amp;", ")),ISNUMBER(SEARCH(", "&amp;$B17&amp;", ", ", "&amp;INDEX('Form Responses'!$R$1:$R$200,6)&amp;", "))),1,""))</f>
        <v/>
      </c>
      <c r="I17">
        <f>IF(Wizards!$A$7="","",IF(OR(ISNUMBER(SEARCH(", "&amp;$B17&amp;", ", ", "&amp;INDEX('Form Responses'!$I$1:$Q$200,7,$A17)&amp;", ")),ISNUMBER(SEARCH(", "&amp;$B17&amp;", ", ", "&amp;INDEX('Form Responses'!$R$1:$R$200,7)&amp;", "))),1,""))</f>
        <v/>
      </c>
      <c r="J17">
        <f>IF(Wizards!$A$8="","",IF(OR(ISNUMBER(SEARCH(", "&amp;$B17&amp;", ", ", "&amp;INDEX('Form Responses'!$I$1:$Q$200,8,$A17)&amp;", ")),ISNUMBER(SEARCH(", "&amp;$B17&amp;", ", ", "&amp;INDEX('Form Responses'!$R$1:$R$200,8)&amp;", "))),1,""))</f>
        <v/>
      </c>
      <c r="K17">
        <f>IF(Wizards!$A$9="","",IF(OR(ISNUMBER(SEARCH(", "&amp;$B17&amp;", ", ", "&amp;INDEX('Form Responses'!$I$1:$Q$200,9,$A17)&amp;", ")),ISNUMBER(SEARCH(", "&amp;$B17&amp;", ", ", "&amp;INDEX('Form Responses'!$R$1:$R$200,9)&amp;", "))),1,""))</f>
        <v/>
      </c>
      <c r="L17">
        <f>IF(Wizards!$A$10="","",IF(OR(ISNUMBER(SEARCH(", "&amp;$B17&amp;", ", ", "&amp;INDEX('Form Responses'!$I$1:$Q$200,10,$A17)&amp;", ")),ISNUMBER(SEARCH(", "&amp;$B17&amp;", ", ", "&amp;INDEX('Form Responses'!$R$1:$R$200,10)&amp;", "))),1,""))</f>
        <v/>
      </c>
      <c r="M17">
        <f>IF(Wizards!$A$11="","",IF(OR(ISNUMBER(SEARCH(", "&amp;$B17&amp;", ", ", "&amp;INDEX('Form Responses'!$I$1:$Q$200,11,$A17)&amp;", ")),ISNUMBER(SEARCH(", "&amp;$B17&amp;", ", ", "&amp;INDEX('Form Responses'!$R$1:$R$200,11)&amp;", "))),1,""))</f>
        <v/>
      </c>
      <c r="N17">
        <f>IF(Wizards!$A$12="","",IF(OR(ISNUMBER(SEARCH(", "&amp;$B17&amp;", ", ", "&amp;INDEX('Form Responses'!$I$1:$Q$200,12,$A17)&amp;", ")),ISNUMBER(SEARCH(", "&amp;$B17&amp;", ", ", "&amp;INDEX('Form Responses'!$R$1:$R$200,12)&amp;", "))),1,""))</f>
        <v/>
      </c>
      <c r="O17">
        <f>IF(Wizards!$A$13="","",IF(OR(ISNUMBER(SEARCH(", "&amp;$B17&amp;", ", ", "&amp;INDEX('Form Responses'!$I$1:$Q$200,13,$A17)&amp;", ")),ISNUMBER(SEARCH(", "&amp;$B17&amp;", ", ", "&amp;INDEX('Form Responses'!$R$1:$R$200,13)&amp;", "))),1,""))</f>
        <v/>
      </c>
      <c r="P17">
        <f>IF(Wizards!$A$14="","",IF(OR(ISNUMBER(SEARCH(", "&amp;$B17&amp;", ", ", "&amp;INDEX('Form Responses'!$I$1:$Q$200,14,$A17)&amp;", ")),ISNUMBER(SEARCH(", "&amp;$B17&amp;", ", ", "&amp;INDEX('Form Responses'!$R$1:$R$200,14)&amp;", "))),1,""))</f>
        <v/>
      </c>
      <c r="Q17">
        <f>IF(Wizards!$A$15="","",IF(OR(ISNUMBER(SEARCH(", "&amp;$B17&amp;", ", ", "&amp;INDEX('Form Responses'!$I$1:$Q$200,15,$A17)&amp;", ")),ISNUMBER(SEARCH(", "&amp;$B17&amp;", ", ", "&amp;INDEX('Form Responses'!$R$1:$R$200,15)&amp;", "))),1,""))</f>
        <v/>
      </c>
      <c r="R17">
        <f>IF(Wizards!$A$16="","",IF(OR(ISNUMBER(SEARCH(", "&amp;$B17&amp;", ", ", "&amp;INDEX('Form Responses'!$I$1:$Q$200,16,$A17)&amp;", ")),ISNUMBER(SEARCH(", "&amp;$B17&amp;", ", ", "&amp;INDEX('Form Responses'!$R$1:$R$200,16)&amp;", "))),1,""))</f>
        <v/>
      </c>
      <c r="S17">
        <f>IF(Wizards!$A$17="","",IF(OR(ISNUMBER(SEARCH(", "&amp;$B17&amp;", ", ", "&amp;INDEX('Form Responses'!$I$1:$Q$200,17,$A17)&amp;", ")),ISNUMBER(SEARCH(", "&amp;$B17&amp;", ", ", "&amp;INDEX('Form Responses'!$R$1:$R$200,17)&amp;", "))),1,""))</f>
        <v/>
      </c>
      <c r="T17">
        <f>IF(Wizards!$A$18="","",IF(OR(ISNUMBER(SEARCH(", "&amp;$B17&amp;", ", ", "&amp;INDEX('Form Responses'!$I$1:$Q$200,18,$A17)&amp;", ")),ISNUMBER(SEARCH(", "&amp;$B17&amp;", ", ", "&amp;INDEX('Form Responses'!$R$1:$R$200,18)&amp;", "))),1,""))</f>
        <v/>
      </c>
      <c r="U17">
        <f>IF(Wizards!$A$19="","",IF(OR(ISNUMBER(SEARCH(", "&amp;$B17&amp;", ", ", "&amp;INDEX('Form Responses'!$I$1:$Q$200,19,$A17)&amp;", ")),ISNUMBER(SEARCH(", "&amp;$B17&amp;", ", ", "&amp;INDEX('Form Responses'!$R$1:$R$200,19)&amp;", "))),1,""))</f>
        <v/>
      </c>
      <c r="V17">
        <f>IF(Wizards!$A$20="","",IF(OR(ISNUMBER(SEARCH(", "&amp;$B17&amp;", ", ", "&amp;INDEX('Form Responses'!$I$1:$Q$200,20,$A17)&amp;", ")),ISNUMBER(SEARCH(", "&amp;$B17&amp;", ", ", "&amp;INDEX('Form Responses'!$R$1:$R$200,20)&amp;", "))),1,""))</f>
        <v/>
      </c>
      <c r="W17">
        <f>IF(Wizards!$A$21="","",IF(OR(ISNUMBER(SEARCH(", "&amp;$B17&amp;", ", ", "&amp;INDEX('Form Responses'!$I$1:$Q$200,21,$A17)&amp;", ")),ISNUMBER(SEARCH(", "&amp;$B17&amp;", ", ", "&amp;INDEX('Form Responses'!$R$1:$R$200,21)&amp;", "))),1,""))</f>
        <v/>
      </c>
      <c r="X17">
        <f>IF(Wizards!$A$22="","",IF(OR(ISNUMBER(SEARCH(", "&amp;$B17&amp;", ", ", "&amp;INDEX('Form Responses'!$I$1:$Q$200,22,$A17)&amp;", ")),ISNUMBER(SEARCH(", "&amp;$B17&amp;", ", ", "&amp;INDEX('Form Responses'!$R$1:$R$200,22)&amp;", "))),1,""))</f>
        <v/>
      </c>
      <c r="Y17">
        <f>IF(Wizards!$A$23="","",IF(OR(ISNUMBER(SEARCH(", "&amp;$B17&amp;", ", ", "&amp;INDEX('Form Responses'!$I$1:$Q$200,23,$A17)&amp;", ")),ISNUMBER(SEARCH(", "&amp;$B17&amp;", ", ", "&amp;INDEX('Form Responses'!$R$1:$R$200,23)&amp;", "))),1,""))</f>
        <v/>
      </c>
      <c r="Z17">
        <f>IF(Wizards!$A$24="","",IF(OR(ISNUMBER(SEARCH(", "&amp;$B17&amp;", ", ", "&amp;INDEX('Form Responses'!$I$1:$Q$200,24,$A17)&amp;", ")),ISNUMBER(SEARCH(", "&amp;$B17&amp;", ", ", "&amp;INDEX('Form Responses'!$R$1:$R$200,24)&amp;", "))),1,""))</f>
        <v/>
      </c>
      <c r="AA17">
        <f>IF(Wizards!$A$25="","",IF(OR(ISNUMBER(SEARCH(", "&amp;$B17&amp;", ", ", "&amp;INDEX('Form Responses'!$I$1:$Q$200,25,$A17)&amp;", ")),ISNUMBER(SEARCH(", "&amp;$B17&amp;", ", ", "&amp;INDEX('Form Responses'!$R$1:$R$200,25)&amp;", "))),1,""))</f>
        <v/>
      </c>
      <c r="AB17">
        <f>IF(D17=1,", "&amp;D$1,"")</f>
        <v/>
      </c>
      <c r="AC17">
        <f>IF(E17=1,", "&amp;E$1,"")</f>
        <v/>
      </c>
      <c r="AD17">
        <f>IF(F17=1,", "&amp;F$1,"")</f>
        <v/>
      </c>
      <c r="AE17">
        <f>IF(G17=1,", "&amp;G$1,"")</f>
        <v/>
      </c>
      <c r="AF17">
        <f>IF(H17=1,", "&amp;H$1,"")</f>
        <v/>
      </c>
      <c r="AG17">
        <f>IF(I17=1,", "&amp;I$1,"")</f>
        <v/>
      </c>
      <c r="AH17">
        <f>IF(J17=1,", "&amp;J$1,"")</f>
        <v/>
      </c>
      <c r="AI17">
        <f>IF(K17=1,", "&amp;K$1,"")</f>
        <v/>
      </c>
      <c r="AJ17">
        <f>IF(L17=1,", "&amp;L$1,"")</f>
        <v/>
      </c>
      <c r="AK17">
        <f>IF(M17=1,", "&amp;M$1,"")</f>
        <v/>
      </c>
      <c r="AL17">
        <f>IF(N17=1,", "&amp;N$1,"")</f>
        <v/>
      </c>
      <c r="AM17">
        <f>IF(O17=1,", "&amp;O$1,"")</f>
        <v/>
      </c>
      <c r="AN17">
        <f>IF(P17=1,", "&amp;P$1,"")</f>
        <v/>
      </c>
      <c r="AO17">
        <f>IF(Q17=1,", "&amp;Q$1,"")</f>
        <v/>
      </c>
      <c r="AP17">
        <f>IF(R17=1,", "&amp;R$1,"")</f>
        <v/>
      </c>
      <c r="AQ17">
        <f>IF(S17=1,", "&amp;S$1,"")</f>
        <v/>
      </c>
      <c r="AR17">
        <f>IF(T17=1,", "&amp;T$1,"")</f>
        <v/>
      </c>
      <c r="AS17">
        <f>IF(U17=1,", "&amp;U$1,"")</f>
        <v/>
      </c>
      <c r="AT17">
        <f>IF(V17=1,", "&amp;V$1,"")</f>
        <v/>
      </c>
      <c r="AU17">
        <f>IF(W17=1,", "&amp;W$1,"")</f>
        <v/>
      </c>
      <c r="AV17">
        <f>IF(X17=1,", "&amp;X$1,"")</f>
        <v/>
      </c>
      <c r="AW17">
        <f>IF(Y17=1,", "&amp;Y$1,"")</f>
        <v/>
      </c>
      <c r="AX17">
        <f>IF(Z17=1,", "&amp;Z$1,"")</f>
        <v/>
      </c>
      <c r="AY17">
        <f>IF(AA17=1,", "&amp;AA$1,"")</f>
        <v/>
      </c>
      <c r="AZ17">
        <f>MID($AB17&amp;$AC17&amp;$AD17&amp;$AE17&amp;$AF17&amp;$AG17&amp;$AH17&amp;$AI17&amp;$AJ17&amp;$AK17&amp;$AL17&amp;$AM17&amp;$AN17&amp;$AO17&amp;$AP17&amp;$AQ17&amp;$AR17&amp;$AS17&amp;$AT17&amp;$AU17&amp;$AV17&amp;$AW17&amp;$AX17&amp;$AY17,3,32767)</f>
        <v/>
      </c>
      <c r="BA17">
        <f>COUNT($D17:$AA17)</f>
        <v/>
      </c>
    </row>
    <row r="18">
      <c r="A18" t="n">
        <v>1</v>
      </c>
      <c r="B18" t="inlineStr">
        <is>
          <t>Fog Cloud</t>
        </is>
      </c>
      <c r="C18" t="inlineStr">
        <is>
          <t>Conjuration</t>
        </is>
      </c>
      <c r="D18">
        <f>IF(Wizards!$A$2="","",IF(OR(ISNUMBER(SEARCH(", "&amp;$B18&amp;", ", ", "&amp;INDEX('Form Responses'!$I$1:$Q$200,2,$A18)&amp;", ")),ISNUMBER(SEARCH(", "&amp;$B18&amp;", ", ", "&amp;INDEX('Form Responses'!$R$1:$R$200,2)&amp;", "))),1,""))</f>
        <v/>
      </c>
      <c r="E18">
        <f>IF(Wizards!$A$3="","",IF(OR(ISNUMBER(SEARCH(", "&amp;$B18&amp;", ", ", "&amp;INDEX('Form Responses'!$I$1:$Q$200,3,$A18)&amp;", ")),ISNUMBER(SEARCH(", "&amp;$B18&amp;", ", ", "&amp;INDEX('Form Responses'!$R$1:$R$200,3)&amp;", "))),1,""))</f>
        <v/>
      </c>
      <c r="F18">
        <f>IF(Wizards!$A$4="","",IF(OR(ISNUMBER(SEARCH(", "&amp;$B18&amp;", ", ", "&amp;INDEX('Form Responses'!$I$1:$Q$200,4,$A18)&amp;", ")),ISNUMBER(SEARCH(", "&amp;$B18&amp;", ", ", "&amp;INDEX('Form Responses'!$R$1:$R$200,4)&amp;", "))),1,""))</f>
        <v/>
      </c>
      <c r="G18">
        <f>IF(Wizards!$A$5="","",IF(OR(ISNUMBER(SEARCH(", "&amp;$B18&amp;", ", ", "&amp;INDEX('Form Responses'!$I$1:$Q$200,5,$A18)&amp;", ")),ISNUMBER(SEARCH(", "&amp;$B18&amp;", ", ", "&amp;INDEX('Form Responses'!$R$1:$R$200,5)&amp;", "))),1,""))</f>
        <v/>
      </c>
      <c r="H18">
        <f>IF(Wizards!$A$6="","",IF(OR(ISNUMBER(SEARCH(", "&amp;$B18&amp;", ", ", "&amp;INDEX('Form Responses'!$I$1:$Q$200,6,$A18)&amp;", ")),ISNUMBER(SEARCH(", "&amp;$B18&amp;", ", ", "&amp;INDEX('Form Responses'!$R$1:$R$200,6)&amp;", "))),1,""))</f>
        <v/>
      </c>
      <c r="I18">
        <f>IF(Wizards!$A$7="","",IF(OR(ISNUMBER(SEARCH(", "&amp;$B18&amp;", ", ", "&amp;INDEX('Form Responses'!$I$1:$Q$200,7,$A18)&amp;", ")),ISNUMBER(SEARCH(", "&amp;$B18&amp;", ", ", "&amp;INDEX('Form Responses'!$R$1:$R$200,7)&amp;", "))),1,""))</f>
        <v/>
      </c>
      <c r="J18">
        <f>IF(Wizards!$A$8="","",IF(OR(ISNUMBER(SEARCH(", "&amp;$B18&amp;", ", ", "&amp;INDEX('Form Responses'!$I$1:$Q$200,8,$A18)&amp;", ")),ISNUMBER(SEARCH(", "&amp;$B18&amp;", ", ", "&amp;INDEX('Form Responses'!$R$1:$R$200,8)&amp;", "))),1,""))</f>
        <v/>
      </c>
      <c r="K18">
        <f>IF(Wizards!$A$9="","",IF(OR(ISNUMBER(SEARCH(", "&amp;$B18&amp;", ", ", "&amp;INDEX('Form Responses'!$I$1:$Q$200,9,$A18)&amp;", ")),ISNUMBER(SEARCH(", "&amp;$B18&amp;", ", ", "&amp;INDEX('Form Responses'!$R$1:$R$200,9)&amp;", "))),1,""))</f>
        <v/>
      </c>
      <c r="L18">
        <f>IF(Wizards!$A$10="","",IF(OR(ISNUMBER(SEARCH(", "&amp;$B18&amp;", ", ", "&amp;INDEX('Form Responses'!$I$1:$Q$200,10,$A18)&amp;", ")),ISNUMBER(SEARCH(", "&amp;$B18&amp;", ", ", "&amp;INDEX('Form Responses'!$R$1:$R$200,10)&amp;", "))),1,""))</f>
        <v/>
      </c>
      <c r="M18">
        <f>IF(Wizards!$A$11="","",IF(OR(ISNUMBER(SEARCH(", "&amp;$B18&amp;", ", ", "&amp;INDEX('Form Responses'!$I$1:$Q$200,11,$A18)&amp;", ")),ISNUMBER(SEARCH(", "&amp;$B18&amp;", ", ", "&amp;INDEX('Form Responses'!$R$1:$R$200,11)&amp;", "))),1,""))</f>
        <v/>
      </c>
      <c r="N18">
        <f>IF(Wizards!$A$12="","",IF(OR(ISNUMBER(SEARCH(", "&amp;$B18&amp;", ", ", "&amp;INDEX('Form Responses'!$I$1:$Q$200,12,$A18)&amp;", ")),ISNUMBER(SEARCH(", "&amp;$B18&amp;", ", ", "&amp;INDEX('Form Responses'!$R$1:$R$200,12)&amp;", "))),1,""))</f>
        <v/>
      </c>
      <c r="O18">
        <f>IF(Wizards!$A$13="","",IF(OR(ISNUMBER(SEARCH(", "&amp;$B18&amp;", ", ", "&amp;INDEX('Form Responses'!$I$1:$Q$200,13,$A18)&amp;", ")),ISNUMBER(SEARCH(", "&amp;$B18&amp;", ", ", "&amp;INDEX('Form Responses'!$R$1:$R$200,13)&amp;", "))),1,""))</f>
        <v/>
      </c>
      <c r="P18">
        <f>IF(Wizards!$A$14="","",IF(OR(ISNUMBER(SEARCH(", "&amp;$B18&amp;", ", ", "&amp;INDEX('Form Responses'!$I$1:$Q$200,14,$A18)&amp;", ")),ISNUMBER(SEARCH(", "&amp;$B18&amp;", ", ", "&amp;INDEX('Form Responses'!$R$1:$R$200,14)&amp;", "))),1,""))</f>
        <v/>
      </c>
      <c r="Q18">
        <f>IF(Wizards!$A$15="","",IF(OR(ISNUMBER(SEARCH(", "&amp;$B18&amp;", ", ", "&amp;INDEX('Form Responses'!$I$1:$Q$200,15,$A18)&amp;", ")),ISNUMBER(SEARCH(", "&amp;$B18&amp;", ", ", "&amp;INDEX('Form Responses'!$R$1:$R$200,15)&amp;", "))),1,""))</f>
        <v/>
      </c>
      <c r="R18">
        <f>IF(Wizards!$A$16="","",IF(OR(ISNUMBER(SEARCH(", "&amp;$B18&amp;", ", ", "&amp;INDEX('Form Responses'!$I$1:$Q$200,16,$A18)&amp;", ")),ISNUMBER(SEARCH(", "&amp;$B18&amp;", ", ", "&amp;INDEX('Form Responses'!$R$1:$R$200,16)&amp;", "))),1,""))</f>
        <v/>
      </c>
      <c r="S18">
        <f>IF(Wizards!$A$17="","",IF(OR(ISNUMBER(SEARCH(", "&amp;$B18&amp;", ", ", "&amp;INDEX('Form Responses'!$I$1:$Q$200,17,$A18)&amp;", ")),ISNUMBER(SEARCH(", "&amp;$B18&amp;", ", ", "&amp;INDEX('Form Responses'!$R$1:$R$200,17)&amp;", "))),1,""))</f>
        <v/>
      </c>
      <c r="T18">
        <f>IF(Wizards!$A$18="","",IF(OR(ISNUMBER(SEARCH(", "&amp;$B18&amp;", ", ", "&amp;INDEX('Form Responses'!$I$1:$Q$200,18,$A18)&amp;", ")),ISNUMBER(SEARCH(", "&amp;$B18&amp;", ", ", "&amp;INDEX('Form Responses'!$R$1:$R$200,18)&amp;", "))),1,""))</f>
        <v/>
      </c>
      <c r="U18">
        <f>IF(Wizards!$A$19="","",IF(OR(ISNUMBER(SEARCH(", "&amp;$B18&amp;", ", ", "&amp;INDEX('Form Responses'!$I$1:$Q$200,19,$A18)&amp;", ")),ISNUMBER(SEARCH(", "&amp;$B18&amp;", ", ", "&amp;INDEX('Form Responses'!$R$1:$R$200,19)&amp;", "))),1,""))</f>
        <v/>
      </c>
      <c r="V18">
        <f>IF(Wizards!$A$20="","",IF(OR(ISNUMBER(SEARCH(", "&amp;$B18&amp;", ", ", "&amp;INDEX('Form Responses'!$I$1:$Q$200,20,$A18)&amp;", ")),ISNUMBER(SEARCH(", "&amp;$B18&amp;", ", ", "&amp;INDEX('Form Responses'!$R$1:$R$200,20)&amp;", "))),1,""))</f>
        <v/>
      </c>
      <c r="W18">
        <f>IF(Wizards!$A$21="","",IF(OR(ISNUMBER(SEARCH(", "&amp;$B18&amp;", ", ", "&amp;INDEX('Form Responses'!$I$1:$Q$200,21,$A18)&amp;", ")),ISNUMBER(SEARCH(", "&amp;$B18&amp;", ", ", "&amp;INDEX('Form Responses'!$R$1:$R$200,21)&amp;", "))),1,""))</f>
        <v/>
      </c>
      <c r="X18">
        <f>IF(Wizards!$A$22="","",IF(OR(ISNUMBER(SEARCH(", "&amp;$B18&amp;", ", ", "&amp;INDEX('Form Responses'!$I$1:$Q$200,22,$A18)&amp;", ")),ISNUMBER(SEARCH(", "&amp;$B18&amp;", ", ", "&amp;INDEX('Form Responses'!$R$1:$R$200,22)&amp;", "))),1,""))</f>
        <v/>
      </c>
      <c r="Y18">
        <f>IF(Wizards!$A$23="","",IF(OR(ISNUMBER(SEARCH(", "&amp;$B18&amp;", ", ", "&amp;INDEX('Form Responses'!$I$1:$Q$200,23,$A18)&amp;", ")),ISNUMBER(SEARCH(", "&amp;$B18&amp;", ", ", "&amp;INDEX('Form Responses'!$R$1:$R$200,23)&amp;", "))),1,""))</f>
        <v/>
      </c>
      <c r="Z18">
        <f>IF(Wizards!$A$24="","",IF(OR(ISNUMBER(SEARCH(", "&amp;$B18&amp;", ", ", "&amp;INDEX('Form Responses'!$I$1:$Q$200,24,$A18)&amp;", ")),ISNUMBER(SEARCH(", "&amp;$B18&amp;", ", ", "&amp;INDEX('Form Responses'!$R$1:$R$200,24)&amp;", "))),1,""))</f>
        <v/>
      </c>
      <c r="AA18">
        <f>IF(Wizards!$A$25="","",IF(OR(ISNUMBER(SEARCH(", "&amp;$B18&amp;", ", ", "&amp;INDEX('Form Responses'!$I$1:$Q$200,25,$A18)&amp;", ")),ISNUMBER(SEARCH(", "&amp;$B18&amp;", ", ", "&amp;INDEX('Form Responses'!$R$1:$R$200,25)&amp;", "))),1,""))</f>
        <v/>
      </c>
      <c r="AB18">
        <f>IF(D18=1,", "&amp;D$1,"")</f>
        <v/>
      </c>
      <c r="AC18">
        <f>IF(E18=1,", "&amp;E$1,"")</f>
        <v/>
      </c>
      <c r="AD18">
        <f>IF(F18=1,", "&amp;F$1,"")</f>
        <v/>
      </c>
      <c r="AE18">
        <f>IF(G18=1,", "&amp;G$1,"")</f>
        <v/>
      </c>
      <c r="AF18">
        <f>IF(H18=1,", "&amp;H$1,"")</f>
        <v/>
      </c>
      <c r="AG18">
        <f>IF(I18=1,", "&amp;I$1,"")</f>
        <v/>
      </c>
      <c r="AH18">
        <f>IF(J18=1,", "&amp;J$1,"")</f>
        <v/>
      </c>
      <c r="AI18">
        <f>IF(K18=1,", "&amp;K$1,"")</f>
        <v/>
      </c>
      <c r="AJ18">
        <f>IF(L18=1,", "&amp;L$1,"")</f>
        <v/>
      </c>
      <c r="AK18">
        <f>IF(M18=1,", "&amp;M$1,"")</f>
        <v/>
      </c>
      <c r="AL18">
        <f>IF(N18=1,", "&amp;N$1,"")</f>
        <v/>
      </c>
      <c r="AM18">
        <f>IF(O18=1,", "&amp;O$1,"")</f>
        <v/>
      </c>
      <c r="AN18">
        <f>IF(P18=1,", "&amp;P$1,"")</f>
        <v/>
      </c>
      <c r="AO18">
        <f>IF(Q18=1,", "&amp;Q$1,"")</f>
        <v/>
      </c>
      <c r="AP18">
        <f>IF(R18=1,", "&amp;R$1,"")</f>
        <v/>
      </c>
      <c r="AQ18">
        <f>IF(S18=1,", "&amp;S$1,"")</f>
        <v/>
      </c>
      <c r="AR18">
        <f>IF(T18=1,", "&amp;T$1,"")</f>
        <v/>
      </c>
      <c r="AS18">
        <f>IF(U18=1,", "&amp;U$1,"")</f>
        <v/>
      </c>
      <c r="AT18">
        <f>IF(V18=1,", "&amp;V$1,"")</f>
        <v/>
      </c>
      <c r="AU18">
        <f>IF(W18=1,", "&amp;W$1,"")</f>
        <v/>
      </c>
      <c r="AV18">
        <f>IF(X18=1,", "&amp;X$1,"")</f>
        <v/>
      </c>
      <c r="AW18">
        <f>IF(Y18=1,", "&amp;Y$1,"")</f>
        <v/>
      </c>
      <c r="AX18">
        <f>IF(Z18=1,", "&amp;Z$1,"")</f>
        <v/>
      </c>
      <c r="AY18">
        <f>IF(AA18=1,", "&amp;AA$1,"")</f>
        <v/>
      </c>
      <c r="AZ18">
        <f>MID($AB18&amp;$AC18&amp;$AD18&amp;$AE18&amp;$AF18&amp;$AG18&amp;$AH18&amp;$AI18&amp;$AJ18&amp;$AK18&amp;$AL18&amp;$AM18&amp;$AN18&amp;$AO18&amp;$AP18&amp;$AQ18&amp;$AR18&amp;$AS18&amp;$AT18&amp;$AU18&amp;$AV18&amp;$AW18&amp;$AX18&amp;$AY18,3,32767)</f>
        <v/>
      </c>
      <c r="BA18">
        <f>COUNT($D18:$AA18)</f>
        <v/>
      </c>
    </row>
    <row r="19">
      <c r="A19" t="n">
        <v>1</v>
      </c>
      <c r="B19" t="inlineStr">
        <is>
          <t>Frost Fingers</t>
        </is>
      </c>
      <c r="C19" t="inlineStr">
        <is>
          <t>Evocation</t>
        </is>
      </c>
      <c r="D19">
        <f>IF(Wizards!$A$2="","",IF(OR(ISNUMBER(SEARCH(", "&amp;$B19&amp;", ", ", "&amp;INDEX('Form Responses'!$I$1:$Q$200,2,$A19)&amp;", ")),ISNUMBER(SEARCH(", "&amp;$B19&amp;", ", ", "&amp;INDEX('Form Responses'!$R$1:$R$200,2)&amp;", "))),1,""))</f>
        <v/>
      </c>
      <c r="E19">
        <f>IF(Wizards!$A$3="","",IF(OR(ISNUMBER(SEARCH(", "&amp;$B19&amp;", ", ", "&amp;INDEX('Form Responses'!$I$1:$Q$200,3,$A19)&amp;", ")),ISNUMBER(SEARCH(", "&amp;$B19&amp;", ", ", "&amp;INDEX('Form Responses'!$R$1:$R$200,3)&amp;", "))),1,""))</f>
        <v/>
      </c>
      <c r="F19">
        <f>IF(Wizards!$A$4="","",IF(OR(ISNUMBER(SEARCH(", "&amp;$B19&amp;", ", ", "&amp;INDEX('Form Responses'!$I$1:$Q$200,4,$A19)&amp;", ")),ISNUMBER(SEARCH(", "&amp;$B19&amp;", ", ", "&amp;INDEX('Form Responses'!$R$1:$R$200,4)&amp;", "))),1,""))</f>
        <v/>
      </c>
      <c r="G19">
        <f>IF(Wizards!$A$5="","",IF(OR(ISNUMBER(SEARCH(", "&amp;$B19&amp;", ", ", "&amp;INDEX('Form Responses'!$I$1:$Q$200,5,$A19)&amp;", ")),ISNUMBER(SEARCH(", "&amp;$B19&amp;", ", ", "&amp;INDEX('Form Responses'!$R$1:$R$200,5)&amp;", "))),1,""))</f>
        <v/>
      </c>
      <c r="H19">
        <f>IF(Wizards!$A$6="","",IF(OR(ISNUMBER(SEARCH(", "&amp;$B19&amp;", ", ", "&amp;INDEX('Form Responses'!$I$1:$Q$200,6,$A19)&amp;", ")),ISNUMBER(SEARCH(", "&amp;$B19&amp;", ", ", "&amp;INDEX('Form Responses'!$R$1:$R$200,6)&amp;", "))),1,""))</f>
        <v/>
      </c>
      <c r="I19">
        <f>IF(Wizards!$A$7="","",IF(OR(ISNUMBER(SEARCH(", "&amp;$B19&amp;", ", ", "&amp;INDEX('Form Responses'!$I$1:$Q$200,7,$A19)&amp;", ")),ISNUMBER(SEARCH(", "&amp;$B19&amp;", ", ", "&amp;INDEX('Form Responses'!$R$1:$R$200,7)&amp;", "))),1,""))</f>
        <v/>
      </c>
      <c r="J19">
        <f>IF(Wizards!$A$8="","",IF(OR(ISNUMBER(SEARCH(", "&amp;$B19&amp;", ", ", "&amp;INDEX('Form Responses'!$I$1:$Q$200,8,$A19)&amp;", ")),ISNUMBER(SEARCH(", "&amp;$B19&amp;", ", ", "&amp;INDEX('Form Responses'!$R$1:$R$200,8)&amp;", "))),1,""))</f>
        <v/>
      </c>
      <c r="K19">
        <f>IF(Wizards!$A$9="","",IF(OR(ISNUMBER(SEARCH(", "&amp;$B19&amp;", ", ", "&amp;INDEX('Form Responses'!$I$1:$Q$200,9,$A19)&amp;", ")),ISNUMBER(SEARCH(", "&amp;$B19&amp;", ", ", "&amp;INDEX('Form Responses'!$R$1:$R$200,9)&amp;", "))),1,""))</f>
        <v/>
      </c>
      <c r="L19">
        <f>IF(Wizards!$A$10="","",IF(OR(ISNUMBER(SEARCH(", "&amp;$B19&amp;", ", ", "&amp;INDEX('Form Responses'!$I$1:$Q$200,10,$A19)&amp;", ")),ISNUMBER(SEARCH(", "&amp;$B19&amp;", ", ", "&amp;INDEX('Form Responses'!$R$1:$R$200,10)&amp;", "))),1,""))</f>
        <v/>
      </c>
      <c r="M19">
        <f>IF(Wizards!$A$11="","",IF(OR(ISNUMBER(SEARCH(", "&amp;$B19&amp;", ", ", "&amp;INDEX('Form Responses'!$I$1:$Q$200,11,$A19)&amp;", ")),ISNUMBER(SEARCH(", "&amp;$B19&amp;", ", ", "&amp;INDEX('Form Responses'!$R$1:$R$200,11)&amp;", "))),1,""))</f>
        <v/>
      </c>
      <c r="N19">
        <f>IF(Wizards!$A$12="","",IF(OR(ISNUMBER(SEARCH(", "&amp;$B19&amp;", ", ", "&amp;INDEX('Form Responses'!$I$1:$Q$200,12,$A19)&amp;", ")),ISNUMBER(SEARCH(", "&amp;$B19&amp;", ", ", "&amp;INDEX('Form Responses'!$R$1:$R$200,12)&amp;", "))),1,""))</f>
        <v/>
      </c>
      <c r="O19">
        <f>IF(Wizards!$A$13="","",IF(OR(ISNUMBER(SEARCH(", "&amp;$B19&amp;", ", ", "&amp;INDEX('Form Responses'!$I$1:$Q$200,13,$A19)&amp;", ")),ISNUMBER(SEARCH(", "&amp;$B19&amp;", ", ", "&amp;INDEX('Form Responses'!$R$1:$R$200,13)&amp;", "))),1,""))</f>
        <v/>
      </c>
      <c r="P19">
        <f>IF(Wizards!$A$14="","",IF(OR(ISNUMBER(SEARCH(", "&amp;$B19&amp;", ", ", "&amp;INDEX('Form Responses'!$I$1:$Q$200,14,$A19)&amp;", ")),ISNUMBER(SEARCH(", "&amp;$B19&amp;", ", ", "&amp;INDEX('Form Responses'!$R$1:$R$200,14)&amp;", "))),1,""))</f>
        <v/>
      </c>
      <c r="Q19">
        <f>IF(Wizards!$A$15="","",IF(OR(ISNUMBER(SEARCH(", "&amp;$B19&amp;", ", ", "&amp;INDEX('Form Responses'!$I$1:$Q$200,15,$A19)&amp;", ")),ISNUMBER(SEARCH(", "&amp;$B19&amp;", ", ", "&amp;INDEX('Form Responses'!$R$1:$R$200,15)&amp;", "))),1,""))</f>
        <v/>
      </c>
      <c r="R19">
        <f>IF(Wizards!$A$16="","",IF(OR(ISNUMBER(SEARCH(", "&amp;$B19&amp;", ", ", "&amp;INDEX('Form Responses'!$I$1:$Q$200,16,$A19)&amp;", ")),ISNUMBER(SEARCH(", "&amp;$B19&amp;", ", ", "&amp;INDEX('Form Responses'!$R$1:$R$200,16)&amp;", "))),1,""))</f>
        <v/>
      </c>
      <c r="S19">
        <f>IF(Wizards!$A$17="","",IF(OR(ISNUMBER(SEARCH(", "&amp;$B19&amp;", ", ", "&amp;INDEX('Form Responses'!$I$1:$Q$200,17,$A19)&amp;", ")),ISNUMBER(SEARCH(", "&amp;$B19&amp;", ", ", "&amp;INDEX('Form Responses'!$R$1:$R$200,17)&amp;", "))),1,""))</f>
        <v/>
      </c>
      <c r="T19">
        <f>IF(Wizards!$A$18="","",IF(OR(ISNUMBER(SEARCH(", "&amp;$B19&amp;", ", ", "&amp;INDEX('Form Responses'!$I$1:$Q$200,18,$A19)&amp;", ")),ISNUMBER(SEARCH(", "&amp;$B19&amp;", ", ", "&amp;INDEX('Form Responses'!$R$1:$R$200,18)&amp;", "))),1,""))</f>
        <v/>
      </c>
      <c r="U19">
        <f>IF(Wizards!$A$19="","",IF(OR(ISNUMBER(SEARCH(", "&amp;$B19&amp;", ", ", "&amp;INDEX('Form Responses'!$I$1:$Q$200,19,$A19)&amp;", ")),ISNUMBER(SEARCH(", "&amp;$B19&amp;", ", ", "&amp;INDEX('Form Responses'!$R$1:$R$200,19)&amp;", "))),1,""))</f>
        <v/>
      </c>
      <c r="V19">
        <f>IF(Wizards!$A$20="","",IF(OR(ISNUMBER(SEARCH(", "&amp;$B19&amp;", ", ", "&amp;INDEX('Form Responses'!$I$1:$Q$200,20,$A19)&amp;", ")),ISNUMBER(SEARCH(", "&amp;$B19&amp;", ", ", "&amp;INDEX('Form Responses'!$R$1:$R$200,20)&amp;", "))),1,""))</f>
        <v/>
      </c>
      <c r="W19">
        <f>IF(Wizards!$A$21="","",IF(OR(ISNUMBER(SEARCH(", "&amp;$B19&amp;", ", ", "&amp;INDEX('Form Responses'!$I$1:$Q$200,21,$A19)&amp;", ")),ISNUMBER(SEARCH(", "&amp;$B19&amp;", ", ", "&amp;INDEX('Form Responses'!$R$1:$R$200,21)&amp;", "))),1,""))</f>
        <v/>
      </c>
      <c r="X19">
        <f>IF(Wizards!$A$22="","",IF(OR(ISNUMBER(SEARCH(", "&amp;$B19&amp;", ", ", "&amp;INDEX('Form Responses'!$I$1:$Q$200,22,$A19)&amp;", ")),ISNUMBER(SEARCH(", "&amp;$B19&amp;", ", ", "&amp;INDEX('Form Responses'!$R$1:$R$200,22)&amp;", "))),1,""))</f>
        <v/>
      </c>
      <c r="Y19">
        <f>IF(Wizards!$A$23="","",IF(OR(ISNUMBER(SEARCH(", "&amp;$B19&amp;", ", ", "&amp;INDEX('Form Responses'!$I$1:$Q$200,23,$A19)&amp;", ")),ISNUMBER(SEARCH(", "&amp;$B19&amp;", ", ", "&amp;INDEX('Form Responses'!$R$1:$R$200,23)&amp;", "))),1,""))</f>
        <v/>
      </c>
      <c r="Z19">
        <f>IF(Wizards!$A$24="","",IF(OR(ISNUMBER(SEARCH(", "&amp;$B19&amp;", ", ", "&amp;INDEX('Form Responses'!$I$1:$Q$200,24,$A19)&amp;", ")),ISNUMBER(SEARCH(", "&amp;$B19&amp;", ", ", "&amp;INDEX('Form Responses'!$R$1:$R$200,24)&amp;", "))),1,""))</f>
        <v/>
      </c>
      <c r="AA19">
        <f>IF(Wizards!$A$25="","",IF(OR(ISNUMBER(SEARCH(", "&amp;$B19&amp;", ", ", "&amp;INDEX('Form Responses'!$I$1:$Q$200,25,$A19)&amp;", ")),ISNUMBER(SEARCH(", "&amp;$B19&amp;", ", ", "&amp;INDEX('Form Responses'!$R$1:$R$200,25)&amp;", "))),1,""))</f>
        <v/>
      </c>
      <c r="AB19">
        <f>IF(D19=1,", "&amp;D$1,"")</f>
        <v/>
      </c>
      <c r="AC19">
        <f>IF(E19=1,", "&amp;E$1,"")</f>
        <v/>
      </c>
      <c r="AD19">
        <f>IF(F19=1,", "&amp;F$1,"")</f>
        <v/>
      </c>
      <c r="AE19">
        <f>IF(G19=1,", "&amp;G$1,"")</f>
        <v/>
      </c>
      <c r="AF19">
        <f>IF(H19=1,", "&amp;H$1,"")</f>
        <v/>
      </c>
      <c r="AG19">
        <f>IF(I19=1,", "&amp;I$1,"")</f>
        <v/>
      </c>
      <c r="AH19">
        <f>IF(J19=1,", "&amp;J$1,"")</f>
        <v/>
      </c>
      <c r="AI19">
        <f>IF(K19=1,", "&amp;K$1,"")</f>
        <v/>
      </c>
      <c r="AJ19">
        <f>IF(L19=1,", "&amp;L$1,"")</f>
        <v/>
      </c>
      <c r="AK19">
        <f>IF(M19=1,", "&amp;M$1,"")</f>
        <v/>
      </c>
      <c r="AL19">
        <f>IF(N19=1,", "&amp;N$1,"")</f>
        <v/>
      </c>
      <c r="AM19">
        <f>IF(O19=1,", "&amp;O$1,"")</f>
        <v/>
      </c>
      <c r="AN19">
        <f>IF(P19=1,", "&amp;P$1,"")</f>
        <v/>
      </c>
      <c r="AO19">
        <f>IF(Q19=1,", "&amp;Q$1,"")</f>
        <v/>
      </c>
      <c r="AP19">
        <f>IF(R19=1,", "&amp;R$1,"")</f>
        <v/>
      </c>
      <c r="AQ19">
        <f>IF(S19=1,", "&amp;S$1,"")</f>
        <v/>
      </c>
      <c r="AR19">
        <f>IF(T19=1,", "&amp;T$1,"")</f>
        <v/>
      </c>
      <c r="AS19">
        <f>IF(U19=1,", "&amp;U$1,"")</f>
        <v/>
      </c>
      <c r="AT19">
        <f>IF(V19=1,", "&amp;V$1,"")</f>
        <v/>
      </c>
      <c r="AU19">
        <f>IF(W19=1,", "&amp;W$1,"")</f>
        <v/>
      </c>
      <c r="AV19">
        <f>IF(X19=1,", "&amp;X$1,"")</f>
        <v/>
      </c>
      <c r="AW19">
        <f>IF(Y19=1,", "&amp;Y$1,"")</f>
        <v/>
      </c>
      <c r="AX19">
        <f>IF(Z19=1,", "&amp;Z$1,"")</f>
        <v/>
      </c>
      <c r="AY19">
        <f>IF(AA19=1,", "&amp;AA$1,"")</f>
        <v/>
      </c>
      <c r="AZ19">
        <f>MID($AB19&amp;$AC19&amp;$AD19&amp;$AE19&amp;$AF19&amp;$AG19&amp;$AH19&amp;$AI19&amp;$AJ19&amp;$AK19&amp;$AL19&amp;$AM19&amp;$AN19&amp;$AO19&amp;$AP19&amp;$AQ19&amp;$AR19&amp;$AS19&amp;$AT19&amp;$AU19&amp;$AV19&amp;$AW19&amp;$AX19&amp;$AY19,3,32767)</f>
        <v/>
      </c>
      <c r="BA19">
        <f>COUNT($D19:$AA19)</f>
        <v/>
      </c>
    </row>
    <row r="20">
      <c r="A20" t="n">
        <v>1</v>
      </c>
      <c r="B20" t="inlineStr">
        <is>
          <t>Grease</t>
        </is>
      </c>
      <c r="C20" t="inlineStr">
        <is>
          <t>Conjuration</t>
        </is>
      </c>
      <c r="D20">
        <f>IF(Wizards!$A$2="","",IF(OR(ISNUMBER(SEARCH(", "&amp;$B20&amp;", ", ", "&amp;INDEX('Form Responses'!$I$1:$Q$200,2,$A20)&amp;", ")),ISNUMBER(SEARCH(", "&amp;$B20&amp;", ", ", "&amp;INDEX('Form Responses'!$R$1:$R$200,2)&amp;", "))),1,""))</f>
        <v/>
      </c>
      <c r="E20">
        <f>IF(Wizards!$A$3="","",IF(OR(ISNUMBER(SEARCH(", "&amp;$B20&amp;", ", ", "&amp;INDEX('Form Responses'!$I$1:$Q$200,3,$A20)&amp;", ")),ISNUMBER(SEARCH(", "&amp;$B20&amp;", ", ", "&amp;INDEX('Form Responses'!$R$1:$R$200,3)&amp;", "))),1,""))</f>
        <v/>
      </c>
      <c r="F20">
        <f>IF(Wizards!$A$4="","",IF(OR(ISNUMBER(SEARCH(", "&amp;$B20&amp;", ", ", "&amp;INDEX('Form Responses'!$I$1:$Q$200,4,$A20)&amp;", ")),ISNUMBER(SEARCH(", "&amp;$B20&amp;", ", ", "&amp;INDEX('Form Responses'!$R$1:$R$200,4)&amp;", "))),1,""))</f>
        <v/>
      </c>
      <c r="G20">
        <f>IF(Wizards!$A$5="","",IF(OR(ISNUMBER(SEARCH(", "&amp;$B20&amp;", ", ", "&amp;INDEX('Form Responses'!$I$1:$Q$200,5,$A20)&amp;", ")),ISNUMBER(SEARCH(", "&amp;$B20&amp;", ", ", "&amp;INDEX('Form Responses'!$R$1:$R$200,5)&amp;", "))),1,""))</f>
        <v/>
      </c>
      <c r="H20">
        <f>IF(Wizards!$A$6="","",IF(OR(ISNUMBER(SEARCH(", "&amp;$B20&amp;", ", ", "&amp;INDEX('Form Responses'!$I$1:$Q$200,6,$A20)&amp;", ")),ISNUMBER(SEARCH(", "&amp;$B20&amp;", ", ", "&amp;INDEX('Form Responses'!$R$1:$R$200,6)&amp;", "))),1,""))</f>
        <v/>
      </c>
      <c r="I20">
        <f>IF(Wizards!$A$7="","",IF(OR(ISNUMBER(SEARCH(", "&amp;$B20&amp;", ", ", "&amp;INDEX('Form Responses'!$I$1:$Q$200,7,$A20)&amp;", ")),ISNUMBER(SEARCH(", "&amp;$B20&amp;", ", ", "&amp;INDEX('Form Responses'!$R$1:$R$200,7)&amp;", "))),1,""))</f>
        <v/>
      </c>
      <c r="J20">
        <f>IF(Wizards!$A$8="","",IF(OR(ISNUMBER(SEARCH(", "&amp;$B20&amp;", ", ", "&amp;INDEX('Form Responses'!$I$1:$Q$200,8,$A20)&amp;", ")),ISNUMBER(SEARCH(", "&amp;$B20&amp;", ", ", "&amp;INDEX('Form Responses'!$R$1:$R$200,8)&amp;", "))),1,""))</f>
        <v/>
      </c>
      <c r="K20">
        <f>IF(Wizards!$A$9="","",IF(OR(ISNUMBER(SEARCH(", "&amp;$B20&amp;", ", ", "&amp;INDEX('Form Responses'!$I$1:$Q$200,9,$A20)&amp;", ")),ISNUMBER(SEARCH(", "&amp;$B20&amp;", ", ", "&amp;INDEX('Form Responses'!$R$1:$R$200,9)&amp;", "))),1,""))</f>
        <v/>
      </c>
      <c r="L20">
        <f>IF(Wizards!$A$10="","",IF(OR(ISNUMBER(SEARCH(", "&amp;$B20&amp;", ", ", "&amp;INDEX('Form Responses'!$I$1:$Q$200,10,$A20)&amp;", ")),ISNUMBER(SEARCH(", "&amp;$B20&amp;", ", ", "&amp;INDEX('Form Responses'!$R$1:$R$200,10)&amp;", "))),1,""))</f>
        <v/>
      </c>
      <c r="M20">
        <f>IF(Wizards!$A$11="","",IF(OR(ISNUMBER(SEARCH(", "&amp;$B20&amp;", ", ", "&amp;INDEX('Form Responses'!$I$1:$Q$200,11,$A20)&amp;", ")),ISNUMBER(SEARCH(", "&amp;$B20&amp;", ", ", "&amp;INDEX('Form Responses'!$R$1:$R$200,11)&amp;", "))),1,""))</f>
        <v/>
      </c>
      <c r="N20">
        <f>IF(Wizards!$A$12="","",IF(OR(ISNUMBER(SEARCH(", "&amp;$B20&amp;", ", ", "&amp;INDEX('Form Responses'!$I$1:$Q$200,12,$A20)&amp;", ")),ISNUMBER(SEARCH(", "&amp;$B20&amp;", ", ", "&amp;INDEX('Form Responses'!$R$1:$R$200,12)&amp;", "))),1,""))</f>
        <v/>
      </c>
      <c r="O20">
        <f>IF(Wizards!$A$13="","",IF(OR(ISNUMBER(SEARCH(", "&amp;$B20&amp;", ", ", "&amp;INDEX('Form Responses'!$I$1:$Q$200,13,$A20)&amp;", ")),ISNUMBER(SEARCH(", "&amp;$B20&amp;", ", ", "&amp;INDEX('Form Responses'!$R$1:$R$200,13)&amp;", "))),1,""))</f>
        <v/>
      </c>
      <c r="P20">
        <f>IF(Wizards!$A$14="","",IF(OR(ISNUMBER(SEARCH(", "&amp;$B20&amp;", ", ", "&amp;INDEX('Form Responses'!$I$1:$Q$200,14,$A20)&amp;", ")),ISNUMBER(SEARCH(", "&amp;$B20&amp;", ", ", "&amp;INDEX('Form Responses'!$R$1:$R$200,14)&amp;", "))),1,""))</f>
        <v/>
      </c>
      <c r="Q20">
        <f>IF(Wizards!$A$15="","",IF(OR(ISNUMBER(SEARCH(", "&amp;$B20&amp;", ", ", "&amp;INDEX('Form Responses'!$I$1:$Q$200,15,$A20)&amp;", ")),ISNUMBER(SEARCH(", "&amp;$B20&amp;", ", ", "&amp;INDEX('Form Responses'!$R$1:$R$200,15)&amp;", "))),1,""))</f>
        <v/>
      </c>
      <c r="R20">
        <f>IF(Wizards!$A$16="","",IF(OR(ISNUMBER(SEARCH(", "&amp;$B20&amp;", ", ", "&amp;INDEX('Form Responses'!$I$1:$Q$200,16,$A20)&amp;", ")),ISNUMBER(SEARCH(", "&amp;$B20&amp;", ", ", "&amp;INDEX('Form Responses'!$R$1:$R$200,16)&amp;", "))),1,""))</f>
        <v/>
      </c>
      <c r="S20">
        <f>IF(Wizards!$A$17="","",IF(OR(ISNUMBER(SEARCH(", "&amp;$B20&amp;", ", ", "&amp;INDEX('Form Responses'!$I$1:$Q$200,17,$A20)&amp;", ")),ISNUMBER(SEARCH(", "&amp;$B20&amp;", ", ", "&amp;INDEX('Form Responses'!$R$1:$R$200,17)&amp;", "))),1,""))</f>
        <v/>
      </c>
      <c r="T20">
        <f>IF(Wizards!$A$18="","",IF(OR(ISNUMBER(SEARCH(", "&amp;$B20&amp;", ", ", "&amp;INDEX('Form Responses'!$I$1:$Q$200,18,$A20)&amp;", ")),ISNUMBER(SEARCH(", "&amp;$B20&amp;", ", ", "&amp;INDEX('Form Responses'!$R$1:$R$200,18)&amp;", "))),1,""))</f>
        <v/>
      </c>
      <c r="U20">
        <f>IF(Wizards!$A$19="","",IF(OR(ISNUMBER(SEARCH(", "&amp;$B20&amp;", ", ", "&amp;INDEX('Form Responses'!$I$1:$Q$200,19,$A20)&amp;", ")),ISNUMBER(SEARCH(", "&amp;$B20&amp;", ", ", "&amp;INDEX('Form Responses'!$R$1:$R$200,19)&amp;", "))),1,""))</f>
        <v/>
      </c>
      <c r="V20">
        <f>IF(Wizards!$A$20="","",IF(OR(ISNUMBER(SEARCH(", "&amp;$B20&amp;", ", ", "&amp;INDEX('Form Responses'!$I$1:$Q$200,20,$A20)&amp;", ")),ISNUMBER(SEARCH(", "&amp;$B20&amp;", ", ", "&amp;INDEX('Form Responses'!$R$1:$R$200,20)&amp;", "))),1,""))</f>
        <v/>
      </c>
      <c r="W20">
        <f>IF(Wizards!$A$21="","",IF(OR(ISNUMBER(SEARCH(", "&amp;$B20&amp;", ", ", "&amp;INDEX('Form Responses'!$I$1:$Q$200,21,$A20)&amp;", ")),ISNUMBER(SEARCH(", "&amp;$B20&amp;", ", ", "&amp;INDEX('Form Responses'!$R$1:$R$200,21)&amp;", "))),1,""))</f>
        <v/>
      </c>
      <c r="X20">
        <f>IF(Wizards!$A$22="","",IF(OR(ISNUMBER(SEARCH(", "&amp;$B20&amp;", ", ", "&amp;INDEX('Form Responses'!$I$1:$Q$200,22,$A20)&amp;", ")),ISNUMBER(SEARCH(", "&amp;$B20&amp;", ", ", "&amp;INDEX('Form Responses'!$R$1:$R$200,22)&amp;", "))),1,""))</f>
        <v/>
      </c>
      <c r="Y20">
        <f>IF(Wizards!$A$23="","",IF(OR(ISNUMBER(SEARCH(", "&amp;$B20&amp;", ", ", "&amp;INDEX('Form Responses'!$I$1:$Q$200,23,$A20)&amp;", ")),ISNUMBER(SEARCH(", "&amp;$B20&amp;", ", ", "&amp;INDEX('Form Responses'!$R$1:$R$200,23)&amp;", "))),1,""))</f>
        <v/>
      </c>
      <c r="Z20">
        <f>IF(Wizards!$A$24="","",IF(OR(ISNUMBER(SEARCH(", "&amp;$B20&amp;", ", ", "&amp;INDEX('Form Responses'!$I$1:$Q$200,24,$A20)&amp;", ")),ISNUMBER(SEARCH(", "&amp;$B20&amp;", ", ", "&amp;INDEX('Form Responses'!$R$1:$R$200,24)&amp;", "))),1,""))</f>
        <v/>
      </c>
      <c r="AA20">
        <f>IF(Wizards!$A$25="","",IF(OR(ISNUMBER(SEARCH(", "&amp;$B20&amp;", ", ", "&amp;INDEX('Form Responses'!$I$1:$Q$200,25,$A20)&amp;", ")),ISNUMBER(SEARCH(", "&amp;$B20&amp;", ", ", "&amp;INDEX('Form Responses'!$R$1:$R$200,25)&amp;", "))),1,""))</f>
        <v/>
      </c>
      <c r="AB20">
        <f>IF(D20=1,", "&amp;D$1,"")</f>
        <v/>
      </c>
      <c r="AC20">
        <f>IF(E20=1,", "&amp;E$1,"")</f>
        <v/>
      </c>
      <c r="AD20">
        <f>IF(F20=1,", "&amp;F$1,"")</f>
        <v/>
      </c>
      <c r="AE20">
        <f>IF(G20=1,", "&amp;G$1,"")</f>
        <v/>
      </c>
      <c r="AF20">
        <f>IF(H20=1,", "&amp;H$1,"")</f>
        <v/>
      </c>
      <c r="AG20">
        <f>IF(I20=1,", "&amp;I$1,"")</f>
        <v/>
      </c>
      <c r="AH20">
        <f>IF(J20=1,", "&amp;J$1,"")</f>
        <v/>
      </c>
      <c r="AI20">
        <f>IF(K20=1,", "&amp;K$1,"")</f>
        <v/>
      </c>
      <c r="AJ20">
        <f>IF(L20=1,", "&amp;L$1,"")</f>
        <v/>
      </c>
      <c r="AK20">
        <f>IF(M20=1,", "&amp;M$1,"")</f>
        <v/>
      </c>
      <c r="AL20">
        <f>IF(N20=1,", "&amp;N$1,"")</f>
        <v/>
      </c>
      <c r="AM20">
        <f>IF(O20=1,", "&amp;O$1,"")</f>
        <v/>
      </c>
      <c r="AN20">
        <f>IF(P20=1,", "&amp;P$1,"")</f>
        <v/>
      </c>
      <c r="AO20">
        <f>IF(Q20=1,", "&amp;Q$1,"")</f>
        <v/>
      </c>
      <c r="AP20">
        <f>IF(R20=1,", "&amp;R$1,"")</f>
        <v/>
      </c>
      <c r="AQ20">
        <f>IF(S20=1,", "&amp;S$1,"")</f>
        <v/>
      </c>
      <c r="AR20">
        <f>IF(T20=1,", "&amp;T$1,"")</f>
        <v/>
      </c>
      <c r="AS20">
        <f>IF(U20=1,", "&amp;U$1,"")</f>
        <v/>
      </c>
      <c r="AT20">
        <f>IF(V20=1,", "&amp;V$1,"")</f>
        <v/>
      </c>
      <c r="AU20">
        <f>IF(W20=1,", "&amp;W$1,"")</f>
        <v/>
      </c>
      <c r="AV20">
        <f>IF(X20=1,", "&amp;X$1,"")</f>
        <v/>
      </c>
      <c r="AW20">
        <f>IF(Y20=1,", "&amp;Y$1,"")</f>
        <v/>
      </c>
      <c r="AX20">
        <f>IF(Z20=1,", "&amp;Z$1,"")</f>
        <v/>
      </c>
      <c r="AY20">
        <f>IF(AA20=1,", "&amp;AA$1,"")</f>
        <v/>
      </c>
      <c r="AZ20">
        <f>MID($AB20&amp;$AC20&amp;$AD20&amp;$AE20&amp;$AF20&amp;$AG20&amp;$AH20&amp;$AI20&amp;$AJ20&amp;$AK20&amp;$AL20&amp;$AM20&amp;$AN20&amp;$AO20&amp;$AP20&amp;$AQ20&amp;$AR20&amp;$AS20&amp;$AT20&amp;$AU20&amp;$AV20&amp;$AW20&amp;$AX20&amp;$AY20,3,32767)</f>
        <v/>
      </c>
      <c r="BA20">
        <f>COUNT($D20:$AA20)</f>
        <v/>
      </c>
    </row>
    <row r="21">
      <c r="A21" t="n">
        <v>1</v>
      </c>
      <c r="B21" t="inlineStr">
        <is>
          <t>Ice Knife</t>
        </is>
      </c>
      <c r="C21" t="inlineStr">
        <is>
          <t>Conjuration</t>
        </is>
      </c>
      <c r="D21">
        <f>IF(Wizards!$A$2="","",IF(OR(ISNUMBER(SEARCH(", "&amp;$B21&amp;", ", ", "&amp;INDEX('Form Responses'!$I$1:$Q$200,2,$A21)&amp;", ")),ISNUMBER(SEARCH(", "&amp;$B21&amp;", ", ", "&amp;INDEX('Form Responses'!$R$1:$R$200,2)&amp;", "))),1,""))</f>
        <v/>
      </c>
      <c r="E21">
        <f>IF(Wizards!$A$3="","",IF(OR(ISNUMBER(SEARCH(", "&amp;$B21&amp;", ", ", "&amp;INDEX('Form Responses'!$I$1:$Q$200,3,$A21)&amp;", ")),ISNUMBER(SEARCH(", "&amp;$B21&amp;", ", ", "&amp;INDEX('Form Responses'!$R$1:$R$200,3)&amp;", "))),1,""))</f>
        <v/>
      </c>
      <c r="F21">
        <f>IF(Wizards!$A$4="","",IF(OR(ISNUMBER(SEARCH(", "&amp;$B21&amp;", ", ", "&amp;INDEX('Form Responses'!$I$1:$Q$200,4,$A21)&amp;", ")),ISNUMBER(SEARCH(", "&amp;$B21&amp;", ", ", "&amp;INDEX('Form Responses'!$R$1:$R$200,4)&amp;", "))),1,""))</f>
        <v/>
      </c>
      <c r="G21">
        <f>IF(Wizards!$A$5="","",IF(OR(ISNUMBER(SEARCH(", "&amp;$B21&amp;", ", ", "&amp;INDEX('Form Responses'!$I$1:$Q$200,5,$A21)&amp;", ")),ISNUMBER(SEARCH(", "&amp;$B21&amp;", ", ", "&amp;INDEX('Form Responses'!$R$1:$R$200,5)&amp;", "))),1,""))</f>
        <v/>
      </c>
      <c r="H21">
        <f>IF(Wizards!$A$6="","",IF(OR(ISNUMBER(SEARCH(", "&amp;$B21&amp;", ", ", "&amp;INDEX('Form Responses'!$I$1:$Q$200,6,$A21)&amp;", ")),ISNUMBER(SEARCH(", "&amp;$B21&amp;", ", ", "&amp;INDEX('Form Responses'!$R$1:$R$200,6)&amp;", "))),1,""))</f>
        <v/>
      </c>
      <c r="I21">
        <f>IF(Wizards!$A$7="","",IF(OR(ISNUMBER(SEARCH(", "&amp;$B21&amp;", ", ", "&amp;INDEX('Form Responses'!$I$1:$Q$200,7,$A21)&amp;", ")),ISNUMBER(SEARCH(", "&amp;$B21&amp;", ", ", "&amp;INDEX('Form Responses'!$R$1:$R$200,7)&amp;", "))),1,""))</f>
        <v/>
      </c>
      <c r="J21">
        <f>IF(Wizards!$A$8="","",IF(OR(ISNUMBER(SEARCH(", "&amp;$B21&amp;", ", ", "&amp;INDEX('Form Responses'!$I$1:$Q$200,8,$A21)&amp;", ")),ISNUMBER(SEARCH(", "&amp;$B21&amp;", ", ", "&amp;INDEX('Form Responses'!$R$1:$R$200,8)&amp;", "))),1,""))</f>
        <v/>
      </c>
      <c r="K21">
        <f>IF(Wizards!$A$9="","",IF(OR(ISNUMBER(SEARCH(", "&amp;$B21&amp;", ", ", "&amp;INDEX('Form Responses'!$I$1:$Q$200,9,$A21)&amp;", ")),ISNUMBER(SEARCH(", "&amp;$B21&amp;", ", ", "&amp;INDEX('Form Responses'!$R$1:$R$200,9)&amp;", "))),1,""))</f>
        <v/>
      </c>
      <c r="L21">
        <f>IF(Wizards!$A$10="","",IF(OR(ISNUMBER(SEARCH(", "&amp;$B21&amp;", ", ", "&amp;INDEX('Form Responses'!$I$1:$Q$200,10,$A21)&amp;", ")),ISNUMBER(SEARCH(", "&amp;$B21&amp;", ", ", "&amp;INDEX('Form Responses'!$R$1:$R$200,10)&amp;", "))),1,""))</f>
        <v/>
      </c>
      <c r="M21">
        <f>IF(Wizards!$A$11="","",IF(OR(ISNUMBER(SEARCH(", "&amp;$B21&amp;", ", ", "&amp;INDEX('Form Responses'!$I$1:$Q$200,11,$A21)&amp;", ")),ISNUMBER(SEARCH(", "&amp;$B21&amp;", ", ", "&amp;INDEX('Form Responses'!$R$1:$R$200,11)&amp;", "))),1,""))</f>
        <v/>
      </c>
      <c r="N21">
        <f>IF(Wizards!$A$12="","",IF(OR(ISNUMBER(SEARCH(", "&amp;$B21&amp;", ", ", "&amp;INDEX('Form Responses'!$I$1:$Q$200,12,$A21)&amp;", ")),ISNUMBER(SEARCH(", "&amp;$B21&amp;", ", ", "&amp;INDEX('Form Responses'!$R$1:$R$200,12)&amp;", "))),1,""))</f>
        <v/>
      </c>
      <c r="O21">
        <f>IF(Wizards!$A$13="","",IF(OR(ISNUMBER(SEARCH(", "&amp;$B21&amp;", ", ", "&amp;INDEX('Form Responses'!$I$1:$Q$200,13,$A21)&amp;", ")),ISNUMBER(SEARCH(", "&amp;$B21&amp;", ", ", "&amp;INDEX('Form Responses'!$R$1:$R$200,13)&amp;", "))),1,""))</f>
        <v/>
      </c>
      <c r="P21">
        <f>IF(Wizards!$A$14="","",IF(OR(ISNUMBER(SEARCH(", "&amp;$B21&amp;", ", ", "&amp;INDEX('Form Responses'!$I$1:$Q$200,14,$A21)&amp;", ")),ISNUMBER(SEARCH(", "&amp;$B21&amp;", ", ", "&amp;INDEX('Form Responses'!$R$1:$R$200,14)&amp;", "))),1,""))</f>
        <v/>
      </c>
      <c r="Q21">
        <f>IF(Wizards!$A$15="","",IF(OR(ISNUMBER(SEARCH(", "&amp;$B21&amp;", ", ", "&amp;INDEX('Form Responses'!$I$1:$Q$200,15,$A21)&amp;", ")),ISNUMBER(SEARCH(", "&amp;$B21&amp;", ", ", "&amp;INDEX('Form Responses'!$R$1:$R$200,15)&amp;", "))),1,""))</f>
        <v/>
      </c>
      <c r="R21">
        <f>IF(Wizards!$A$16="","",IF(OR(ISNUMBER(SEARCH(", "&amp;$B21&amp;", ", ", "&amp;INDEX('Form Responses'!$I$1:$Q$200,16,$A21)&amp;", ")),ISNUMBER(SEARCH(", "&amp;$B21&amp;", ", ", "&amp;INDEX('Form Responses'!$R$1:$R$200,16)&amp;", "))),1,""))</f>
        <v/>
      </c>
      <c r="S21">
        <f>IF(Wizards!$A$17="","",IF(OR(ISNUMBER(SEARCH(", "&amp;$B21&amp;", ", ", "&amp;INDEX('Form Responses'!$I$1:$Q$200,17,$A21)&amp;", ")),ISNUMBER(SEARCH(", "&amp;$B21&amp;", ", ", "&amp;INDEX('Form Responses'!$R$1:$R$200,17)&amp;", "))),1,""))</f>
        <v/>
      </c>
      <c r="T21">
        <f>IF(Wizards!$A$18="","",IF(OR(ISNUMBER(SEARCH(", "&amp;$B21&amp;", ", ", "&amp;INDEX('Form Responses'!$I$1:$Q$200,18,$A21)&amp;", ")),ISNUMBER(SEARCH(", "&amp;$B21&amp;", ", ", "&amp;INDEX('Form Responses'!$R$1:$R$200,18)&amp;", "))),1,""))</f>
        <v/>
      </c>
      <c r="U21">
        <f>IF(Wizards!$A$19="","",IF(OR(ISNUMBER(SEARCH(", "&amp;$B21&amp;", ", ", "&amp;INDEX('Form Responses'!$I$1:$Q$200,19,$A21)&amp;", ")),ISNUMBER(SEARCH(", "&amp;$B21&amp;", ", ", "&amp;INDEX('Form Responses'!$R$1:$R$200,19)&amp;", "))),1,""))</f>
        <v/>
      </c>
      <c r="V21">
        <f>IF(Wizards!$A$20="","",IF(OR(ISNUMBER(SEARCH(", "&amp;$B21&amp;", ", ", "&amp;INDEX('Form Responses'!$I$1:$Q$200,20,$A21)&amp;", ")),ISNUMBER(SEARCH(", "&amp;$B21&amp;", ", ", "&amp;INDEX('Form Responses'!$R$1:$R$200,20)&amp;", "))),1,""))</f>
        <v/>
      </c>
      <c r="W21">
        <f>IF(Wizards!$A$21="","",IF(OR(ISNUMBER(SEARCH(", "&amp;$B21&amp;", ", ", "&amp;INDEX('Form Responses'!$I$1:$Q$200,21,$A21)&amp;", ")),ISNUMBER(SEARCH(", "&amp;$B21&amp;", ", ", "&amp;INDEX('Form Responses'!$R$1:$R$200,21)&amp;", "))),1,""))</f>
        <v/>
      </c>
      <c r="X21">
        <f>IF(Wizards!$A$22="","",IF(OR(ISNUMBER(SEARCH(", "&amp;$B21&amp;", ", ", "&amp;INDEX('Form Responses'!$I$1:$Q$200,22,$A21)&amp;", ")),ISNUMBER(SEARCH(", "&amp;$B21&amp;", ", ", "&amp;INDEX('Form Responses'!$R$1:$R$200,22)&amp;", "))),1,""))</f>
        <v/>
      </c>
      <c r="Y21">
        <f>IF(Wizards!$A$23="","",IF(OR(ISNUMBER(SEARCH(", "&amp;$B21&amp;", ", ", "&amp;INDEX('Form Responses'!$I$1:$Q$200,23,$A21)&amp;", ")),ISNUMBER(SEARCH(", "&amp;$B21&amp;", ", ", "&amp;INDEX('Form Responses'!$R$1:$R$200,23)&amp;", "))),1,""))</f>
        <v/>
      </c>
      <c r="Z21">
        <f>IF(Wizards!$A$24="","",IF(OR(ISNUMBER(SEARCH(", "&amp;$B21&amp;", ", ", "&amp;INDEX('Form Responses'!$I$1:$Q$200,24,$A21)&amp;", ")),ISNUMBER(SEARCH(", "&amp;$B21&amp;", ", ", "&amp;INDEX('Form Responses'!$R$1:$R$200,24)&amp;", "))),1,""))</f>
        <v/>
      </c>
      <c r="AA21">
        <f>IF(Wizards!$A$25="","",IF(OR(ISNUMBER(SEARCH(", "&amp;$B21&amp;", ", ", "&amp;INDEX('Form Responses'!$I$1:$Q$200,25,$A21)&amp;", ")),ISNUMBER(SEARCH(", "&amp;$B21&amp;", ", ", "&amp;INDEX('Form Responses'!$R$1:$R$200,25)&amp;", "))),1,""))</f>
        <v/>
      </c>
      <c r="AB21">
        <f>IF(D21=1,", "&amp;D$1,"")</f>
        <v/>
      </c>
      <c r="AC21">
        <f>IF(E21=1,", "&amp;E$1,"")</f>
        <v/>
      </c>
      <c r="AD21">
        <f>IF(F21=1,", "&amp;F$1,"")</f>
        <v/>
      </c>
      <c r="AE21">
        <f>IF(G21=1,", "&amp;G$1,"")</f>
        <v/>
      </c>
      <c r="AF21">
        <f>IF(H21=1,", "&amp;H$1,"")</f>
        <v/>
      </c>
      <c r="AG21">
        <f>IF(I21=1,", "&amp;I$1,"")</f>
        <v/>
      </c>
      <c r="AH21">
        <f>IF(J21=1,", "&amp;J$1,"")</f>
        <v/>
      </c>
      <c r="AI21">
        <f>IF(K21=1,", "&amp;K$1,"")</f>
        <v/>
      </c>
      <c r="AJ21">
        <f>IF(L21=1,", "&amp;L$1,"")</f>
        <v/>
      </c>
      <c r="AK21">
        <f>IF(M21=1,", "&amp;M$1,"")</f>
        <v/>
      </c>
      <c r="AL21">
        <f>IF(N21=1,", "&amp;N$1,"")</f>
        <v/>
      </c>
      <c r="AM21">
        <f>IF(O21=1,", "&amp;O$1,"")</f>
        <v/>
      </c>
      <c r="AN21">
        <f>IF(P21=1,", "&amp;P$1,"")</f>
        <v/>
      </c>
      <c r="AO21">
        <f>IF(Q21=1,", "&amp;Q$1,"")</f>
        <v/>
      </c>
      <c r="AP21">
        <f>IF(R21=1,", "&amp;R$1,"")</f>
        <v/>
      </c>
      <c r="AQ21">
        <f>IF(S21=1,", "&amp;S$1,"")</f>
        <v/>
      </c>
      <c r="AR21">
        <f>IF(T21=1,", "&amp;T$1,"")</f>
        <v/>
      </c>
      <c r="AS21">
        <f>IF(U21=1,", "&amp;U$1,"")</f>
        <v/>
      </c>
      <c r="AT21">
        <f>IF(V21=1,", "&amp;V$1,"")</f>
        <v/>
      </c>
      <c r="AU21">
        <f>IF(W21=1,", "&amp;W$1,"")</f>
        <v/>
      </c>
      <c r="AV21">
        <f>IF(X21=1,", "&amp;X$1,"")</f>
        <v/>
      </c>
      <c r="AW21">
        <f>IF(Y21=1,", "&amp;Y$1,"")</f>
        <v/>
      </c>
      <c r="AX21">
        <f>IF(Z21=1,", "&amp;Z$1,"")</f>
        <v/>
      </c>
      <c r="AY21">
        <f>IF(AA21=1,", "&amp;AA$1,"")</f>
        <v/>
      </c>
      <c r="AZ21">
        <f>MID($AB21&amp;$AC21&amp;$AD21&amp;$AE21&amp;$AF21&amp;$AG21&amp;$AH21&amp;$AI21&amp;$AJ21&amp;$AK21&amp;$AL21&amp;$AM21&amp;$AN21&amp;$AO21&amp;$AP21&amp;$AQ21&amp;$AR21&amp;$AS21&amp;$AT21&amp;$AU21&amp;$AV21&amp;$AW21&amp;$AX21&amp;$AY21,3,32767)</f>
        <v/>
      </c>
      <c r="BA21">
        <f>COUNT($D21:$AA21)</f>
        <v/>
      </c>
    </row>
    <row r="22">
      <c r="A22" t="n">
        <v>1</v>
      </c>
      <c r="B22" t="inlineStr">
        <is>
          <t>Identify</t>
        </is>
      </c>
      <c r="C22" t="inlineStr">
        <is>
          <t>Divination</t>
        </is>
      </c>
      <c r="D22">
        <f>IF(Wizards!$A$2="","",IF(OR(ISNUMBER(SEARCH(", "&amp;$B22&amp;", ", ", "&amp;INDEX('Form Responses'!$I$1:$Q$200,2,$A22)&amp;", ")),ISNUMBER(SEARCH(", "&amp;$B22&amp;", ", ", "&amp;INDEX('Form Responses'!$R$1:$R$200,2)&amp;", "))),1,""))</f>
        <v/>
      </c>
      <c r="E22">
        <f>IF(Wizards!$A$3="","",IF(OR(ISNUMBER(SEARCH(", "&amp;$B22&amp;", ", ", "&amp;INDEX('Form Responses'!$I$1:$Q$200,3,$A22)&amp;", ")),ISNUMBER(SEARCH(", "&amp;$B22&amp;", ", ", "&amp;INDEX('Form Responses'!$R$1:$R$200,3)&amp;", "))),1,""))</f>
        <v/>
      </c>
      <c r="F22">
        <f>IF(Wizards!$A$4="","",IF(OR(ISNUMBER(SEARCH(", "&amp;$B22&amp;", ", ", "&amp;INDEX('Form Responses'!$I$1:$Q$200,4,$A22)&amp;", ")),ISNUMBER(SEARCH(", "&amp;$B22&amp;", ", ", "&amp;INDEX('Form Responses'!$R$1:$R$200,4)&amp;", "))),1,""))</f>
        <v/>
      </c>
      <c r="G22">
        <f>IF(Wizards!$A$5="","",IF(OR(ISNUMBER(SEARCH(", "&amp;$B22&amp;", ", ", "&amp;INDEX('Form Responses'!$I$1:$Q$200,5,$A22)&amp;", ")),ISNUMBER(SEARCH(", "&amp;$B22&amp;", ", ", "&amp;INDEX('Form Responses'!$R$1:$R$200,5)&amp;", "))),1,""))</f>
        <v/>
      </c>
      <c r="H22">
        <f>IF(Wizards!$A$6="","",IF(OR(ISNUMBER(SEARCH(", "&amp;$B22&amp;", ", ", "&amp;INDEX('Form Responses'!$I$1:$Q$200,6,$A22)&amp;", ")),ISNUMBER(SEARCH(", "&amp;$B22&amp;", ", ", "&amp;INDEX('Form Responses'!$R$1:$R$200,6)&amp;", "))),1,""))</f>
        <v/>
      </c>
      <c r="I22">
        <f>IF(Wizards!$A$7="","",IF(OR(ISNUMBER(SEARCH(", "&amp;$B22&amp;", ", ", "&amp;INDEX('Form Responses'!$I$1:$Q$200,7,$A22)&amp;", ")),ISNUMBER(SEARCH(", "&amp;$B22&amp;", ", ", "&amp;INDEX('Form Responses'!$R$1:$R$200,7)&amp;", "))),1,""))</f>
        <v/>
      </c>
      <c r="J22">
        <f>IF(Wizards!$A$8="","",IF(OR(ISNUMBER(SEARCH(", "&amp;$B22&amp;", ", ", "&amp;INDEX('Form Responses'!$I$1:$Q$200,8,$A22)&amp;", ")),ISNUMBER(SEARCH(", "&amp;$B22&amp;", ", ", "&amp;INDEX('Form Responses'!$R$1:$R$200,8)&amp;", "))),1,""))</f>
        <v/>
      </c>
      <c r="K22">
        <f>IF(Wizards!$A$9="","",IF(OR(ISNUMBER(SEARCH(", "&amp;$B22&amp;", ", ", "&amp;INDEX('Form Responses'!$I$1:$Q$200,9,$A22)&amp;", ")),ISNUMBER(SEARCH(", "&amp;$B22&amp;", ", ", "&amp;INDEX('Form Responses'!$R$1:$R$200,9)&amp;", "))),1,""))</f>
        <v/>
      </c>
      <c r="L22">
        <f>IF(Wizards!$A$10="","",IF(OR(ISNUMBER(SEARCH(", "&amp;$B22&amp;", ", ", "&amp;INDEX('Form Responses'!$I$1:$Q$200,10,$A22)&amp;", ")),ISNUMBER(SEARCH(", "&amp;$B22&amp;", ", ", "&amp;INDEX('Form Responses'!$R$1:$R$200,10)&amp;", "))),1,""))</f>
        <v/>
      </c>
      <c r="M22">
        <f>IF(Wizards!$A$11="","",IF(OR(ISNUMBER(SEARCH(", "&amp;$B22&amp;", ", ", "&amp;INDEX('Form Responses'!$I$1:$Q$200,11,$A22)&amp;", ")),ISNUMBER(SEARCH(", "&amp;$B22&amp;", ", ", "&amp;INDEX('Form Responses'!$R$1:$R$200,11)&amp;", "))),1,""))</f>
        <v/>
      </c>
      <c r="N22">
        <f>IF(Wizards!$A$12="","",IF(OR(ISNUMBER(SEARCH(", "&amp;$B22&amp;", ", ", "&amp;INDEX('Form Responses'!$I$1:$Q$200,12,$A22)&amp;", ")),ISNUMBER(SEARCH(", "&amp;$B22&amp;", ", ", "&amp;INDEX('Form Responses'!$R$1:$R$200,12)&amp;", "))),1,""))</f>
        <v/>
      </c>
      <c r="O22">
        <f>IF(Wizards!$A$13="","",IF(OR(ISNUMBER(SEARCH(", "&amp;$B22&amp;", ", ", "&amp;INDEX('Form Responses'!$I$1:$Q$200,13,$A22)&amp;", ")),ISNUMBER(SEARCH(", "&amp;$B22&amp;", ", ", "&amp;INDEX('Form Responses'!$R$1:$R$200,13)&amp;", "))),1,""))</f>
        <v/>
      </c>
      <c r="P22">
        <f>IF(Wizards!$A$14="","",IF(OR(ISNUMBER(SEARCH(", "&amp;$B22&amp;", ", ", "&amp;INDEX('Form Responses'!$I$1:$Q$200,14,$A22)&amp;", ")),ISNUMBER(SEARCH(", "&amp;$B22&amp;", ", ", "&amp;INDEX('Form Responses'!$R$1:$R$200,14)&amp;", "))),1,""))</f>
        <v/>
      </c>
      <c r="Q22">
        <f>IF(Wizards!$A$15="","",IF(OR(ISNUMBER(SEARCH(", "&amp;$B22&amp;", ", ", "&amp;INDEX('Form Responses'!$I$1:$Q$200,15,$A22)&amp;", ")),ISNUMBER(SEARCH(", "&amp;$B22&amp;", ", ", "&amp;INDEX('Form Responses'!$R$1:$R$200,15)&amp;", "))),1,""))</f>
        <v/>
      </c>
      <c r="R22">
        <f>IF(Wizards!$A$16="","",IF(OR(ISNUMBER(SEARCH(", "&amp;$B22&amp;", ", ", "&amp;INDEX('Form Responses'!$I$1:$Q$200,16,$A22)&amp;", ")),ISNUMBER(SEARCH(", "&amp;$B22&amp;", ", ", "&amp;INDEX('Form Responses'!$R$1:$R$200,16)&amp;", "))),1,""))</f>
        <v/>
      </c>
      <c r="S22">
        <f>IF(Wizards!$A$17="","",IF(OR(ISNUMBER(SEARCH(", "&amp;$B22&amp;", ", ", "&amp;INDEX('Form Responses'!$I$1:$Q$200,17,$A22)&amp;", ")),ISNUMBER(SEARCH(", "&amp;$B22&amp;", ", ", "&amp;INDEX('Form Responses'!$R$1:$R$200,17)&amp;", "))),1,""))</f>
        <v/>
      </c>
      <c r="T22">
        <f>IF(Wizards!$A$18="","",IF(OR(ISNUMBER(SEARCH(", "&amp;$B22&amp;", ", ", "&amp;INDEX('Form Responses'!$I$1:$Q$200,18,$A22)&amp;", ")),ISNUMBER(SEARCH(", "&amp;$B22&amp;", ", ", "&amp;INDEX('Form Responses'!$R$1:$R$200,18)&amp;", "))),1,""))</f>
        <v/>
      </c>
      <c r="U22">
        <f>IF(Wizards!$A$19="","",IF(OR(ISNUMBER(SEARCH(", "&amp;$B22&amp;", ", ", "&amp;INDEX('Form Responses'!$I$1:$Q$200,19,$A22)&amp;", ")),ISNUMBER(SEARCH(", "&amp;$B22&amp;", ", ", "&amp;INDEX('Form Responses'!$R$1:$R$200,19)&amp;", "))),1,""))</f>
        <v/>
      </c>
      <c r="V22">
        <f>IF(Wizards!$A$20="","",IF(OR(ISNUMBER(SEARCH(", "&amp;$B22&amp;", ", ", "&amp;INDEX('Form Responses'!$I$1:$Q$200,20,$A22)&amp;", ")),ISNUMBER(SEARCH(", "&amp;$B22&amp;", ", ", "&amp;INDEX('Form Responses'!$R$1:$R$200,20)&amp;", "))),1,""))</f>
        <v/>
      </c>
      <c r="W22">
        <f>IF(Wizards!$A$21="","",IF(OR(ISNUMBER(SEARCH(", "&amp;$B22&amp;", ", ", "&amp;INDEX('Form Responses'!$I$1:$Q$200,21,$A22)&amp;", ")),ISNUMBER(SEARCH(", "&amp;$B22&amp;", ", ", "&amp;INDEX('Form Responses'!$R$1:$R$200,21)&amp;", "))),1,""))</f>
        <v/>
      </c>
      <c r="X22">
        <f>IF(Wizards!$A$22="","",IF(OR(ISNUMBER(SEARCH(", "&amp;$B22&amp;", ", ", "&amp;INDEX('Form Responses'!$I$1:$Q$200,22,$A22)&amp;", ")),ISNUMBER(SEARCH(", "&amp;$B22&amp;", ", ", "&amp;INDEX('Form Responses'!$R$1:$R$200,22)&amp;", "))),1,""))</f>
        <v/>
      </c>
      <c r="Y22">
        <f>IF(Wizards!$A$23="","",IF(OR(ISNUMBER(SEARCH(", "&amp;$B22&amp;", ", ", "&amp;INDEX('Form Responses'!$I$1:$Q$200,23,$A22)&amp;", ")),ISNUMBER(SEARCH(", "&amp;$B22&amp;", ", ", "&amp;INDEX('Form Responses'!$R$1:$R$200,23)&amp;", "))),1,""))</f>
        <v/>
      </c>
      <c r="Z22">
        <f>IF(Wizards!$A$24="","",IF(OR(ISNUMBER(SEARCH(", "&amp;$B22&amp;", ", ", "&amp;INDEX('Form Responses'!$I$1:$Q$200,24,$A22)&amp;", ")),ISNUMBER(SEARCH(", "&amp;$B22&amp;", ", ", "&amp;INDEX('Form Responses'!$R$1:$R$200,24)&amp;", "))),1,""))</f>
        <v/>
      </c>
      <c r="AA22">
        <f>IF(Wizards!$A$25="","",IF(OR(ISNUMBER(SEARCH(", "&amp;$B22&amp;", ", ", "&amp;INDEX('Form Responses'!$I$1:$Q$200,25,$A22)&amp;", ")),ISNUMBER(SEARCH(", "&amp;$B22&amp;", ", ", "&amp;INDEX('Form Responses'!$R$1:$R$200,25)&amp;", "))),1,""))</f>
        <v/>
      </c>
      <c r="AB22">
        <f>IF(D22=1,", "&amp;D$1,"")</f>
        <v/>
      </c>
      <c r="AC22">
        <f>IF(E22=1,", "&amp;E$1,"")</f>
        <v/>
      </c>
      <c r="AD22">
        <f>IF(F22=1,", "&amp;F$1,"")</f>
        <v/>
      </c>
      <c r="AE22">
        <f>IF(G22=1,", "&amp;G$1,"")</f>
        <v/>
      </c>
      <c r="AF22">
        <f>IF(H22=1,", "&amp;H$1,"")</f>
        <v/>
      </c>
      <c r="AG22">
        <f>IF(I22=1,", "&amp;I$1,"")</f>
        <v/>
      </c>
      <c r="AH22">
        <f>IF(J22=1,", "&amp;J$1,"")</f>
        <v/>
      </c>
      <c r="AI22">
        <f>IF(K22=1,", "&amp;K$1,"")</f>
        <v/>
      </c>
      <c r="AJ22">
        <f>IF(L22=1,", "&amp;L$1,"")</f>
        <v/>
      </c>
      <c r="AK22">
        <f>IF(M22=1,", "&amp;M$1,"")</f>
        <v/>
      </c>
      <c r="AL22">
        <f>IF(N22=1,", "&amp;N$1,"")</f>
        <v/>
      </c>
      <c r="AM22">
        <f>IF(O22=1,", "&amp;O$1,"")</f>
        <v/>
      </c>
      <c r="AN22">
        <f>IF(P22=1,", "&amp;P$1,"")</f>
        <v/>
      </c>
      <c r="AO22">
        <f>IF(Q22=1,", "&amp;Q$1,"")</f>
        <v/>
      </c>
      <c r="AP22">
        <f>IF(R22=1,", "&amp;R$1,"")</f>
        <v/>
      </c>
      <c r="AQ22">
        <f>IF(S22=1,", "&amp;S$1,"")</f>
        <v/>
      </c>
      <c r="AR22">
        <f>IF(T22=1,", "&amp;T$1,"")</f>
        <v/>
      </c>
      <c r="AS22">
        <f>IF(U22=1,", "&amp;U$1,"")</f>
        <v/>
      </c>
      <c r="AT22">
        <f>IF(V22=1,", "&amp;V$1,"")</f>
        <v/>
      </c>
      <c r="AU22">
        <f>IF(W22=1,", "&amp;W$1,"")</f>
        <v/>
      </c>
      <c r="AV22">
        <f>IF(X22=1,", "&amp;X$1,"")</f>
        <v/>
      </c>
      <c r="AW22">
        <f>IF(Y22=1,", "&amp;Y$1,"")</f>
        <v/>
      </c>
      <c r="AX22">
        <f>IF(Z22=1,", "&amp;Z$1,"")</f>
        <v/>
      </c>
      <c r="AY22">
        <f>IF(AA22=1,", "&amp;AA$1,"")</f>
        <v/>
      </c>
      <c r="AZ22">
        <f>MID($AB22&amp;$AC22&amp;$AD22&amp;$AE22&amp;$AF22&amp;$AG22&amp;$AH22&amp;$AI22&amp;$AJ22&amp;$AK22&amp;$AL22&amp;$AM22&amp;$AN22&amp;$AO22&amp;$AP22&amp;$AQ22&amp;$AR22&amp;$AS22&amp;$AT22&amp;$AU22&amp;$AV22&amp;$AW22&amp;$AX22&amp;$AY22,3,32767)</f>
        <v/>
      </c>
      <c r="BA22">
        <f>COUNT($D22:$AA22)</f>
        <v/>
      </c>
    </row>
    <row r="23">
      <c r="A23" t="n">
        <v>1</v>
      </c>
      <c r="B23" t="inlineStr">
        <is>
          <t>Illusory Script</t>
        </is>
      </c>
      <c r="C23" t="inlineStr">
        <is>
          <t>Illusion</t>
        </is>
      </c>
      <c r="D23">
        <f>IF(Wizards!$A$2="","",IF(OR(ISNUMBER(SEARCH(", "&amp;$B23&amp;", ", ", "&amp;INDEX('Form Responses'!$I$1:$Q$200,2,$A23)&amp;", ")),ISNUMBER(SEARCH(", "&amp;$B23&amp;", ", ", "&amp;INDEX('Form Responses'!$R$1:$R$200,2)&amp;", "))),1,""))</f>
        <v/>
      </c>
      <c r="E23">
        <f>IF(Wizards!$A$3="","",IF(OR(ISNUMBER(SEARCH(", "&amp;$B23&amp;", ", ", "&amp;INDEX('Form Responses'!$I$1:$Q$200,3,$A23)&amp;", ")),ISNUMBER(SEARCH(", "&amp;$B23&amp;", ", ", "&amp;INDEX('Form Responses'!$R$1:$R$200,3)&amp;", "))),1,""))</f>
        <v/>
      </c>
      <c r="F23">
        <f>IF(Wizards!$A$4="","",IF(OR(ISNUMBER(SEARCH(", "&amp;$B23&amp;", ", ", "&amp;INDEX('Form Responses'!$I$1:$Q$200,4,$A23)&amp;", ")),ISNUMBER(SEARCH(", "&amp;$B23&amp;", ", ", "&amp;INDEX('Form Responses'!$R$1:$R$200,4)&amp;", "))),1,""))</f>
        <v/>
      </c>
      <c r="G23">
        <f>IF(Wizards!$A$5="","",IF(OR(ISNUMBER(SEARCH(", "&amp;$B23&amp;", ", ", "&amp;INDEX('Form Responses'!$I$1:$Q$200,5,$A23)&amp;", ")),ISNUMBER(SEARCH(", "&amp;$B23&amp;", ", ", "&amp;INDEX('Form Responses'!$R$1:$R$200,5)&amp;", "))),1,""))</f>
        <v/>
      </c>
      <c r="H23">
        <f>IF(Wizards!$A$6="","",IF(OR(ISNUMBER(SEARCH(", "&amp;$B23&amp;", ", ", "&amp;INDEX('Form Responses'!$I$1:$Q$200,6,$A23)&amp;", ")),ISNUMBER(SEARCH(", "&amp;$B23&amp;", ", ", "&amp;INDEX('Form Responses'!$R$1:$R$200,6)&amp;", "))),1,""))</f>
        <v/>
      </c>
      <c r="I23">
        <f>IF(Wizards!$A$7="","",IF(OR(ISNUMBER(SEARCH(", "&amp;$B23&amp;", ", ", "&amp;INDEX('Form Responses'!$I$1:$Q$200,7,$A23)&amp;", ")),ISNUMBER(SEARCH(", "&amp;$B23&amp;", ", ", "&amp;INDEX('Form Responses'!$R$1:$R$200,7)&amp;", "))),1,""))</f>
        <v/>
      </c>
      <c r="J23">
        <f>IF(Wizards!$A$8="","",IF(OR(ISNUMBER(SEARCH(", "&amp;$B23&amp;", ", ", "&amp;INDEX('Form Responses'!$I$1:$Q$200,8,$A23)&amp;", ")),ISNUMBER(SEARCH(", "&amp;$B23&amp;", ", ", "&amp;INDEX('Form Responses'!$R$1:$R$200,8)&amp;", "))),1,""))</f>
        <v/>
      </c>
      <c r="K23">
        <f>IF(Wizards!$A$9="","",IF(OR(ISNUMBER(SEARCH(", "&amp;$B23&amp;", ", ", "&amp;INDEX('Form Responses'!$I$1:$Q$200,9,$A23)&amp;", ")),ISNUMBER(SEARCH(", "&amp;$B23&amp;", ", ", "&amp;INDEX('Form Responses'!$R$1:$R$200,9)&amp;", "))),1,""))</f>
        <v/>
      </c>
      <c r="L23">
        <f>IF(Wizards!$A$10="","",IF(OR(ISNUMBER(SEARCH(", "&amp;$B23&amp;", ", ", "&amp;INDEX('Form Responses'!$I$1:$Q$200,10,$A23)&amp;", ")),ISNUMBER(SEARCH(", "&amp;$B23&amp;", ", ", "&amp;INDEX('Form Responses'!$R$1:$R$200,10)&amp;", "))),1,""))</f>
        <v/>
      </c>
      <c r="M23">
        <f>IF(Wizards!$A$11="","",IF(OR(ISNUMBER(SEARCH(", "&amp;$B23&amp;", ", ", "&amp;INDEX('Form Responses'!$I$1:$Q$200,11,$A23)&amp;", ")),ISNUMBER(SEARCH(", "&amp;$B23&amp;", ", ", "&amp;INDEX('Form Responses'!$R$1:$R$200,11)&amp;", "))),1,""))</f>
        <v/>
      </c>
      <c r="N23">
        <f>IF(Wizards!$A$12="","",IF(OR(ISNUMBER(SEARCH(", "&amp;$B23&amp;", ", ", "&amp;INDEX('Form Responses'!$I$1:$Q$200,12,$A23)&amp;", ")),ISNUMBER(SEARCH(", "&amp;$B23&amp;", ", ", "&amp;INDEX('Form Responses'!$R$1:$R$200,12)&amp;", "))),1,""))</f>
        <v/>
      </c>
      <c r="O23">
        <f>IF(Wizards!$A$13="","",IF(OR(ISNUMBER(SEARCH(", "&amp;$B23&amp;", ", ", "&amp;INDEX('Form Responses'!$I$1:$Q$200,13,$A23)&amp;", ")),ISNUMBER(SEARCH(", "&amp;$B23&amp;", ", ", "&amp;INDEX('Form Responses'!$R$1:$R$200,13)&amp;", "))),1,""))</f>
        <v/>
      </c>
      <c r="P23">
        <f>IF(Wizards!$A$14="","",IF(OR(ISNUMBER(SEARCH(", "&amp;$B23&amp;", ", ", "&amp;INDEX('Form Responses'!$I$1:$Q$200,14,$A23)&amp;", ")),ISNUMBER(SEARCH(", "&amp;$B23&amp;", ", ", "&amp;INDEX('Form Responses'!$R$1:$R$200,14)&amp;", "))),1,""))</f>
        <v/>
      </c>
      <c r="Q23">
        <f>IF(Wizards!$A$15="","",IF(OR(ISNUMBER(SEARCH(", "&amp;$B23&amp;", ", ", "&amp;INDEX('Form Responses'!$I$1:$Q$200,15,$A23)&amp;", ")),ISNUMBER(SEARCH(", "&amp;$B23&amp;", ", ", "&amp;INDEX('Form Responses'!$R$1:$R$200,15)&amp;", "))),1,""))</f>
        <v/>
      </c>
      <c r="R23">
        <f>IF(Wizards!$A$16="","",IF(OR(ISNUMBER(SEARCH(", "&amp;$B23&amp;", ", ", "&amp;INDEX('Form Responses'!$I$1:$Q$200,16,$A23)&amp;", ")),ISNUMBER(SEARCH(", "&amp;$B23&amp;", ", ", "&amp;INDEX('Form Responses'!$R$1:$R$200,16)&amp;", "))),1,""))</f>
        <v/>
      </c>
      <c r="S23">
        <f>IF(Wizards!$A$17="","",IF(OR(ISNUMBER(SEARCH(", "&amp;$B23&amp;", ", ", "&amp;INDEX('Form Responses'!$I$1:$Q$200,17,$A23)&amp;", ")),ISNUMBER(SEARCH(", "&amp;$B23&amp;", ", ", "&amp;INDEX('Form Responses'!$R$1:$R$200,17)&amp;", "))),1,""))</f>
        <v/>
      </c>
      <c r="T23">
        <f>IF(Wizards!$A$18="","",IF(OR(ISNUMBER(SEARCH(", "&amp;$B23&amp;", ", ", "&amp;INDEX('Form Responses'!$I$1:$Q$200,18,$A23)&amp;", ")),ISNUMBER(SEARCH(", "&amp;$B23&amp;", ", ", "&amp;INDEX('Form Responses'!$R$1:$R$200,18)&amp;", "))),1,""))</f>
        <v/>
      </c>
      <c r="U23">
        <f>IF(Wizards!$A$19="","",IF(OR(ISNUMBER(SEARCH(", "&amp;$B23&amp;", ", ", "&amp;INDEX('Form Responses'!$I$1:$Q$200,19,$A23)&amp;", ")),ISNUMBER(SEARCH(", "&amp;$B23&amp;", ", ", "&amp;INDEX('Form Responses'!$R$1:$R$200,19)&amp;", "))),1,""))</f>
        <v/>
      </c>
      <c r="V23">
        <f>IF(Wizards!$A$20="","",IF(OR(ISNUMBER(SEARCH(", "&amp;$B23&amp;", ", ", "&amp;INDEX('Form Responses'!$I$1:$Q$200,20,$A23)&amp;", ")),ISNUMBER(SEARCH(", "&amp;$B23&amp;", ", ", "&amp;INDEX('Form Responses'!$R$1:$R$200,20)&amp;", "))),1,""))</f>
        <v/>
      </c>
      <c r="W23">
        <f>IF(Wizards!$A$21="","",IF(OR(ISNUMBER(SEARCH(", "&amp;$B23&amp;", ", ", "&amp;INDEX('Form Responses'!$I$1:$Q$200,21,$A23)&amp;", ")),ISNUMBER(SEARCH(", "&amp;$B23&amp;", ", ", "&amp;INDEX('Form Responses'!$R$1:$R$200,21)&amp;", "))),1,""))</f>
        <v/>
      </c>
      <c r="X23">
        <f>IF(Wizards!$A$22="","",IF(OR(ISNUMBER(SEARCH(", "&amp;$B23&amp;", ", ", "&amp;INDEX('Form Responses'!$I$1:$Q$200,22,$A23)&amp;", ")),ISNUMBER(SEARCH(", "&amp;$B23&amp;", ", ", "&amp;INDEX('Form Responses'!$R$1:$R$200,22)&amp;", "))),1,""))</f>
        <v/>
      </c>
      <c r="Y23">
        <f>IF(Wizards!$A$23="","",IF(OR(ISNUMBER(SEARCH(", "&amp;$B23&amp;", ", ", "&amp;INDEX('Form Responses'!$I$1:$Q$200,23,$A23)&amp;", ")),ISNUMBER(SEARCH(", "&amp;$B23&amp;", ", ", "&amp;INDEX('Form Responses'!$R$1:$R$200,23)&amp;", "))),1,""))</f>
        <v/>
      </c>
      <c r="Z23">
        <f>IF(Wizards!$A$24="","",IF(OR(ISNUMBER(SEARCH(", "&amp;$B23&amp;", ", ", "&amp;INDEX('Form Responses'!$I$1:$Q$200,24,$A23)&amp;", ")),ISNUMBER(SEARCH(", "&amp;$B23&amp;", ", ", "&amp;INDEX('Form Responses'!$R$1:$R$200,24)&amp;", "))),1,""))</f>
        <v/>
      </c>
      <c r="AA23">
        <f>IF(Wizards!$A$25="","",IF(OR(ISNUMBER(SEARCH(", "&amp;$B23&amp;", ", ", "&amp;INDEX('Form Responses'!$I$1:$Q$200,25,$A23)&amp;", ")),ISNUMBER(SEARCH(", "&amp;$B23&amp;", ", ", "&amp;INDEX('Form Responses'!$R$1:$R$200,25)&amp;", "))),1,""))</f>
        <v/>
      </c>
      <c r="AB23">
        <f>IF(D23=1,", "&amp;D$1,"")</f>
        <v/>
      </c>
      <c r="AC23">
        <f>IF(E23=1,", "&amp;E$1,"")</f>
        <v/>
      </c>
      <c r="AD23">
        <f>IF(F23=1,", "&amp;F$1,"")</f>
        <v/>
      </c>
      <c r="AE23">
        <f>IF(G23=1,", "&amp;G$1,"")</f>
        <v/>
      </c>
      <c r="AF23">
        <f>IF(H23=1,", "&amp;H$1,"")</f>
        <v/>
      </c>
      <c r="AG23">
        <f>IF(I23=1,", "&amp;I$1,"")</f>
        <v/>
      </c>
      <c r="AH23">
        <f>IF(J23=1,", "&amp;J$1,"")</f>
        <v/>
      </c>
      <c r="AI23">
        <f>IF(K23=1,", "&amp;K$1,"")</f>
        <v/>
      </c>
      <c r="AJ23">
        <f>IF(L23=1,", "&amp;L$1,"")</f>
        <v/>
      </c>
      <c r="AK23">
        <f>IF(M23=1,", "&amp;M$1,"")</f>
        <v/>
      </c>
      <c r="AL23">
        <f>IF(N23=1,", "&amp;N$1,"")</f>
        <v/>
      </c>
      <c r="AM23">
        <f>IF(O23=1,", "&amp;O$1,"")</f>
        <v/>
      </c>
      <c r="AN23">
        <f>IF(P23=1,", "&amp;P$1,"")</f>
        <v/>
      </c>
      <c r="AO23">
        <f>IF(Q23=1,", "&amp;Q$1,"")</f>
        <v/>
      </c>
      <c r="AP23">
        <f>IF(R23=1,", "&amp;R$1,"")</f>
        <v/>
      </c>
      <c r="AQ23">
        <f>IF(S23=1,", "&amp;S$1,"")</f>
        <v/>
      </c>
      <c r="AR23">
        <f>IF(T23=1,", "&amp;T$1,"")</f>
        <v/>
      </c>
      <c r="AS23">
        <f>IF(U23=1,", "&amp;U$1,"")</f>
        <v/>
      </c>
      <c r="AT23">
        <f>IF(V23=1,", "&amp;V$1,"")</f>
        <v/>
      </c>
      <c r="AU23">
        <f>IF(W23=1,", "&amp;W$1,"")</f>
        <v/>
      </c>
      <c r="AV23">
        <f>IF(X23=1,", "&amp;X$1,"")</f>
        <v/>
      </c>
      <c r="AW23">
        <f>IF(Y23=1,", "&amp;Y$1,"")</f>
        <v/>
      </c>
      <c r="AX23">
        <f>IF(Z23=1,", "&amp;Z$1,"")</f>
        <v/>
      </c>
      <c r="AY23">
        <f>IF(AA23=1,", "&amp;AA$1,"")</f>
        <v/>
      </c>
      <c r="AZ23">
        <f>MID($AB23&amp;$AC23&amp;$AD23&amp;$AE23&amp;$AF23&amp;$AG23&amp;$AH23&amp;$AI23&amp;$AJ23&amp;$AK23&amp;$AL23&amp;$AM23&amp;$AN23&amp;$AO23&amp;$AP23&amp;$AQ23&amp;$AR23&amp;$AS23&amp;$AT23&amp;$AU23&amp;$AV23&amp;$AW23&amp;$AX23&amp;$AY23,3,32767)</f>
        <v/>
      </c>
      <c r="BA23">
        <f>COUNT($D23:$AA23)</f>
        <v/>
      </c>
    </row>
    <row r="24">
      <c r="A24" t="n">
        <v>1</v>
      </c>
      <c r="B24" t="inlineStr">
        <is>
          <t>Jump</t>
        </is>
      </c>
      <c r="C24" t="inlineStr">
        <is>
          <t>Transmutation</t>
        </is>
      </c>
      <c r="D24">
        <f>IF(Wizards!$A$2="","",IF(OR(ISNUMBER(SEARCH(", "&amp;$B24&amp;", ", ", "&amp;INDEX('Form Responses'!$I$1:$Q$200,2,$A24)&amp;", ")),ISNUMBER(SEARCH(", "&amp;$B24&amp;", ", ", "&amp;INDEX('Form Responses'!$R$1:$R$200,2)&amp;", "))),1,""))</f>
        <v/>
      </c>
      <c r="E24">
        <f>IF(Wizards!$A$3="","",IF(OR(ISNUMBER(SEARCH(", "&amp;$B24&amp;", ", ", "&amp;INDEX('Form Responses'!$I$1:$Q$200,3,$A24)&amp;", ")),ISNUMBER(SEARCH(", "&amp;$B24&amp;", ", ", "&amp;INDEX('Form Responses'!$R$1:$R$200,3)&amp;", "))),1,""))</f>
        <v/>
      </c>
      <c r="F24">
        <f>IF(Wizards!$A$4="","",IF(OR(ISNUMBER(SEARCH(", "&amp;$B24&amp;", ", ", "&amp;INDEX('Form Responses'!$I$1:$Q$200,4,$A24)&amp;", ")),ISNUMBER(SEARCH(", "&amp;$B24&amp;", ", ", "&amp;INDEX('Form Responses'!$R$1:$R$200,4)&amp;", "))),1,""))</f>
        <v/>
      </c>
      <c r="G24">
        <f>IF(Wizards!$A$5="","",IF(OR(ISNUMBER(SEARCH(", "&amp;$B24&amp;", ", ", "&amp;INDEX('Form Responses'!$I$1:$Q$200,5,$A24)&amp;", ")),ISNUMBER(SEARCH(", "&amp;$B24&amp;", ", ", "&amp;INDEX('Form Responses'!$R$1:$R$200,5)&amp;", "))),1,""))</f>
        <v/>
      </c>
      <c r="H24">
        <f>IF(Wizards!$A$6="","",IF(OR(ISNUMBER(SEARCH(", "&amp;$B24&amp;", ", ", "&amp;INDEX('Form Responses'!$I$1:$Q$200,6,$A24)&amp;", ")),ISNUMBER(SEARCH(", "&amp;$B24&amp;", ", ", "&amp;INDEX('Form Responses'!$R$1:$R$200,6)&amp;", "))),1,""))</f>
        <v/>
      </c>
      <c r="I24">
        <f>IF(Wizards!$A$7="","",IF(OR(ISNUMBER(SEARCH(", "&amp;$B24&amp;", ", ", "&amp;INDEX('Form Responses'!$I$1:$Q$200,7,$A24)&amp;", ")),ISNUMBER(SEARCH(", "&amp;$B24&amp;", ", ", "&amp;INDEX('Form Responses'!$R$1:$R$200,7)&amp;", "))),1,""))</f>
        <v/>
      </c>
      <c r="J24">
        <f>IF(Wizards!$A$8="","",IF(OR(ISNUMBER(SEARCH(", "&amp;$B24&amp;", ", ", "&amp;INDEX('Form Responses'!$I$1:$Q$200,8,$A24)&amp;", ")),ISNUMBER(SEARCH(", "&amp;$B24&amp;", ", ", "&amp;INDEX('Form Responses'!$R$1:$R$200,8)&amp;", "))),1,""))</f>
        <v/>
      </c>
      <c r="K24">
        <f>IF(Wizards!$A$9="","",IF(OR(ISNUMBER(SEARCH(", "&amp;$B24&amp;", ", ", "&amp;INDEX('Form Responses'!$I$1:$Q$200,9,$A24)&amp;", ")),ISNUMBER(SEARCH(", "&amp;$B24&amp;", ", ", "&amp;INDEX('Form Responses'!$R$1:$R$200,9)&amp;", "))),1,""))</f>
        <v/>
      </c>
      <c r="L24">
        <f>IF(Wizards!$A$10="","",IF(OR(ISNUMBER(SEARCH(", "&amp;$B24&amp;", ", ", "&amp;INDEX('Form Responses'!$I$1:$Q$200,10,$A24)&amp;", ")),ISNUMBER(SEARCH(", "&amp;$B24&amp;", ", ", "&amp;INDEX('Form Responses'!$R$1:$R$200,10)&amp;", "))),1,""))</f>
        <v/>
      </c>
      <c r="M24">
        <f>IF(Wizards!$A$11="","",IF(OR(ISNUMBER(SEARCH(", "&amp;$B24&amp;", ", ", "&amp;INDEX('Form Responses'!$I$1:$Q$200,11,$A24)&amp;", ")),ISNUMBER(SEARCH(", "&amp;$B24&amp;", ", ", "&amp;INDEX('Form Responses'!$R$1:$R$200,11)&amp;", "))),1,""))</f>
        <v/>
      </c>
      <c r="N24">
        <f>IF(Wizards!$A$12="","",IF(OR(ISNUMBER(SEARCH(", "&amp;$B24&amp;", ", ", "&amp;INDEX('Form Responses'!$I$1:$Q$200,12,$A24)&amp;", ")),ISNUMBER(SEARCH(", "&amp;$B24&amp;", ", ", "&amp;INDEX('Form Responses'!$R$1:$R$200,12)&amp;", "))),1,""))</f>
        <v/>
      </c>
      <c r="O24">
        <f>IF(Wizards!$A$13="","",IF(OR(ISNUMBER(SEARCH(", "&amp;$B24&amp;", ", ", "&amp;INDEX('Form Responses'!$I$1:$Q$200,13,$A24)&amp;", ")),ISNUMBER(SEARCH(", "&amp;$B24&amp;", ", ", "&amp;INDEX('Form Responses'!$R$1:$R$200,13)&amp;", "))),1,""))</f>
        <v/>
      </c>
      <c r="P24">
        <f>IF(Wizards!$A$14="","",IF(OR(ISNUMBER(SEARCH(", "&amp;$B24&amp;", ", ", "&amp;INDEX('Form Responses'!$I$1:$Q$200,14,$A24)&amp;", ")),ISNUMBER(SEARCH(", "&amp;$B24&amp;", ", ", "&amp;INDEX('Form Responses'!$R$1:$R$200,14)&amp;", "))),1,""))</f>
        <v/>
      </c>
      <c r="Q24">
        <f>IF(Wizards!$A$15="","",IF(OR(ISNUMBER(SEARCH(", "&amp;$B24&amp;", ", ", "&amp;INDEX('Form Responses'!$I$1:$Q$200,15,$A24)&amp;", ")),ISNUMBER(SEARCH(", "&amp;$B24&amp;", ", ", "&amp;INDEX('Form Responses'!$R$1:$R$200,15)&amp;", "))),1,""))</f>
        <v/>
      </c>
      <c r="R24">
        <f>IF(Wizards!$A$16="","",IF(OR(ISNUMBER(SEARCH(", "&amp;$B24&amp;", ", ", "&amp;INDEX('Form Responses'!$I$1:$Q$200,16,$A24)&amp;", ")),ISNUMBER(SEARCH(", "&amp;$B24&amp;", ", ", "&amp;INDEX('Form Responses'!$R$1:$R$200,16)&amp;", "))),1,""))</f>
        <v/>
      </c>
      <c r="S24">
        <f>IF(Wizards!$A$17="","",IF(OR(ISNUMBER(SEARCH(", "&amp;$B24&amp;", ", ", "&amp;INDEX('Form Responses'!$I$1:$Q$200,17,$A24)&amp;", ")),ISNUMBER(SEARCH(", "&amp;$B24&amp;", ", ", "&amp;INDEX('Form Responses'!$R$1:$R$200,17)&amp;", "))),1,""))</f>
        <v/>
      </c>
      <c r="T24">
        <f>IF(Wizards!$A$18="","",IF(OR(ISNUMBER(SEARCH(", "&amp;$B24&amp;", ", ", "&amp;INDEX('Form Responses'!$I$1:$Q$200,18,$A24)&amp;", ")),ISNUMBER(SEARCH(", "&amp;$B24&amp;", ", ", "&amp;INDEX('Form Responses'!$R$1:$R$200,18)&amp;", "))),1,""))</f>
        <v/>
      </c>
      <c r="U24">
        <f>IF(Wizards!$A$19="","",IF(OR(ISNUMBER(SEARCH(", "&amp;$B24&amp;", ", ", "&amp;INDEX('Form Responses'!$I$1:$Q$200,19,$A24)&amp;", ")),ISNUMBER(SEARCH(", "&amp;$B24&amp;", ", ", "&amp;INDEX('Form Responses'!$R$1:$R$200,19)&amp;", "))),1,""))</f>
        <v/>
      </c>
      <c r="V24">
        <f>IF(Wizards!$A$20="","",IF(OR(ISNUMBER(SEARCH(", "&amp;$B24&amp;", ", ", "&amp;INDEX('Form Responses'!$I$1:$Q$200,20,$A24)&amp;", ")),ISNUMBER(SEARCH(", "&amp;$B24&amp;", ", ", "&amp;INDEX('Form Responses'!$R$1:$R$200,20)&amp;", "))),1,""))</f>
        <v/>
      </c>
      <c r="W24">
        <f>IF(Wizards!$A$21="","",IF(OR(ISNUMBER(SEARCH(", "&amp;$B24&amp;", ", ", "&amp;INDEX('Form Responses'!$I$1:$Q$200,21,$A24)&amp;", ")),ISNUMBER(SEARCH(", "&amp;$B24&amp;", ", ", "&amp;INDEX('Form Responses'!$R$1:$R$200,21)&amp;", "))),1,""))</f>
        <v/>
      </c>
      <c r="X24">
        <f>IF(Wizards!$A$22="","",IF(OR(ISNUMBER(SEARCH(", "&amp;$B24&amp;", ", ", "&amp;INDEX('Form Responses'!$I$1:$Q$200,22,$A24)&amp;", ")),ISNUMBER(SEARCH(", "&amp;$B24&amp;", ", ", "&amp;INDEX('Form Responses'!$R$1:$R$200,22)&amp;", "))),1,""))</f>
        <v/>
      </c>
      <c r="Y24">
        <f>IF(Wizards!$A$23="","",IF(OR(ISNUMBER(SEARCH(", "&amp;$B24&amp;", ", ", "&amp;INDEX('Form Responses'!$I$1:$Q$200,23,$A24)&amp;", ")),ISNUMBER(SEARCH(", "&amp;$B24&amp;", ", ", "&amp;INDEX('Form Responses'!$R$1:$R$200,23)&amp;", "))),1,""))</f>
        <v/>
      </c>
      <c r="Z24">
        <f>IF(Wizards!$A$24="","",IF(OR(ISNUMBER(SEARCH(", "&amp;$B24&amp;", ", ", "&amp;INDEX('Form Responses'!$I$1:$Q$200,24,$A24)&amp;", ")),ISNUMBER(SEARCH(", "&amp;$B24&amp;", ", ", "&amp;INDEX('Form Responses'!$R$1:$R$200,24)&amp;", "))),1,""))</f>
        <v/>
      </c>
      <c r="AA24">
        <f>IF(Wizards!$A$25="","",IF(OR(ISNUMBER(SEARCH(", "&amp;$B24&amp;", ", ", "&amp;INDEX('Form Responses'!$I$1:$Q$200,25,$A24)&amp;", ")),ISNUMBER(SEARCH(", "&amp;$B24&amp;", ", ", "&amp;INDEX('Form Responses'!$R$1:$R$200,25)&amp;", "))),1,""))</f>
        <v/>
      </c>
      <c r="AB24">
        <f>IF(D24=1,", "&amp;D$1,"")</f>
        <v/>
      </c>
      <c r="AC24">
        <f>IF(E24=1,", "&amp;E$1,"")</f>
        <v/>
      </c>
      <c r="AD24">
        <f>IF(F24=1,", "&amp;F$1,"")</f>
        <v/>
      </c>
      <c r="AE24">
        <f>IF(G24=1,", "&amp;G$1,"")</f>
        <v/>
      </c>
      <c r="AF24">
        <f>IF(H24=1,", "&amp;H$1,"")</f>
        <v/>
      </c>
      <c r="AG24">
        <f>IF(I24=1,", "&amp;I$1,"")</f>
        <v/>
      </c>
      <c r="AH24">
        <f>IF(J24=1,", "&amp;J$1,"")</f>
        <v/>
      </c>
      <c r="AI24">
        <f>IF(K24=1,", "&amp;K$1,"")</f>
        <v/>
      </c>
      <c r="AJ24">
        <f>IF(L24=1,", "&amp;L$1,"")</f>
        <v/>
      </c>
      <c r="AK24">
        <f>IF(M24=1,", "&amp;M$1,"")</f>
        <v/>
      </c>
      <c r="AL24">
        <f>IF(N24=1,", "&amp;N$1,"")</f>
        <v/>
      </c>
      <c r="AM24">
        <f>IF(O24=1,", "&amp;O$1,"")</f>
        <v/>
      </c>
      <c r="AN24">
        <f>IF(P24=1,", "&amp;P$1,"")</f>
        <v/>
      </c>
      <c r="AO24">
        <f>IF(Q24=1,", "&amp;Q$1,"")</f>
        <v/>
      </c>
      <c r="AP24">
        <f>IF(R24=1,", "&amp;R$1,"")</f>
        <v/>
      </c>
      <c r="AQ24">
        <f>IF(S24=1,", "&amp;S$1,"")</f>
        <v/>
      </c>
      <c r="AR24">
        <f>IF(T24=1,", "&amp;T$1,"")</f>
        <v/>
      </c>
      <c r="AS24">
        <f>IF(U24=1,", "&amp;U$1,"")</f>
        <v/>
      </c>
      <c r="AT24">
        <f>IF(V24=1,", "&amp;V$1,"")</f>
        <v/>
      </c>
      <c r="AU24">
        <f>IF(W24=1,", "&amp;W$1,"")</f>
        <v/>
      </c>
      <c r="AV24">
        <f>IF(X24=1,", "&amp;X$1,"")</f>
        <v/>
      </c>
      <c r="AW24">
        <f>IF(Y24=1,", "&amp;Y$1,"")</f>
        <v/>
      </c>
      <c r="AX24">
        <f>IF(Z24=1,", "&amp;Z$1,"")</f>
        <v/>
      </c>
      <c r="AY24">
        <f>IF(AA24=1,", "&amp;AA$1,"")</f>
        <v/>
      </c>
      <c r="AZ24">
        <f>MID($AB24&amp;$AC24&amp;$AD24&amp;$AE24&amp;$AF24&amp;$AG24&amp;$AH24&amp;$AI24&amp;$AJ24&amp;$AK24&amp;$AL24&amp;$AM24&amp;$AN24&amp;$AO24&amp;$AP24&amp;$AQ24&amp;$AR24&amp;$AS24&amp;$AT24&amp;$AU24&amp;$AV24&amp;$AW24&amp;$AX24&amp;$AY24,3,32767)</f>
        <v/>
      </c>
      <c r="BA24">
        <f>COUNT($D24:$AA24)</f>
        <v/>
      </c>
    </row>
    <row r="25">
      <c r="A25" t="n">
        <v>1</v>
      </c>
      <c r="B25" t="inlineStr">
        <is>
          <t>Longstrider</t>
        </is>
      </c>
      <c r="C25" t="inlineStr">
        <is>
          <t>Transmutation</t>
        </is>
      </c>
      <c r="D25">
        <f>IF(Wizards!$A$2="","",IF(OR(ISNUMBER(SEARCH(", "&amp;$B25&amp;", ", ", "&amp;INDEX('Form Responses'!$I$1:$Q$200,2,$A25)&amp;", ")),ISNUMBER(SEARCH(", "&amp;$B25&amp;", ", ", "&amp;INDEX('Form Responses'!$R$1:$R$200,2)&amp;", "))),1,""))</f>
        <v/>
      </c>
      <c r="E25">
        <f>IF(Wizards!$A$3="","",IF(OR(ISNUMBER(SEARCH(", "&amp;$B25&amp;", ", ", "&amp;INDEX('Form Responses'!$I$1:$Q$200,3,$A25)&amp;", ")),ISNUMBER(SEARCH(", "&amp;$B25&amp;", ", ", "&amp;INDEX('Form Responses'!$R$1:$R$200,3)&amp;", "))),1,""))</f>
        <v/>
      </c>
      <c r="F25">
        <f>IF(Wizards!$A$4="","",IF(OR(ISNUMBER(SEARCH(", "&amp;$B25&amp;", ", ", "&amp;INDEX('Form Responses'!$I$1:$Q$200,4,$A25)&amp;", ")),ISNUMBER(SEARCH(", "&amp;$B25&amp;", ", ", "&amp;INDEX('Form Responses'!$R$1:$R$200,4)&amp;", "))),1,""))</f>
        <v/>
      </c>
      <c r="G25">
        <f>IF(Wizards!$A$5="","",IF(OR(ISNUMBER(SEARCH(", "&amp;$B25&amp;", ", ", "&amp;INDEX('Form Responses'!$I$1:$Q$200,5,$A25)&amp;", ")),ISNUMBER(SEARCH(", "&amp;$B25&amp;", ", ", "&amp;INDEX('Form Responses'!$R$1:$R$200,5)&amp;", "))),1,""))</f>
        <v/>
      </c>
      <c r="H25">
        <f>IF(Wizards!$A$6="","",IF(OR(ISNUMBER(SEARCH(", "&amp;$B25&amp;", ", ", "&amp;INDEX('Form Responses'!$I$1:$Q$200,6,$A25)&amp;", ")),ISNUMBER(SEARCH(", "&amp;$B25&amp;", ", ", "&amp;INDEX('Form Responses'!$R$1:$R$200,6)&amp;", "))),1,""))</f>
        <v/>
      </c>
      <c r="I25">
        <f>IF(Wizards!$A$7="","",IF(OR(ISNUMBER(SEARCH(", "&amp;$B25&amp;", ", ", "&amp;INDEX('Form Responses'!$I$1:$Q$200,7,$A25)&amp;", ")),ISNUMBER(SEARCH(", "&amp;$B25&amp;", ", ", "&amp;INDEX('Form Responses'!$R$1:$R$200,7)&amp;", "))),1,""))</f>
        <v/>
      </c>
      <c r="J25">
        <f>IF(Wizards!$A$8="","",IF(OR(ISNUMBER(SEARCH(", "&amp;$B25&amp;", ", ", "&amp;INDEX('Form Responses'!$I$1:$Q$200,8,$A25)&amp;", ")),ISNUMBER(SEARCH(", "&amp;$B25&amp;", ", ", "&amp;INDEX('Form Responses'!$R$1:$R$200,8)&amp;", "))),1,""))</f>
        <v/>
      </c>
      <c r="K25">
        <f>IF(Wizards!$A$9="","",IF(OR(ISNUMBER(SEARCH(", "&amp;$B25&amp;", ", ", "&amp;INDEX('Form Responses'!$I$1:$Q$200,9,$A25)&amp;", ")),ISNUMBER(SEARCH(", "&amp;$B25&amp;", ", ", "&amp;INDEX('Form Responses'!$R$1:$R$200,9)&amp;", "))),1,""))</f>
        <v/>
      </c>
      <c r="L25">
        <f>IF(Wizards!$A$10="","",IF(OR(ISNUMBER(SEARCH(", "&amp;$B25&amp;", ", ", "&amp;INDEX('Form Responses'!$I$1:$Q$200,10,$A25)&amp;", ")),ISNUMBER(SEARCH(", "&amp;$B25&amp;", ", ", "&amp;INDEX('Form Responses'!$R$1:$R$200,10)&amp;", "))),1,""))</f>
        <v/>
      </c>
      <c r="M25">
        <f>IF(Wizards!$A$11="","",IF(OR(ISNUMBER(SEARCH(", "&amp;$B25&amp;", ", ", "&amp;INDEX('Form Responses'!$I$1:$Q$200,11,$A25)&amp;", ")),ISNUMBER(SEARCH(", "&amp;$B25&amp;", ", ", "&amp;INDEX('Form Responses'!$R$1:$R$200,11)&amp;", "))),1,""))</f>
        <v/>
      </c>
      <c r="N25">
        <f>IF(Wizards!$A$12="","",IF(OR(ISNUMBER(SEARCH(", "&amp;$B25&amp;", ", ", "&amp;INDEX('Form Responses'!$I$1:$Q$200,12,$A25)&amp;", ")),ISNUMBER(SEARCH(", "&amp;$B25&amp;", ", ", "&amp;INDEX('Form Responses'!$R$1:$R$200,12)&amp;", "))),1,""))</f>
        <v/>
      </c>
      <c r="O25">
        <f>IF(Wizards!$A$13="","",IF(OR(ISNUMBER(SEARCH(", "&amp;$B25&amp;", ", ", "&amp;INDEX('Form Responses'!$I$1:$Q$200,13,$A25)&amp;", ")),ISNUMBER(SEARCH(", "&amp;$B25&amp;", ", ", "&amp;INDEX('Form Responses'!$R$1:$R$200,13)&amp;", "))),1,""))</f>
        <v/>
      </c>
      <c r="P25">
        <f>IF(Wizards!$A$14="","",IF(OR(ISNUMBER(SEARCH(", "&amp;$B25&amp;", ", ", "&amp;INDEX('Form Responses'!$I$1:$Q$200,14,$A25)&amp;", ")),ISNUMBER(SEARCH(", "&amp;$B25&amp;", ", ", "&amp;INDEX('Form Responses'!$R$1:$R$200,14)&amp;", "))),1,""))</f>
        <v/>
      </c>
      <c r="Q25">
        <f>IF(Wizards!$A$15="","",IF(OR(ISNUMBER(SEARCH(", "&amp;$B25&amp;", ", ", "&amp;INDEX('Form Responses'!$I$1:$Q$200,15,$A25)&amp;", ")),ISNUMBER(SEARCH(", "&amp;$B25&amp;", ", ", "&amp;INDEX('Form Responses'!$R$1:$R$200,15)&amp;", "))),1,""))</f>
        <v/>
      </c>
      <c r="R25">
        <f>IF(Wizards!$A$16="","",IF(OR(ISNUMBER(SEARCH(", "&amp;$B25&amp;", ", ", "&amp;INDEX('Form Responses'!$I$1:$Q$200,16,$A25)&amp;", ")),ISNUMBER(SEARCH(", "&amp;$B25&amp;", ", ", "&amp;INDEX('Form Responses'!$R$1:$R$200,16)&amp;", "))),1,""))</f>
        <v/>
      </c>
      <c r="S25">
        <f>IF(Wizards!$A$17="","",IF(OR(ISNUMBER(SEARCH(", "&amp;$B25&amp;", ", ", "&amp;INDEX('Form Responses'!$I$1:$Q$200,17,$A25)&amp;", ")),ISNUMBER(SEARCH(", "&amp;$B25&amp;", ", ", "&amp;INDEX('Form Responses'!$R$1:$R$200,17)&amp;", "))),1,""))</f>
        <v/>
      </c>
      <c r="T25">
        <f>IF(Wizards!$A$18="","",IF(OR(ISNUMBER(SEARCH(", "&amp;$B25&amp;", ", ", "&amp;INDEX('Form Responses'!$I$1:$Q$200,18,$A25)&amp;", ")),ISNUMBER(SEARCH(", "&amp;$B25&amp;", ", ", "&amp;INDEX('Form Responses'!$R$1:$R$200,18)&amp;", "))),1,""))</f>
        <v/>
      </c>
      <c r="U25">
        <f>IF(Wizards!$A$19="","",IF(OR(ISNUMBER(SEARCH(", "&amp;$B25&amp;", ", ", "&amp;INDEX('Form Responses'!$I$1:$Q$200,19,$A25)&amp;", ")),ISNUMBER(SEARCH(", "&amp;$B25&amp;", ", ", "&amp;INDEX('Form Responses'!$R$1:$R$200,19)&amp;", "))),1,""))</f>
        <v/>
      </c>
      <c r="V25">
        <f>IF(Wizards!$A$20="","",IF(OR(ISNUMBER(SEARCH(", "&amp;$B25&amp;", ", ", "&amp;INDEX('Form Responses'!$I$1:$Q$200,20,$A25)&amp;", ")),ISNUMBER(SEARCH(", "&amp;$B25&amp;", ", ", "&amp;INDEX('Form Responses'!$R$1:$R$200,20)&amp;", "))),1,""))</f>
        <v/>
      </c>
      <c r="W25">
        <f>IF(Wizards!$A$21="","",IF(OR(ISNUMBER(SEARCH(", "&amp;$B25&amp;", ", ", "&amp;INDEX('Form Responses'!$I$1:$Q$200,21,$A25)&amp;", ")),ISNUMBER(SEARCH(", "&amp;$B25&amp;", ", ", "&amp;INDEX('Form Responses'!$R$1:$R$200,21)&amp;", "))),1,""))</f>
        <v/>
      </c>
      <c r="X25">
        <f>IF(Wizards!$A$22="","",IF(OR(ISNUMBER(SEARCH(", "&amp;$B25&amp;", ", ", "&amp;INDEX('Form Responses'!$I$1:$Q$200,22,$A25)&amp;", ")),ISNUMBER(SEARCH(", "&amp;$B25&amp;", ", ", "&amp;INDEX('Form Responses'!$R$1:$R$200,22)&amp;", "))),1,""))</f>
        <v/>
      </c>
      <c r="Y25">
        <f>IF(Wizards!$A$23="","",IF(OR(ISNUMBER(SEARCH(", "&amp;$B25&amp;", ", ", "&amp;INDEX('Form Responses'!$I$1:$Q$200,23,$A25)&amp;", ")),ISNUMBER(SEARCH(", "&amp;$B25&amp;", ", ", "&amp;INDEX('Form Responses'!$R$1:$R$200,23)&amp;", "))),1,""))</f>
        <v/>
      </c>
      <c r="Z25">
        <f>IF(Wizards!$A$24="","",IF(OR(ISNUMBER(SEARCH(", "&amp;$B25&amp;", ", ", "&amp;INDEX('Form Responses'!$I$1:$Q$200,24,$A25)&amp;", ")),ISNUMBER(SEARCH(", "&amp;$B25&amp;", ", ", "&amp;INDEX('Form Responses'!$R$1:$R$200,24)&amp;", "))),1,""))</f>
        <v/>
      </c>
      <c r="AA25">
        <f>IF(Wizards!$A$25="","",IF(OR(ISNUMBER(SEARCH(", "&amp;$B25&amp;", ", ", "&amp;INDEX('Form Responses'!$I$1:$Q$200,25,$A25)&amp;", ")),ISNUMBER(SEARCH(", "&amp;$B25&amp;", ", ", "&amp;INDEX('Form Responses'!$R$1:$R$200,25)&amp;", "))),1,""))</f>
        <v/>
      </c>
      <c r="AB25">
        <f>IF(D25=1,", "&amp;D$1,"")</f>
        <v/>
      </c>
      <c r="AC25">
        <f>IF(E25=1,", "&amp;E$1,"")</f>
        <v/>
      </c>
      <c r="AD25">
        <f>IF(F25=1,", "&amp;F$1,"")</f>
        <v/>
      </c>
      <c r="AE25">
        <f>IF(G25=1,", "&amp;G$1,"")</f>
        <v/>
      </c>
      <c r="AF25">
        <f>IF(H25=1,", "&amp;H$1,"")</f>
        <v/>
      </c>
      <c r="AG25">
        <f>IF(I25=1,", "&amp;I$1,"")</f>
        <v/>
      </c>
      <c r="AH25">
        <f>IF(J25=1,", "&amp;J$1,"")</f>
        <v/>
      </c>
      <c r="AI25">
        <f>IF(K25=1,", "&amp;K$1,"")</f>
        <v/>
      </c>
      <c r="AJ25">
        <f>IF(L25=1,", "&amp;L$1,"")</f>
        <v/>
      </c>
      <c r="AK25">
        <f>IF(M25=1,", "&amp;M$1,"")</f>
        <v/>
      </c>
      <c r="AL25">
        <f>IF(N25=1,", "&amp;N$1,"")</f>
        <v/>
      </c>
      <c r="AM25">
        <f>IF(O25=1,", "&amp;O$1,"")</f>
        <v/>
      </c>
      <c r="AN25">
        <f>IF(P25=1,", "&amp;P$1,"")</f>
        <v/>
      </c>
      <c r="AO25">
        <f>IF(Q25=1,", "&amp;Q$1,"")</f>
        <v/>
      </c>
      <c r="AP25">
        <f>IF(R25=1,", "&amp;R$1,"")</f>
        <v/>
      </c>
      <c r="AQ25">
        <f>IF(S25=1,", "&amp;S$1,"")</f>
        <v/>
      </c>
      <c r="AR25">
        <f>IF(T25=1,", "&amp;T$1,"")</f>
        <v/>
      </c>
      <c r="AS25">
        <f>IF(U25=1,", "&amp;U$1,"")</f>
        <v/>
      </c>
      <c r="AT25">
        <f>IF(V25=1,", "&amp;V$1,"")</f>
        <v/>
      </c>
      <c r="AU25">
        <f>IF(W25=1,", "&amp;W$1,"")</f>
        <v/>
      </c>
      <c r="AV25">
        <f>IF(X25=1,", "&amp;X$1,"")</f>
        <v/>
      </c>
      <c r="AW25">
        <f>IF(Y25=1,", "&amp;Y$1,"")</f>
        <v/>
      </c>
      <c r="AX25">
        <f>IF(Z25=1,", "&amp;Z$1,"")</f>
        <v/>
      </c>
      <c r="AY25">
        <f>IF(AA25=1,", "&amp;AA$1,"")</f>
        <v/>
      </c>
      <c r="AZ25">
        <f>MID($AB25&amp;$AC25&amp;$AD25&amp;$AE25&amp;$AF25&amp;$AG25&amp;$AH25&amp;$AI25&amp;$AJ25&amp;$AK25&amp;$AL25&amp;$AM25&amp;$AN25&amp;$AO25&amp;$AP25&amp;$AQ25&amp;$AR25&amp;$AS25&amp;$AT25&amp;$AU25&amp;$AV25&amp;$AW25&amp;$AX25&amp;$AY25,3,32767)</f>
        <v/>
      </c>
      <c r="BA25">
        <f>COUNT($D25:$AA25)</f>
        <v/>
      </c>
    </row>
    <row r="26">
      <c r="A26" t="n">
        <v>1</v>
      </c>
      <c r="B26" t="inlineStr">
        <is>
          <t>Mage Armor</t>
        </is>
      </c>
      <c r="C26" t="inlineStr">
        <is>
          <t>Abjuration</t>
        </is>
      </c>
      <c r="D26">
        <f>IF(Wizards!$A$2="","",IF(OR(ISNUMBER(SEARCH(", "&amp;$B26&amp;", ", ", "&amp;INDEX('Form Responses'!$I$1:$Q$200,2,$A26)&amp;", ")),ISNUMBER(SEARCH(", "&amp;$B26&amp;", ", ", "&amp;INDEX('Form Responses'!$R$1:$R$200,2)&amp;", "))),1,""))</f>
        <v/>
      </c>
      <c r="E26">
        <f>IF(Wizards!$A$3="","",IF(OR(ISNUMBER(SEARCH(", "&amp;$B26&amp;", ", ", "&amp;INDEX('Form Responses'!$I$1:$Q$200,3,$A26)&amp;", ")),ISNUMBER(SEARCH(", "&amp;$B26&amp;", ", ", "&amp;INDEX('Form Responses'!$R$1:$R$200,3)&amp;", "))),1,""))</f>
        <v/>
      </c>
      <c r="F26">
        <f>IF(Wizards!$A$4="","",IF(OR(ISNUMBER(SEARCH(", "&amp;$B26&amp;", ", ", "&amp;INDEX('Form Responses'!$I$1:$Q$200,4,$A26)&amp;", ")),ISNUMBER(SEARCH(", "&amp;$B26&amp;", ", ", "&amp;INDEX('Form Responses'!$R$1:$R$200,4)&amp;", "))),1,""))</f>
        <v/>
      </c>
      <c r="G26">
        <f>IF(Wizards!$A$5="","",IF(OR(ISNUMBER(SEARCH(", "&amp;$B26&amp;", ", ", "&amp;INDEX('Form Responses'!$I$1:$Q$200,5,$A26)&amp;", ")),ISNUMBER(SEARCH(", "&amp;$B26&amp;", ", ", "&amp;INDEX('Form Responses'!$R$1:$R$200,5)&amp;", "))),1,""))</f>
        <v/>
      </c>
      <c r="H26">
        <f>IF(Wizards!$A$6="","",IF(OR(ISNUMBER(SEARCH(", "&amp;$B26&amp;", ", ", "&amp;INDEX('Form Responses'!$I$1:$Q$200,6,$A26)&amp;", ")),ISNUMBER(SEARCH(", "&amp;$B26&amp;", ", ", "&amp;INDEX('Form Responses'!$R$1:$R$200,6)&amp;", "))),1,""))</f>
        <v/>
      </c>
      <c r="I26">
        <f>IF(Wizards!$A$7="","",IF(OR(ISNUMBER(SEARCH(", "&amp;$B26&amp;", ", ", "&amp;INDEX('Form Responses'!$I$1:$Q$200,7,$A26)&amp;", ")),ISNUMBER(SEARCH(", "&amp;$B26&amp;", ", ", "&amp;INDEX('Form Responses'!$R$1:$R$200,7)&amp;", "))),1,""))</f>
        <v/>
      </c>
      <c r="J26">
        <f>IF(Wizards!$A$8="","",IF(OR(ISNUMBER(SEARCH(", "&amp;$B26&amp;", ", ", "&amp;INDEX('Form Responses'!$I$1:$Q$200,8,$A26)&amp;", ")),ISNUMBER(SEARCH(", "&amp;$B26&amp;", ", ", "&amp;INDEX('Form Responses'!$R$1:$R$200,8)&amp;", "))),1,""))</f>
        <v/>
      </c>
      <c r="K26">
        <f>IF(Wizards!$A$9="","",IF(OR(ISNUMBER(SEARCH(", "&amp;$B26&amp;", ", ", "&amp;INDEX('Form Responses'!$I$1:$Q$200,9,$A26)&amp;", ")),ISNUMBER(SEARCH(", "&amp;$B26&amp;", ", ", "&amp;INDEX('Form Responses'!$R$1:$R$200,9)&amp;", "))),1,""))</f>
        <v/>
      </c>
      <c r="L26">
        <f>IF(Wizards!$A$10="","",IF(OR(ISNUMBER(SEARCH(", "&amp;$B26&amp;", ", ", "&amp;INDEX('Form Responses'!$I$1:$Q$200,10,$A26)&amp;", ")),ISNUMBER(SEARCH(", "&amp;$B26&amp;", ", ", "&amp;INDEX('Form Responses'!$R$1:$R$200,10)&amp;", "))),1,""))</f>
        <v/>
      </c>
      <c r="M26">
        <f>IF(Wizards!$A$11="","",IF(OR(ISNUMBER(SEARCH(", "&amp;$B26&amp;", ", ", "&amp;INDEX('Form Responses'!$I$1:$Q$200,11,$A26)&amp;", ")),ISNUMBER(SEARCH(", "&amp;$B26&amp;", ", ", "&amp;INDEX('Form Responses'!$R$1:$R$200,11)&amp;", "))),1,""))</f>
        <v/>
      </c>
      <c r="N26">
        <f>IF(Wizards!$A$12="","",IF(OR(ISNUMBER(SEARCH(", "&amp;$B26&amp;", ", ", "&amp;INDEX('Form Responses'!$I$1:$Q$200,12,$A26)&amp;", ")),ISNUMBER(SEARCH(", "&amp;$B26&amp;", ", ", "&amp;INDEX('Form Responses'!$R$1:$R$200,12)&amp;", "))),1,""))</f>
        <v/>
      </c>
      <c r="O26">
        <f>IF(Wizards!$A$13="","",IF(OR(ISNUMBER(SEARCH(", "&amp;$B26&amp;", ", ", "&amp;INDEX('Form Responses'!$I$1:$Q$200,13,$A26)&amp;", ")),ISNUMBER(SEARCH(", "&amp;$B26&amp;", ", ", "&amp;INDEX('Form Responses'!$R$1:$R$200,13)&amp;", "))),1,""))</f>
        <v/>
      </c>
      <c r="P26">
        <f>IF(Wizards!$A$14="","",IF(OR(ISNUMBER(SEARCH(", "&amp;$B26&amp;", ", ", "&amp;INDEX('Form Responses'!$I$1:$Q$200,14,$A26)&amp;", ")),ISNUMBER(SEARCH(", "&amp;$B26&amp;", ", ", "&amp;INDEX('Form Responses'!$R$1:$R$200,14)&amp;", "))),1,""))</f>
        <v/>
      </c>
      <c r="Q26">
        <f>IF(Wizards!$A$15="","",IF(OR(ISNUMBER(SEARCH(", "&amp;$B26&amp;", ", ", "&amp;INDEX('Form Responses'!$I$1:$Q$200,15,$A26)&amp;", ")),ISNUMBER(SEARCH(", "&amp;$B26&amp;", ", ", "&amp;INDEX('Form Responses'!$R$1:$R$200,15)&amp;", "))),1,""))</f>
        <v/>
      </c>
      <c r="R26">
        <f>IF(Wizards!$A$16="","",IF(OR(ISNUMBER(SEARCH(", "&amp;$B26&amp;", ", ", "&amp;INDEX('Form Responses'!$I$1:$Q$200,16,$A26)&amp;", ")),ISNUMBER(SEARCH(", "&amp;$B26&amp;", ", ", "&amp;INDEX('Form Responses'!$R$1:$R$200,16)&amp;", "))),1,""))</f>
        <v/>
      </c>
      <c r="S26">
        <f>IF(Wizards!$A$17="","",IF(OR(ISNUMBER(SEARCH(", "&amp;$B26&amp;", ", ", "&amp;INDEX('Form Responses'!$I$1:$Q$200,17,$A26)&amp;", ")),ISNUMBER(SEARCH(", "&amp;$B26&amp;", ", ", "&amp;INDEX('Form Responses'!$R$1:$R$200,17)&amp;", "))),1,""))</f>
        <v/>
      </c>
      <c r="T26">
        <f>IF(Wizards!$A$18="","",IF(OR(ISNUMBER(SEARCH(", "&amp;$B26&amp;", ", ", "&amp;INDEX('Form Responses'!$I$1:$Q$200,18,$A26)&amp;", ")),ISNUMBER(SEARCH(", "&amp;$B26&amp;", ", ", "&amp;INDEX('Form Responses'!$R$1:$R$200,18)&amp;", "))),1,""))</f>
        <v/>
      </c>
      <c r="U26">
        <f>IF(Wizards!$A$19="","",IF(OR(ISNUMBER(SEARCH(", "&amp;$B26&amp;", ", ", "&amp;INDEX('Form Responses'!$I$1:$Q$200,19,$A26)&amp;", ")),ISNUMBER(SEARCH(", "&amp;$B26&amp;", ", ", "&amp;INDEX('Form Responses'!$R$1:$R$200,19)&amp;", "))),1,""))</f>
        <v/>
      </c>
      <c r="V26">
        <f>IF(Wizards!$A$20="","",IF(OR(ISNUMBER(SEARCH(", "&amp;$B26&amp;", ", ", "&amp;INDEX('Form Responses'!$I$1:$Q$200,20,$A26)&amp;", ")),ISNUMBER(SEARCH(", "&amp;$B26&amp;", ", ", "&amp;INDEX('Form Responses'!$R$1:$R$200,20)&amp;", "))),1,""))</f>
        <v/>
      </c>
      <c r="W26">
        <f>IF(Wizards!$A$21="","",IF(OR(ISNUMBER(SEARCH(", "&amp;$B26&amp;", ", ", "&amp;INDEX('Form Responses'!$I$1:$Q$200,21,$A26)&amp;", ")),ISNUMBER(SEARCH(", "&amp;$B26&amp;", ", ", "&amp;INDEX('Form Responses'!$R$1:$R$200,21)&amp;", "))),1,""))</f>
        <v/>
      </c>
      <c r="X26">
        <f>IF(Wizards!$A$22="","",IF(OR(ISNUMBER(SEARCH(", "&amp;$B26&amp;", ", ", "&amp;INDEX('Form Responses'!$I$1:$Q$200,22,$A26)&amp;", ")),ISNUMBER(SEARCH(", "&amp;$B26&amp;", ", ", "&amp;INDEX('Form Responses'!$R$1:$R$200,22)&amp;", "))),1,""))</f>
        <v/>
      </c>
      <c r="Y26">
        <f>IF(Wizards!$A$23="","",IF(OR(ISNUMBER(SEARCH(", "&amp;$B26&amp;", ", ", "&amp;INDEX('Form Responses'!$I$1:$Q$200,23,$A26)&amp;", ")),ISNUMBER(SEARCH(", "&amp;$B26&amp;", ", ", "&amp;INDEX('Form Responses'!$R$1:$R$200,23)&amp;", "))),1,""))</f>
        <v/>
      </c>
      <c r="Z26">
        <f>IF(Wizards!$A$24="","",IF(OR(ISNUMBER(SEARCH(", "&amp;$B26&amp;", ", ", "&amp;INDEX('Form Responses'!$I$1:$Q$200,24,$A26)&amp;", ")),ISNUMBER(SEARCH(", "&amp;$B26&amp;", ", ", "&amp;INDEX('Form Responses'!$R$1:$R$200,24)&amp;", "))),1,""))</f>
        <v/>
      </c>
      <c r="AA26">
        <f>IF(Wizards!$A$25="","",IF(OR(ISNUMBER(SEARCH(", "&amp;$B26&amp;", ", ", "&amp;INDEX('Form Responses'!$I$1:$Q$200,25,$A26)&amp;", ")),ISNUMBER(SEARCH(", "&amp;$B26&amp;", ", ", "&amp;INDEX('Form Responses'!$R$1:$R$200,25)&amp;", "))),1,""))</f>
        <v/>
      </c>
      <c r="AB26">
        <f>IF(D26=1,", "&amp;D$1,"")</f>
        <v/>
      </c>
      <c r="AC26">
        <f>IF(E26=1,", "&amp;E$1,"")</f>
        <v/>
      </c>
      <c r="AD26">
        <f>IF(F26=1,", "&amp;F$1,"")</f>
        <v/>
      </c>
      <c r="AE26">
        <f>IF(G26=1,", "&amp;G$1,"")</f>
        <v/>
      </c>
      <c r="AF26">
        <f>IF(H26=1,", "&amp;H$1,"")</f>
        <v/>
      </c>
      <c r="AG26">
        <f>IF(I26=1,", "&amp;I$1,"")</f>
        <v/>
      </c>
      <c r="AH26">
        <f>IF(J26=1,", "&amp;J$1,"")</f>
        <v/>
      </c>
      <c r="AI26">
        <f>IF(K26=1,", "&amp;K$1,"")</f>
        <v/>
      </c>
      <c r="AJ26">
        <f>IF(L26=1,", "&amp;L$1,"")</f>
        <v/>
      </c>
      <c r="AK26">
        <f>IF(M26=1,", "&amp;M$1,"")</f>
        <v/>
      </c>
      <c r="AL26">
        <f>IF(N26=1,", "&amp;N$1,"")</f>
        <v/>
      </c>
      <c r="AM26">
        <f>IF(O26=1,", "&amp;O$1,"")</f>
        <v/>
      </c>
      <c r="AN26">
        <f>IF(P26=1,", "&amp;P$1,"")</f>
        <v/>
      </c>
      <c r="AO26">
        <f>IF(Q26=1,", "&amp;Q$1,"")</f>
        <v/>
      </c>
      <c r="AP26">
        <f>IF(R26=1,", "&amp;R$1,"")</f>
        <v/>
      </c>
      <c r="AQ26">
        <f>IF(S26=1,", "&amp;S$1,"")</f>
        <v/>
      </c>
      <c r="AR26">
        <f>IF(T26=1,", "&amp;T$1,"")</f>
        <v/>
      </c>
      <c r="AS26">
        <f>IF(U26=1,", "&amp;U$1,"")</f>
        <v/>
      </c>
      <c r="AT26">
        <f>IF(V26=1,", "&amp;V$1,"")</f>
        <v/>
      </c>
      <c r="AU26">
        <f>IF(W26=1,", "&amp;W$1,"")</f>
        <v/>
      </c>
      <c r="AV26">
        <f>IF(X26=1,", "&amp;X$1,"")</f>
        <v/>
      </c>
      <c r="AW26">
        <f>IF(Y26=1,", "&amp;Y$1,"")</f>
        <v/>
      </c>
      <c r="AX26">
        <f>IF(Z26=1,", "&amp;Z$1,"")</f>
        <v/>
      </c>
      <c r="AY26">
        <f>IF(AA26=1,", "&amp;AA$1,"")</f>
        <v/>
      </c>
      <c r="AZ26">
        <f>MID($AB26&amp;$AC26&amp;$AD26&amp;$AE26&amp;$AF26&amp;$AG26&amp;$AH26&amp;$AI26&amp;$AJ26&amp;$AK26&amp;$AL26&amp;$AM26&amp;$AN26&amp;$AO26&amp;$AP26&amp;$AQ26&amp;$AR26&amp;$AS26&amp;$AT26&amp;$AU26&amp;$AV26&amp;$AW26&amp;$AX26&amp;$AY26,3,32767)</f>
        <v/>
      </c>
      <c r="BA26">
        <f>COUNT($D26:$AA26)</f>
        <v/>
      </c>
    </row>
    <row r="27">
      <c r="A27" t="n">
        <v>1</v>
      </c>
      <c r="B27" t="inlineStr">
        <is>
          <t>Magic Missile</t>
        </is>
      </c>
      <c r="C27" t="inlineStr">
        <is>
          <t>Evocation</t>
        </is>
      </c>
      <c r="D27">
        <f>IF(Wizards!$A$2="","",IF(OR(ISNUMBER(SEARCH(", "&amp;$B27&amp;", ", ", "&amp;INDEX('Form Responses'!$I$1:$Q$200,2,$A27)&amp;", ")),ISNUMBER(SEARCH(", "&amp;$B27&amp;", ", ", "&amp;INDEX('Form Responses'!$R$1:$R$200,2)&amp;", "))),1,""))</f>
        <v/>
      </c>
      <c r="E27">
        <f>IF(Wizards!$A$3="","",IF(OR(ISNUMBER(SEARCH(", "&amp;$B27&amp;", ", ", "&amp;INDEX('Form Responses'!$I$1:$Q$200,3,$A27)&amp;", ")),ISNUMBER(SEARCH(", "&amp;$B27&amp;", ", ", "&amp;INDEX('Form Responses'!$R$1:$R$200,3)&amp;", "))),1,""))</f>
        <v/>
      </c>
      <c r="F27">
        <f>IF(Wizards!$A$4="","",IF(OR(ISNUMBER(SEARCH(", "&amp;$B27&amp;", ", ", "&amp;INDEX('Form Responses'!$I$1:$Q$200,4,$A27)&amp;", ")),ISNUMBER(SEARCH(", "&amp;$B27&amp;", ", ", "&amp;INDEX('Form Responses'!$R$1:$R$200,4)&amp;", "))),1,""))</f>
        <v/>
      </c>
      <c r="G27">
        <f>IF(Wizards!$A$5="","",IF(OR(ISNUMBER(SEARCH(", "&amp;$B27&amp;", ", ", "&amp;INDEX('Form Responses'!$I$1:$Q$200,5,$A27)&amp;", ")),ISNUMBER(SEARCH(", "&amp;$B27&amp;", ", ", "&amp;INDEX('Form Responses'!$R$1:$R$200,5)&amp;", "))),1,""))</f>
        <v/>
      </c>
      <c r="H27">
        <f>IF(Wizards!$A$6="","",IF(OR(ISNUMBER(SEARCH(", "&amp;$B27&amp;", ", ", "&amp;INDEX('Form Responses'!$I$1:$Q$200,6,$A27)&amp;", ")),ISNUMBER(SEARCH(", "&amp;$B27&amp;", ", ", "&amp;INDEX('Form Responses'!$R$1:$R$200,6)&amp;", "))),1,""))</f>
        <v/>
      </c>
      <c r="I27">
        <f>IF(Wizards!$A$7="","",IF(OR(ISNUMBER(SEARCH(", "&amp;$B27&amp;", ", ", "&amp;INDEX('Form Responses'!$I$1:$Q$200,7,$A27)&amp;", ")),ISNUMBER(SEARCH(", "&amp;$B27&amp;", ", ", "&amp;INDEX('Form Responses'!$R$1:$R$200,7)&amp;", "))),1,""))</f>
        <v/>
      </c>
      <c r="J27">
        <f>IF(Wizards!$A$8="","",IF(OR(ISNUMBER(SEARCH(", "&amp;$B27&amp;", ", ", "&amp;INDEX('Form Responses'!$I$1:$Q$200,8,$A27)&amp;", ")),ISNUMBER(SEARCH(", "&amp;$B27&amp;", ", ", "&amp;INDEX('Form Responses'!$R$1:$R$200,8)&amp;", "))),1,""))</f>
        <v/>
      </c>
      <c r="K27">
        <f>IF(Wizards!$A$9="","",IF(OR(ISNUMBER(SEARCH(", "&amp;$B27&amp;", ", ", "&amp;INDEX('Form Responses'!$I$1:$Q$200,9,$A27)&amp;", ")),ISNUMBER(SEARCH(", "&amp;$B27&amp;", ", ", "&amp;INDEX('Form Responses'!$R$1:$R$200,9)&amp;", "))),1,""))</f>
        <v/>
      </c>
      <c r="L27">
        <f>IF(Wizards!$A$10="","",IF(OR(ISNUMBER(SEARCH(", "&amp;$B27&amp;", ", ", "&amp;INDEX('Form Responses'!$I$1:$Q$200,10,$A27)&amp;", ")),ISNUMBER(SEARCH(", "&amp;$B27&amp;", ", ", "&amp;INDEX('Form Responses'!$R$1:$R$200,10)&amp;", "))),1,""))</f>
        <v/>
      </c>
      <c r="M27">
        <f>IF(Wizards!$A$11="","",IF(OR(ISNUMBER(SEARCH(", "&amp;$B27&amp;", ", ", "&amp;INDEX('Form Responses'!$I$1:$Q$200,11,$A27)&amp;", ")),ISNUMBER(SEARCH(", "&amp;$B27&amp;", ", ", "&amp;INDEX('Form Responses'!$R$1:$R$200,11)&amp;", "))),1,""))</f>
        <v/>
      </c>
      <c r="N27">
        <f>IF(Wizards!$A$12="","",IF(OR(ISNUMBER(SEARCH(", "&amp;$B27&amp;", ", ", "&amp;INDEX('Form Responses'!$I$1:$Q$200,12,$A27)&amp;", ")),ISNUMBER(SEARCH(", "&amp;$B27&amp;", ", ", "&amp;INDEX('Form Responses'!$R$1:$R$200,12)&amp;", "))),1,""))</f>
        <v/>
      </c>
      <c r="O27">
        <f>IF(Wizards!$A$13="","",IF(OR(ISNUMBER(SEARCH(", "&amp;$B27&amp;", ", ", "&amp;INDEX('Form Responses'!$I$1:$Q$200,13,$A27)&amp;", ")),ISNUMBER(SEARCH(", "&amp;$B27&amp;", ", ", "&amp;INDEX('Form Responses'!$R$1:$R$200,13)&amp;", "))),1,""))</f>
        <v/>
      </c>
      <c r="P27">
        <f>IF(Wizards!$A$14="","",IF(OR(ISNUMBER(SEARCH(", "&amp;$B27&amp;", ", ", "&amp;INDEX('Form Responses'!$I$1:$Q$200,14,$A27)&amp;", ")),ISNUMBER(SEARCH(", "&amp;$B27&amp;", ", ", "&amp;INDEX('Form Responses'!$R$1:$R$200,14)&amp;", "))),1,""))</f>
        <v/>
      </c>
      <c r="Q27">
        <f>IF(Wizards!$A$15="","",IF(OR(ISNUMBER(SEARCH(", "&amp;$B27&amp;", ", ", "&amp;INDEX('Form Responses'!$I$1:$Q$200,15,$A27)&amp;", ")),ISNUMBER(SEARCH(", "&amp;$B27&amp;", ", ", "&amp;INDEX('Form Responses'!$R$1:$R$200,15)&amp;", "))),1,""))</f>
        <v/>
      </c>
      <c r="R27">
        <f>IF(Wizards!$A$16="","",IF(OR(ISNUMBER(SEARCH(", "&amp;$B27&amp;", ", ", "&amp;INDEX('Form Responses'!$I$1:$Q$200,16,$A27)&amp;", ")),ISNUMBER(SEARCH(", "&amp;$B27&amp;", ", ", "&amp;INDEX('Form Responses'!$R$1:$R$200,16)&amp;", "))),1,""))</f>
        <v/>
      </c>
      <c r="S27">
        <f>IF(Wizards!$A$17="","",IF(OR(ISNUMBER(SEARCH(", "&amp;$B27&amp;", ", ", "&amp;INDEX('Form Responses'!$I$1:$Q$200,17,$A27)&amp;", ")),ISNUMBER(SEARCH(", "&amp;$B27&amp;", ", ", "&amp;INDEX('Form Responses'!$R$1:$R$200,17)&amp;", "))),1,""))</f>
        <v/>
      </c>
      <c r="T27">
        <f>IF(Wizards!$A$18="","",IF(OR(ISNUMBER(SEARCH(", "&amp;$B27&amp;", ", ", "&amp;INDEX('Form Responses'!$I$1:$Q$200,18,$A27)&amp;", ")),ISNUMBER(SEARCH(", "&amp;$B27&amp;", ", ", "&amp;INDEX('Form Responses'!$R$1:$R$200,18)&amp;", "))),1,""))</f>
        <v/>
      </c>
      <c r="U27">
        <f>IF(Wizards!$A$19="","",IF(OR(ISNUMBER(SEARCH(", "&amp;$B27&amp;", ", ", "&amp;INDEX('Form Responses'!$I$1:$Q$200,19,$A27)&amp;", ")),ISNUMBER(SEARCH(", "&amp;$B27&amp;", ", ", "&amp;INDEX('Form Responses'!$R$1:$R$200,19)&amp;", "))),1,""))</f>
        <v/>
      </c>
      <c r="V27">
        <f>IF(Wizards!$A$20="","",IF(OR(ISNUMBER(SEARCH(", "&amp;$B27&amp;", ", ", "&amp;INDEX('Form Responses'!$I$1:$Q$200,20,$A27)&amp;", ")),ISNUMBER(SEARCH(", "&amp;$B27&amp;", ", ", "&amp;INDEX('Form Responses'!$R$1:$R$200,20)&amp;", "))),1,""))</f>
        <v/>
      </c>
      <c r="W27">
        <f>IF(Wizards!$A$21="","",IF(OR(ISNUMBER(SEARCH(", "&amp;$B27&amp;", ", ", "&amp;INDEX('Form Responses'!$I$1:$Q$200,21,$A27)&amp;", ")),ISNUMBER(SEARCH(", "&amp;$B27&amp;", ", ", "&amp;INDEX('Form Responses'!$R$1:$R$200,21)&amp;", "))),1,""))</f>
        <v/>
      </c>
      <c r="X27">
        <f>IF(Wizards!$A$22="","",IF(OR(ISNUMBER(SEARCH(", "&amp;$B27&amp;", ", ", "&amp;INDEX('Form Responses'!$I$1:$Q$200,22,$A27)&amp;", ")),ISNUMBER(SEARCH(", "&amp;$B27&amp;", ", ", "&amp;INDEX('Form Responses'!$R$1:$R$200,22)&amp;", "))),1,""))</f>
        <v/>
      </c>
      <c r="Y27">
        <f>IF(Wizards!$A$23="","",IF(OR(ISNUMBER(SEARCH(", "&amp;$B27&amp;", ", ", "&amp;INDEX('Form Responses'!$I$1:$Q$200,23,$A27)&amp;", ")),ISNUMBER(SEARCH(", "&amp;$B27&amp;", ", ", "&amp;INDEX('Form Responses'!$R$1:$R$200,23)&amp;", "))),1,""))</f>
        <v/>
      </c>
      <c r="Z27">
        <f>IF(Wizards!$A$24="","",IF(OR(ISNUMBER(SEARCH(", "&amp;$B27&amp;", ", ", "&amp;INDEX('Form Responses'!$I$1:$Q$200,24,$A27)&amp;", ")),ISNUMBER(SEARCH(", "&amp;$B27&amp;", ", ", "&amp;INDEX('Form Responses'!$R$1:$R$200,24)&amp;", "))),1,""))</f>
        <v/>
      </c>
      <c r="AA27">
        <f>IF(Wizards!$A$25="","",IF(OR(ISNUMBER(SEARCH(", "&amp;$B27&amp;", ", ", "&amp;INDEX('Form Responses'!$I$1:$Q$200,25,$A27)&amp;", ")),ISNUMBER(SEARCH(", "&amp;$B27&amp;", ", ", "&amp;INDEX('Form Responses'!$R$1:$R$200,25)&amp;", "))),1,""))</f>
        <v/>
      </c>
      <c r="AB27">
        <f>IF(D27=1,", "&amp;D$1,"")</f>
        <v/>
      </c>
      <c r="AC27">
        <f>IF(E27=1,", "&amp;E$1,"")</f>
        <v/>
      </c>
      <c r="AD27">
        <f>IF(F27=1,", "&amp;F$1,"")</f>
        <v/>
      </c>
      <c r="AE27">
        <f>IF(G27=1,", "&amp;G$1,"")</f>
        <v/>
      </c>
      <c r="AF27">
        <f>IF(H27=1,", "&amp;H$1,"")</f>
        <v/>
      </c>
      <c r="AG27">
        <f>IF(I27=1,", "&amp;I$1,"")</f>
        <v/>
      </c>
      <c r="AH27">
        <f>IF(J27=1,", "&amp;J$1,"")</f>
        <v/>
      </c>
      <c r="AI27">
        <f>IF(K27=1,", "&amp;K$1,"")</f>
        <v/>
      </c>
      <c r="AJ27">
        <f>IF(L27=1,", "&amp;L$1,"")</f>
        <v/>
      </c>
      <c r="AK27">
        <f>IF(M27=1,", "&amp;M$1,"")</f>
        <v/>
      </c>
      <c r="AL27">
        <f>IF(N27=1,", "&amp;N$1,"")</f>
        <v/>
      </c>
      <c r="AM27">
        <f>IF(O27=1,", "&amp;O$1,"")</f>
        <v/>
      </c>
      <c r="AN27">
        <f>IF(P27=1,", "&amp;P$1,"")</f>
        <v/>
      </c>
      <c r="AO27">
        <f>IF(Q27=1,", "&amp;Q$1,"")</f>
        <v/>
      </c>
      <c r="AP27">
        <f>IF(R27=1,", "&amp;R$1,"")</f>
        <v/>
      </c>
      <c r="AQ27">
        <f>IF(S27=1,", "&amp;S$1,"")</f>
        <v/>
      </c>
      <c r="AR27">
        <f>IF(T27=1,", "&amp;T$1,"")</f>
        <v/>
      </c>
      <c r="AS27">
        <f>IF(U27=1,", "&amp;U$1,"")</f>
        <v/>
      </c>
      <c r="AT27">
        <f>IF(V27=1,", "&amp;V$1,"")</f>
        <v/>
      </c>
      <c r="AU27">
        <f>IF(W27=1,", "&amp;W$1,"")</f>
        <v/>
      </c>
      <c r="AV27">
        <f>IF(X27=1,", "&amp;X$1,"")</f>
        <v/>
      </c>
      <c r="AW27">
        <f>IF(Y27=1,", "&amp;Y$1,"")</f>
        <v/>
      </c>
      <c r="AX27">
        <f>IF(Z27=1,", "&amp;Z$1,"")</f>
        <v/>
      </c>
      <c r="AY27">
        <f>IF(AA27=1,", "&amp;AA$1,"")</f>
        <v/>
      </c>
      <c r="AZ27">
        <f>MID($AB27&amp;$AC27&amp;$AD27&amp;$AE27&amp;$AF27&amp;$AG27&amp;$AH27&amp;$AI27&amp;$AJ27&amp;$AK27&amp;$AL27&amp;$AM27&amp;$AN27&amp;$AO27&amp;$AP27&amp;$AQ27&amp;$AR27&amp;$AS27&amp;$AT27&amp;$AU27&amp;$AV27&amp;$AW27&amp;$AX27&amp;$AY27,3,32767)</f>
        <v/>
      </c>
      <c r="BA27">
        <f>COUNT($D27:$AA27)</f>
        <v/>
      </c>
    </row>
    <row r="28">
      <c r="A28" t="n">
        <v>1</v>
      </c>
      <c r="B28" t="inlineStr">
        <is>
          <t>Protection from Evil and Good</t>
        </is>
      </c>
      <c r="C28" t="inlineStr">
        <is>
          <t>Abjuration</t>
        </is>
      </c>
      <c r="D28">
        <f>IF(Wizards!$A$2="","",IF(OR(ISNUMBER(SEARCH(", "&amp;$B28&amp;", ", ", "&amp;INDEX('Form Responses'!$I$1:$Q$200,2,$A28)&amp;", ")),ISNUMBER(SEARCH(", "&amp;$B28&amp;", ", ", "&amp;INDEX('Form Responses'!$R$1:$R$200,2)&amp;", "))),1,""))</f>
        <v/>
      </c>
      <c r="E28">
        <f>IF(Wizards!$A$3="","",IF(OR(ISNUMBER(SEARCH(", "&amp;$B28&amp;", ", ", "&amp;INDEX('Form Responses'!$I$1:$Q$200,3,$A28)&amp;", ")),ISNUMBER(SEARCH(", "&amp;$B28&amp;", ", ", "&amp;INDEX('Form Responses'!$R$1:$R$200,3)&amp;", "))),1,""))</f>
        <v/>
      </c>
      <c r="F28">
        <f>IF(Wizards!$A$4="","",IF(OR(ISNUMBER(SEARCH(", "&amp;$B28&amp;", ", ", "&amp;INDEX('Form Responses'!$I$1:$Q$200,4,$A28)&amp;", ")),ISNUMBER(SEARCH(", "&amp;$B28&amp;", ", ", "&amp;INDEX('Form Responses'!$R$1:$R$200,4)&amp;", "))),1,""))</f>
        <v/>
      </c>
      <c r="G28">
        <f>IF(Wizards!$A$5="","",IF(OR(ISNUMBER(SEARCH(", "&amp;$B28&amp;", ", ", "&amp;INDEX('Form Responses'!$I$1:$Q$200,5,$A28)&amp;", ")),ISNUMBER(SEARCH(", "&amp;$B28&amp;", ", ", "&amp;INDEX('Form Responses'!$R$1:$R$200,5)&amp;", "))),1,""))</f>
        <v/>
      </c>
      <c r="H28">
        <f>IF(Wizards!$A$6="","",IF(OR(ISNUMBER(SEARCH(", "&amp;$B28&amp;", ", ", "&amp;INDEX('Form Responses'!$I$1:$Q$200,6,$A28)&amp;", ")),ISNUMBER(SEARCH(", "&amp;$B28&amp;", ", ", "&amp;INDEX('Form Responses'!$R$1:$R$200,6)&amp;", "))),1,""))</f>
        <v/>
      </c>
      <c r="I28">
        <f>IF(Wizards!$A$7="","",IF(OR(ISNUMBER(SEARCH(", "&amp;$B28&amp;", ", ", "&amp;INDEX('Form Responses'!$I$1:$Q$200,7,$A28)&amp;", ")),ISNUMBER(SEARCH(", "&amp;$B28&amp;", ", ", "&amp;INDEX('Form Responses'!$R$1:$R$200,7)&amp;", "))),1,""))</f>
        <v/>
      </c>
      <c r="J28">
        <f>IF(Wizards!$A$8="","",IF(OR(ISNUMBER(SEARCH(", "&amp;$B28&amp;", ", ", "&amp;INDEX('Form Responses'!$I$1:$Q$200,8,$A28)&amp;", ")),ISNUMBER(SEARCH(", "&amp;$B28&amp;", ", ", "&amp;INDEX('Form Responses'!$R$1:$R$200,8)&amp;", "))),1,""))</f>
        <v/>
      </c>
      <c r="K28">
        <f>IF(Wizards!$A$9="","",IF(OR(ISNUMBER(SEARCH(", "&amp;$B28&amp;", ", ", "&amp;INDEX('Form Responses'!$I$1:$Q$200,9,$A28)&amp;", ")),ISNUMBER(SEARCH(", "&amp;$B28&amp;", ", ", "&amp;INDEX('Form Responses'!$R$1:$R$200,9)&amp;", "))),1,""))</f>
        <v/>
      </c>
      <c r="L28">
        <f>IF(Wizards!$A$10="","",IF(OR(ISNUMBER(SEARCH(", "&amp;$B28&amp;", ", ", "&amp;INDEX('Form Responses'!$I$1:$Q$200,10,$A28)&amp;", ")),ISNUMBER(SEARCH(", "&amp;$B28&amp;", ", ", "&amp;INDEX('Form Responses'!$R$1:$R$200,10)&amp;", "))),1,""))</f>
        <v/>
      </c>
      <c r="M28">
        <f>IF(Wizards!$A$11="","",IF(OR(ISNUMBER(SEARCH(", "&amp;$B28&amp;", ", ", "&amp;INDEX('Form Responses'!$I$1:$Q$200,11,$A28)&amp;", ")),ISNUMBER(SEARCH(", "&amp;$B28&amp;", ", ", "&amp;INDEX('Form Responses'!$R$1:$R$200,11)&amp;", "))),1,""))</f>
        <v/>
      </c>
      <c r="N28">
        <f>IF(Wizards!$A$12="","",IF(OR(ISNUMBER(SEARCH(", "&amp;$B28&amp;", ", ", "&amp;INDEX('Form Responses'!$I$1:$Q$200,12,$A28)&amp;", ")),ISNUMBER(SEARCH(", "&amp;$B28&amp;", ", ", "&amp;INDEX('Form Responses'!$R$1:$R$200,12)&amp;", "))),1,""))</f>
        <v/>
      </c>
      <c r="O28">
        <f>IF(Wizards!$A$13="","",IF(OR(ISNUMBER(SEARCH(", "&amp;$B28&amp;", ", ", "&amp;INDEX('Form Responses'!$I$1:$Q$200,13,$A28)&amp;", ")),ISNUMBER(SEARCH(", "&amp;$B28&amp;", ", ", "&amp;INDEX('Form Responses'!$R$1:$R$200,13)&amp;", "))),1,""))</f>
        <v/>
      </c>
      <c r="P28">
        <f>IF(Wizards!$A$14="","",IF(OR(ISNUMBER(SEARCH(", "&amp;$B28&amp;", ", ", "&amp;INDEX('Form Responses'!$I$1:$Q$200,14,$A28)&amp;", ")),ISNUMBER(SEARCH(", "&amp;$B28&amp;", ", ", "&amp;INDEX('Form Responses'!$R$1:$R$200,14)&amp;", "))),1,""))</f>
        <v/>
      </c>
      <c r="Q28">
        <f>IF(Wizards!$A$15="","",IF(OR(ISNUMBER(SEARCH(", "&amp;$B28&amp;", ", ", "&amp;INDEX('Form Responses'!$I$1:$Q$200,15,$A28)&amp;", ")),ISNUMBER(SEARCH(", "&amp;$B28&amp;", ", ", "&amp;INDEX('Form Responses'!$R$1:$R$200,15)&amp;", "))),1,""))</f>
        <v/>
      </c>
      <c r="R28">
        <f>IF(Wizards!$A$16="","",IF(OR(ISNUMBER(SEARCH(", "&amp;$B28&amp;", ", ", "&amp;INDEX('Form Responses'!$I$1:$Q$200,16,$A28)&amp;", ")),ISNUMBER(SEARCH(", "&amp;$B28&amp;", ", ", "&amp;INDEX('Form Responses'!$R$1:$R$200,16)&amp;", "))),1,""))</f>
        <v/>
      </c>
      <c r="S28">
        <f>IF(Wizards!$A$17="","",IF(OR(ISNUMBER(SEARCH(", "&amp;$B28&amp;", ", ", "&amp;INDEX('Form Responses'!$I$1:$Q$200,17,$A28)&amp;", ")),ISNUMBER(SEARCH(", "&amp;$B28&amp;", ", ", "&amp;INDEX('Form Responses'!$R$1:$R$200,17)&amp;", "))),1,""))</f>
        <v/>
      </c>
      <c r="T28">
        <f>IF(Wizards!$A$18="","",IF(OR(ISNUMBER(SEARCH(", "&amp;$B28&amp;", ", ", "&amp;INDEX('Form Responses'!$I$1:$Q$200,18,$A28)&amp;", ")),ISNUMBER(SEARCH(", "&amp;$B28&amp;", ", ", "&amp;INDEX('Form Responses'!$R$1:$R$200,18)&amp;", "))),1,""))</f>
        <v/>
      </c>
      <c r="U28">
        <f>IF(Wizards!$A$19="","",IF(OR(ISNUMBER(SEARCH(", "&amp;$B28&amp;", ", ", "&amp;INDEX('Form Responses'!$I$1:$Q$200,19,$A28)&amp;", ")),ISNUMBER(SEARCH(", "&amp;$B28&amp;", ", ", "&amp;INDEX('Form Responses'!$R$1:$R$200,19)&amp;", "))),1,""))</f>
        <v/>
      </c>
      <c r="V28">
        <f>IF(Wizards!$A$20="","",IF(OR(ISNUMBER(SEARCH(", "&amp;$B28&amp;", ", ", "&amp;INDEX('Form Responses'!$I$1:$Q$200,20,$A28)&amp;", ")),ISNUMBER(SEARCH(", "&amp;$B28&amp;", ", ", "&amp;INDEX('Form Responses'!$R$1:$R$200,20)&amp;", "))),1,""))</f>
        <v/>
      </c>
      <c r="W28">
        <f>IF(Wizards!$A$21="","",IF(OR(ISNUMBER(SEARCH(", "&amp;$B28&amp;", ", ", "&amp;INDEX('Form Responses'!$I$1:$Q$200,21,$A28)&amp;", ")),ISNUMBER(SEARCH(", "&amp;$B28&amp;", ", ", "&amp;INDEX('Form Responses'!$R$1:$R$200,21)&amp;", "))),1,""))</f>
        <v/>
      </c>
      <c r="X28">
        <f>IF(Wizards!$A$22="","",IF(OR(ISNUMBER(SEARCH(", "&amp;$B28&amp;", ", ", "&amp;INDEX('Form Responses'!$I$1:$Q$200,22,$A28)&amp;", ")),ISNUMBER(SEARCH(", "&amp;$B28&amp;", ", ", "&amp;INDEX('Form Responses'!$R$1:$R$200,22)&amp;", "))),1,""))</f>
        <v/>
      </c>
      <c r="Y28">
        <f>IF(Wizards!$A$23="","",IF(OR(ISNUMBER(SEARCH(", "&amp;$B28&amp;", ", ", "&amp;INDEX('Form Responses'!$I$1:$Q$200,23,$A28)&amp;", ")),ISNUMBER(SEARCH(", "&amp;$B28&amp;", ", ", "&amp;INDEX('Form Responses'!$R$1:$R$200,23)&amp;", "))),1,""))</f>
        <v/>
      </c>
      <c r="Z28">
        <f>IF(Wizards!$A$24="","",IF(OR(ISNUMBER(SEARCH(", "&amp;$B28&amp;", ", ", "&amp;INDEX('Form Responses'!$I$1:$Q$200,24,$A28)&amp;", ")),ISNUMBER(SEARCH(", "&amp;$B28&amp;", ", ", "&amp;INDEX('Form Responses'!$R$1:$R$200,24)&amp;", "))),1,""))</f>
        <v/>
      </c>
      <c r="AA28">
        <f>IF(Wizards!$A$25="","",IF(OR(ISNUMBER(SEARCH(", "&amp;$B28&amp;", ", ", "&amp;INDEX('Form Responses'!$I$1:$Q$200,25,$A28)&amp;", ")),ISNUMBER(SEARCH(", "&amp;$B28&amp;", ", ", "&amp;INDEX('Form Responses'!$R$1:$R$200,25)&amp;", "))),1,""))</f>
        <v/>
      </c>
      <c r="AB28">
        <f>IF(D28=1,", "&amp;D$1,"")</f>
        <v/>
      </c>
      <c r="AC28">
        <f>IF(E28=1,", "&amp;E$1,"")</f>
        <v/>
      </c>
      <c r="AD28">
        <f>IF(F28=1,", "&amp;F$1,"")</f>
        <v/>
      </c>
      <c r="AE28">
        <f>IF(G28=1,", "&amp;G$1,"")</f>
        <v/>
      </c>
      <c r="AF28">
        <f>IF(H28=1,", "&amp;H$1,"")</f>
        <v/>
      </c>
      <c r="AG28">
        <f>IF(I28=1,", "&amp;I$1,"")</f>
        <v/>
      </c>
      <c r="AH28">
        <f>IF(J28=1,", "&amp;J$1,"")</f>
        <v/>
      </c>
      <c r="AI28">
        <f>IF(K28=1,", "&amp;K$1,"")</f>
        <v/>
      </c>
      <c r="AJ28">
        <f>IF(L28=1,", "&amp;L$1,"")</f>
        <v/>
      </c>
      <c r="AK28">
        <f>IF(M28=1,", "&amp;M$1,"")</f>
        <v/>
      </c>
      <c r="AL28">
        <f>IF(N28=1,", "&amp;N$1,"")</f>
        <v/>
      </c>
      <c r="AM28">
        <f>IF(O28=1,", "&amp;O$1,"")</f>
        <v/>
      </c>
      <c r="AN28">
        <f>IF(P28=1,", "&amp;P$1,"")</f>
        <v/>
      </c>
      <c r="AO28">
        <f>IF(Q28=1,", "&amp;Q$1,"")</f>
        <v/>
      </c>
      <c r="AP28">
        <f>IF(R28=1,", "&amp;R$1,"")</f>
        <v/>
      </c>
      <c r="AQ28">
        <f>IF(S28=1,", "&amp;S$1,"")</f>
        <v/>
      </c>
      <c r="AR28">
        <f>IF(T28=1,", "&amp;T$1,"")</f>
        <v/>
      </c>
      <c r="AS28">
        <f>IF(U28=1,", "&amp;U$1,"")</f>
        <v/>
      </c>
      <c r="AT28">
        <f>IF(V28=1,", "&amp;V$1,"")</f>
        <v/>
      </c>
      <c r="AU28">
        <f>IF(W28=1,", "&amp;W$1,"")</f>
        <v/>
      </c>
      <c r="AV28">
        <f>IF(X28=1,", "&amp;X$1,"")</f>
        <v/>
      </c>
      <c r="AW28">
        <f>IF(Y28=1,", "&amp;Y$1,"")</f>
        <v/>
      </c>
      <c r="AX28">
        <f>IF(Z28=1,", "&amp;Z$1,"")</f>
        <v/>
      </c>
      <c r="AY28">
        <f>IF(AA28=1,", "&amp;AA$1,"")</f>
        <v/>
      </c>
      <c r="AZ28">
        <f>MID($AB28&amp;$AC28&amp;$AD28&amp;$AE28&amp;$AF28&amp;$AG28&amp;$AH28&amp;$AI28&amp;$AJ28&amp;$AK28&amp;$AL28&amp;$AM28&amp;$AN28&amp;$AO28&amp;$AP28&amp;$AQ28&amp;$AR28&amp;$AS28&amp;$AT28&amp;$AU28&amp;$AV28&amp;$AW28&amp;$AX28&amp;$AY28,3,32767)</f>
        <v/>
      </c>
      <c r="BA28">
        <f>COUNT($D28:$AA28)</f>
        <v/>
      </c>
    </row>
    <row r="29">
      <c r="A29" t="n">
        <v>1</v>
      </c>
      <c r="B29" t="inlineStr">
        <is>
          <t>Ray of Sickness</t>
        </is>
      </c>
      <c r="C29" t="inlineStr">
        <is>
          <t>Necromancy</t>
        </is>
      </c>
      <c r="D29">
        <f>IF(Wizards!$A$2="","",IF(OR(ISNUMBER(SEARCH(", "&amp;$B29&amp;", ", ", "&amp;INDEX('Form Responses'!$I$1:$Q$200,2,$A29)&amp;", ")),ISNUMBER(SEARCH(", "&amp;$B29&amp;", ", ", "&amp;INDEX('Form Responses'!$R$1:$R$200,2)&amp;", "))),1,""))</f>
        <v/>
      </c>
      <c r="E29">
        <f>IF(Wizards!$A$3="","",IF(OR(ISNUMBER(SEARCH(", "&amp;$B29&amp;", ", ", "&amp;INDEX('Form Responses'!$I$1:$Q$200,3,$A29)&amp;", ")),ISNUMBER(SEARCH(", "&amp;$B29&amp;", ", ", "&amp;INDEX('Form Responses'!$R$1:$R$200,3)&amp;", "))),1,""))</f>
        <v/>
      </c>
      <c r="F29">
        <f>IF(Wizards!$A$4="","",IF(OR(ISNUMBER(SEARCH(", "&amp;$B29&amp;", ", ", "&amp;INDEX('Form Responses'!$I$1:$Q$200,4,$A29)&amp;", ")),ISNUMBER(SEARCH(", "&amp;$B29&amp;", ", ", "&amp;INDEX('Form Responses'!$R$1:$R$200,4)&amp;", "))),1,""))</f>
        <v/>
      </c>
      <c r="G29">
        <f>IF(Wizards!$A$5="","",IF(OR(ISNUMBER(SEARCH(", "&amp;$B29&amp;", ", ", "&amp;INDEX('Form Responses'!$I$1:$Q$200,5,$A29)&amp;", ")),ISNUMBER(SEARCH(", "&amp;$B29&amp;", ", ", "&amp;INDEX('Form Responses'!$R$1:$R$200,5)&amp;", "))),1,""))</f>
        <v/>
      </c>
      <c r="H29">
        <f>IF(Wizards!$A$6="","",IF(OR(ISNUMBER(SEARCH(", "&amp;$B29&amp;", ", ", "&amp;INDEX('Form Responses'!$I$1:$Q$200,6,$A29)&amp;", ")),ISNUMBER(SEARCH(", "&amp;$B29&amp;", ", ", "&amp;INDEX('Form Responses'!$R$1:$R$200,6)&amp;", "))),1,""))</f>
        <v/>
      </c>
      <c r="I29">
        <f>IF(Wizards!$A$7="","",IF(OR(ISNUMBER(SEARCH(", "&amp;$B29&amp;", ", ", "&amp;INDEX('Form Responses'!$I$1:$Q$200,7,$A29)&amp;", ")),ISNUMBER(SEARCH(", "&amp;$B29&amp;", ", ", "&amp;INDEX('Form Responses'!$R$1:$R$200,7)&amp;", "))),1,""))</f>
        <v/>
      </c>
      <c r="J29">
        <f>IF(Wizards!$A$8="","",IF(OR(ISNUMBER(SEARCH(", "&amp;$B29&amp;", ", ", "&amp;INDEX('Form Responses'!$I$1:$Q$200,8,$A29)&amp;", ")),ISNUMBER(SEARCH(", "&amp;$B29&amp;", ", ", "&amp;INDEX('Form Responses'!$R$1:$R$200,8)&amp;", "))),1,""))</f>
        <v/>
      </c>
      <c r="K29">
        <f>IF(Wizards!$A$9="","",IF(OR(ISNUMBER(SEARCH(", "&amp;$B29&amp;", ", ", "&amp;INDEX('Form Responses'!$I$1:$Q$200,9,$A29)&amp;", ")),ISNUMBER(SEARCH(", "&amp;$B29&amp;", ", ", "&amp;INDEX('Form Responses'!$R$1:$R$200,9)&amp;", "))),1,""))</f>
        <v/>
      </c>
      <c r="L29">
        <f>IF(Wizards!$A$10="","",IF(OR(ISNUMBER(SEARCH(", "&amp;$B29&amp;", ", ", "&amp;INDEX('Form Responses'!$I$1:$Q$200,10,$A29)&amp;", ")),ISNUMBER(SEARCH(", "&amp;$B29&amp;", ", ", "&amp;INDEX('Form Responses'!$R$1:$R$200,10)&amp;", "))),1,""))</f>
        <v/>
      </c>
      <c r="M29">
        <f>IF(Wizards!$A$11="","",IF(OR(ISNUMBER(SEARCH(", "&amp;$B29&amp;", ", ", "&amp;INDEX('Form Responses'!$I$1:$Q$200,11,$A29)&amp;", ")),ISNUMBER(SEARCH(", "&amp;$B29&amp;", ", ", "&amp;INDEX('Form Responses'!$R$1:$R$200,11)&amp;", "))),1,""))</f>
        <v/>
      </c>
      <c r="N29">
        <f>IF(Wizards!$A$12="","",IF(OR(ISNUMBER(SEARCH(", "&amp;$B29&amp;", ", ", "&amp;INDEX('Form Responses'!$I$1:$Q$200,12,$A29)&amp;", ")),ISNUMBER(SEARCH(", "&amp;$B29&amp;", ", ", "&amp;INDEX('Form Responses'!$R$1:$R$200,12)&amp;", "))),1,""))</f>
        <v/>
      </c>
      <c r="O29">
        <f>IF(Wizards!$A$13="","",IF(OR(ISNUMBER(SEARCH(", "&amp;$B29&amp;", ", ", "&amp;INDEX('Form Responses'!$I$1:$Q$200,13,$A29)&amp;", ")),ISNUMBER(SEARCH(", "&amp;$B29&amp;", ", ", "&amp;INDEX('Form Responses'!$R$1:$R$200,13)&amp;", "))),1,""))</f>
        <v/>
      </c>
      <c r="P29">
        <f>IF(Wizards!$A$14="","",IF(OR(ISNUMBER(SEARCH(", "&amp;$B29&amp;", ", ", "&amp;INDEX('Form Responses'!$I$1:$Q$200,14,$A29)&amp;", ")),ISNUMBER(SEARCH(", "&amp;$B29&amp;", ", ", "&amp;INDEX('Form Responses'!$R$1:$R$200,14)&amp;", "))),1,""))</f>
        <v/>
      </c>
      <c r="Q29">
        <f>IF(Wizards!$A$15="","",IF(OR(ISNUMBER(SEARCH(", "&amp;$B29&amp;", ", ", "&amp;INDEX('Form Responses'!$I$1:$Q$200,15,$A29)&amp;", ")),ISNUMBER(SEARCH(", "&amp;$B29&amp;", ", ", "&amp;INDEX('Form Responses'!$R$1:$R$200,15)&amp;", "))),1,""))</f>
        <v/>
      </c>
      <c r="R29">
        <f>IF(Wizards!$A$16="","",IF(OR(ISNUMBER(SEARCH(", "&amp;$B29&amp;", ", ", "&amp;INDEX('Form Responses'!$I$1:$Q$200,16,$A29)&amp;", ")),ISNUMBER(SEARCH(", "&amp;$B29&amp;", ", ", "&amp;INDEX('Form Responses'!$R$1:$R$200,16)&amp;", "))),1,""))</f>
        <v/>
      </c>
      <c r="S29">
        <f>IF(Wizards!$A$17="","",IF(OR(ISNUMBER(SEARCH(", "&amp;$B29&amp;", ", ", "&amp;INDEX('Form Responses'!$I$1:$Q$200,17,$A29)&amp;", ")),ISNUMBER(SEARCH(", "&amp;$B29&amp;", ", ", "&amp;INDEX('Form Responses'!$R$1:$R$200,17)&amp;", "))),1,""))</f>
        <v/>
      </c>
      <c r="T29">
        <f>IF(Wizards!$A$18="","",IF(OR(ISNUMBER(SEARCH(", "&amp;$B29&amp;", ", ", "&amp;INDEX('Form Responses'!$I$1:$Q$200,18,$A29)&amp;", ")),ISNUMBER(SEARCH(", "&amp;$B29&amp;", ", ", "&amp;INDEX('Form Responses'!$R$1:$R$200,18)&amp;", "))),1,""))</f>
        <v/>
      </c>
      <c r="U29">
        <f>IF(Wizards!$A$19="","",IF(OR(ISNUMBER(SEARCH(", "&amp;$B29&amp;", ", ", "&amp;INDEX('Form Responses'!$I$1:$Q$200,19,$A29)&amp;", ")),ISNUMBER(SEARCH(", "&amp;$B29&amp;", ", ", "&amp;INDEX('Form Responses'!$R$1:$R$200,19)&amp;", "))),1,""))</f>
        <v/>
      </c>
      <c r="V29">
        <f>IF(Wizards!$A$20="","",IF(OR(ISNUMBER(SEARCH(", "&amp;$B29&amp;", ", ", "&amp;INDEX('Form Responses'!$I$1:$Q$200,20,$A29)&amp;", ")),ISNUMBER(SEARCH(", "&amp;$B29&amp;", ", ", "&amp;INDEX('Form Responses'!$R$1:$R$200,20)&amp;", "))),1,""))</f>
        <v/>
      </c>
      <c r="W29">
        <f>IF(Wizards!$A$21="","",IF(OR(ISNUMBER(SEARCH(", "&amp;$B29&amp;", ", ", "&amp;INDEX('Form Responses'!$I$1:$Q$200,21,$A29)&amp;", ")),ISNUMBER(SEARCH(", "&amp;$B29&amp;", ", ", "&amp;INDEX('Form Responses'!$R$1:$R$200,21)&amp;", "))),1,""))</f>
        <v/>
      </c>
      <c r="X29">
        <f>IF(Wizards!$A$22="","",IF(OR(ISNUMBER(SEARCH(", "&amp;$B29&amp;", ", ", "&amp;INDEX('Form Responses'!$I$1:$Q$200,22,$A29)&amp;", ")),ISNUMBER(SEARCH(", "&amp;$B29&amp;", ", ", "&amp;INDEX('Form Responses'!$R$1:$R$200,22)&amp;", "))),1,""))</f>
        <v/>
      </c>
      <c r="Y29">
        <f>IF(Wizards!$A$23="","",IF(OR(ISNUMBER(SEARCH(", "&amp;$B29&amp;", ", ", "&amp;INDEX('Form Responses'!$I$1:$Q$200,23,$A29)&amp;", ")),ISNUMBER(SEARCH(", "&amp;$B29&amp;", ", ", "&amp;INDEX('Form Responses'!$R$1:$R$200,23)&amp;", "))),1,""))</f>
        <v/>
      </c>
      <c r="Z29">
        <f>IF(Wizards!$A$24="","",IF(OR(ISNUMBER(SEARCH(", "&amp;$B29&amp;", ", ", "&amp;INDEX('Form Responses'!$I$1:$Q$200,24,$A29)&amp;", ")),ISNUMBER(SEARCH(", "&amp;$B29&amp;", ", ", "&amp;INDEX('Form Responses'!$R$1:$R$200,24)&amp;", "))),1,""))</f>
        <v/>
      </c>
      <c r="AA29">
        <f>IF(Wizards!$A$25="","",IF(OR(ISNUMBER(SEARCH(", "&amp;$B29&amp;", ", ", "&amp;INDEX('Form Responses'!$I$1:$Q$200,25,$A29)&amp;", ")),ISNUMBER(SEARCH(", "&amp;$B29&amp;", ", ", "&amp;INDEX('Form Responses'!$R$1:$R$200,25)&amp;", "))),1,""))</f>
        <v/>
      </c>
      <c r="AB29">
        <f>IF(D29=1,", "&amp;D$1,"")</f>
        <v/>
      </c>
      <c r="AC29">
        <f>IF(E29=1,", "&amp;E$1,"")</f>
        <v/>
      </c>
      <c r="AD29">
        <f>IF(F29=1,", "&amp;F$1,"")</f>
        <v/>
      </c>
      <c r="AE29">
        <f>IF(G29=1,", "&amp;G$1,"")</f>
        <v/>
      </c>
      <c r="AF29">
        <f>IF(H29=1,", "&amp;H$1,"")</f>
        <v/>
      </c>
      <c r="AG29">
        <f>IF(I29=1,", "&amp;I$1,"")</f>
        <v/>
      </c>
      <c r="AH29">
        <f>IF(J29=1,", "&amp;J$1,"")</f>
        <v/>
      </c>
      <c r="AI29">
        <f>IF(K29=1,", "&amp;K$1,"")</f>
        <v/>
      </c>
      <c r="AJ29">
        <f>IF(L29=1,", "&amp;L$1,"")</f>
        <v/>
      </c>
      <c r="AK29">
        <f>IF(M29=1,", "&amp;M$1,"")</f>
        <v/>
      </c>
      <c r="AL29">
        <f>IF(N29=1,", "&amp;N$1,"")</f>
        <v/>
      </c>
      <c r="AM29">
        <f>IF(O29=1,", "&amp;O$1,"")</f>
        <v/>
      </c>
      <c r="AN29">
        <f>IF(P29=1,", "&amp;P$1,"")</f>
        <v/>
      </c>
      <c r="AO29">
        <f>IF(Q29=1,", "&amp;Q$1,"")</f>
        <v/>
      </c>
      <c r="AP29">
        <f>IF(R29=1,", "&amp;R$1,"")</f>
        <v/>
      </c>
      <c r="AQ29">
        <f>IF(S29=1,", "&amp;S$1,"")</f>
        <v/>
      </c>
      <c r="AR29">
        <f>IF(T29=1,", "&amp;T$1,"")</f>
        <v/>
      </c>
      <c r="AS29">
        <f>IF(U29=1,", "&amp;U$1,"")</f>
        <v/>
      </c>
      <c r="AT29">
        <f>IF(V29=1,", "&amp;V$1,"")</f>
        <v/>
      </c>
      <c r="AU29">
        <f>IF(W29=1,", "&amp;W$1,"")</f>
        <v/>
      </c>
      <c r="AV29">
        <f>IF(X29=1,", "&amp;X$1,"")</f>
        <v/>
      </c>
      <c r="AW29">
        <f>IF(Y29=1,", "&amp;Y$1,"")</f>
        <v/>
      </c>
      <c r="AX29">
        <f>IF(Z29=1,", "&amp;Z$1,"")</f>
        <v/>
      </c>
      <c r="AY29">
        <f>IF(AA29=1,", "&amp;AA$1,"")</f>
        <v/>
      </c>
      <c r="AZ29">
        <f>MID($AB29&amp;$AC29&amp;$AD29&amp;$AE29&amp;$AF29&amp;$AG29&amp;$AH29&amp;$AI29&amp;$AJ29&amp;$AK29&amp;$AL29&amp;$AM29&amp;$AN29&amp;$AO29&amp;$AP29&amp;$AQ29&amp;$AR29&amp;$AS29&amp;$AT29&amp;$AU29&amp;$AV29&amp;$AW29&amp;$AX29&amp;$AY29,3,32767)</f>
        <v/>
      </c>
      <c r="BA29">
        <f>COUNT($D29:$AA29)</f>
        <v/>
      </c>
    </row>
    <row r="30">
      <c r="A30" t="n">
        <v>1</v>
      </c>
      <c r="B30" t="inlineStr">
        <is>
          <t>Shield</t>
        </is>
      </c>
      <c r="C30" t="inlineStr">
        <is>
          <t>Abjuration</t>
        </is>
      </c>
      <c r="D30">
        <f>IF(Wizards!$A$2="","",IF(OR(ISNUMBER(SEARCH(", "&amp;$B30&amp;", ", ", "&amp;INDEX('Form Responses'!$I$1:$Q$200,2,$A30)&amp;", ")),ISNUMBER(SEARCH(", "&amp;$B30&amp;", ", ", "&amp;INDEX('Form Responses'!$R$1:$R$200,2)&amp;", "))),1,""))</f>
        <v/>
      </c>
      <c r="E30">
        <f>IF(Wizards!$A$3="","",IF(OR(ISNUMBER(SEARCH(", "&amp;$B30&amp;", ", ", "&amp;INDEX('Form Responses'!$I$1:$Q$200,3,$A30)&amp;", ")),ISNUMBER(SEARCH(", "&amp;$B30&amp;", ", ", "&amp;INDEX('Form Responses'!$R$1:$R$200,3)&amp;", "))),1,""))</f>
        <v/>
      </c>
      <c r="F30">
        <f>IF(Wizards!$A$4="","",IF(OR(ISNUMBER(SEARCH(", "&amp;$B30&amp;", ", ", "&amp;INDEX('Form Responses'!$I$1:$Q$200,4,$A30)&amp;", ")),ISNUMBER(SEARCH(", "&amp;$B30&amp;", ", ", "&amp;INDEX('Form Responses'!$R$1:$R$200,4)&amp;", "))),1,""))</f>
        <v/>
      </c>
      <c r="G30">
        <f>IF(Wizards!$A$5="","",IF(OR(ISNUMBER(SEARCH(", "&amp;$B30&amp;", ", ", "&amp;INDEX('Form Responses'!$I$1:$Q$200,5,$A30)&amp;", ")),ISNUMBER(SEARCH(", "&amp;$B30&amp;", ", ", "&amp;INDEX('Form Responses'!$R$1:$R$200,5)&amp;", "))),1,""))</f>
        <v/>
      </c>
      <c r="H30">
        <f>IF(Wizards!$A$6="","",IF(OR(ISNUMBER(SEARCH(", "&amp;$B30&amp;", ", ", "&amp;INDEX('Form Responses'!$I$1:$Q$200,6,$A30)&amp;", ")),ISNUMBER(SEARCH(", "&amp;$B30&amp;", ", ", "&amp;INDEX('Form Responses'!$R$1:$R$200,6)&amp;", "))),1,""))</f>
        <v/>
      </c>
      <c r="I30">
        <f>IF(Wizards!$A$7="","",IF(OR(ISNUMBER(SEARCH(", "&amp;$B30&amp;", ", ", "&amp;INDEX('Form Responses'!$I$1:$Q$200,7,$A30)&amp;", ")),ISNUMBER(SEARCH(", "&amp;$B30&amp;", ", ", "&amp;INDEX('Form Responses'!$R$1:$R$200,7)&amp;", "))),1,""))</f>
        <v/>
      </c>
      <c r="J30">
        <f>IF(Wizards!$A$8="","",IF(OR(ISNUMBER(SEARCH(", "&amp;$B30&amp;", ", ", "&amp;INDEX('Form Responses'!$I$1:$Q$200,8,$A30)&amp;", ")),ISNUMBER(SEARCH(", "&amp;$B30&amp;", ", ", "&amp;INDEX('Form Responses'!$R$1:$R$200,8)&amp;", "))),1,""))</f>
        <v/>
      </c>
      <c r="K30">
        <f>IF(Wizards!$A$9="","",IF(OR(ISNUMBER(SEARCH(", "&amp;$B30&amp;", ", ", "&amp;INDEX('Form Responses'!$I$1:$Q$200,9,$A30)&amp;", ")),ISNUMBER(SEARCH(", "&amp;$B30&amp;", ", ", "&amp;INDEX('Form Responses'!$R$1:$R$200,9)&amp;", "))),1,""))</f>
        <v/>
      </c>
      <c r="L30">
        <f>IF(Wizards!$A$10="","",IF(OR(ISNUMBER(SEARCH(", "&amp;$B30&amp;", ", ", "&amp;INDEX('Form Responses'!$I$1:$Q$200,10,$A30)&amp;", ")),ISNUMBER(SEARCH(", "&amp;$B30&amp;", ", ", "&amp;INDEX('Form Responses'!$R$1:$R$200,10)&amp;", "))),1,""))</f>
        <v/>
      </c>
      <c r="M30">
        <f>IF(Wizards!$A$11="","",IF(OR(ISNUMBER(SEARCH(", "&amp;$B30&amp;", ", ", "&amp;INDEX('Form Responses'!$I$1:$Q$200,11,$A30)&amp;", ")),ISNUMBER(SEARCH(", "&amp;$B30&amp;", ", ", "&amp;INDEX('Form Responses'!$R$1:$R$200,11)&amp;", "))),1,""))</f>
        <v/>
      </c>
      <c r="N30">
        <f>IF(Wizards!$A$12="","",IF(OR(ISNUMBER(SEARCH(", "&amp;$B30&amp;", ", ", "&amp;INDEX('Form Responses'!$I$1:$Q$200,12,$A30)&amp;", ")),ISNUMBER(SEARCH(", "&amp;$B30&amp;", ", ", "&amp;INDEX('Form Responses'!$R$1:$R$200,12)&amp;", "))),1,""))</f>
        <v/>
      </c>
      <c r="O30">
        <f>IF(Wizards!$A$13="","",IF(OR(ISNUMBER(SEARCH(", "&amp;$B30&amp;", ", ", "&amp;INDEX('Form Responses'!$I$1:$Q$200,13,$A30)&amp;", ")),ISNUMBER(SEARCH(", "&amp;$B30&amp;", ", ", "&amp;INDEX('Form Responses'!$R$1:$R$200,13)&amp;", "))),1,""))</f>
        <v/>
      </c>
      <c r="P30">
        <f>IF(Wizards!$A$14="","",IF(OR(ISNUMBER(SEARCH(", "&amp;$B30&amp;", ", ", "&amp;INDEX('Form Responses'!$I$1:$Q$200,14,$A30)&amp;", ")),ISNUMBER(SEARCH(", "&amp;$B30&amp;", ", ", "&amp;INDEX('Form Responses'!$R$1:$R$200,14)&amp;", "))),1,""))</f>
        <v/>
      </c>
      <c r="Q30">
        <f>IF(Wizards!$A$15="","",IF(OR(ISNUMBER(SEARCH(", "&amp;$B30&amp;", ", ", "&amp;INDEX('Form Responses'!$I$1:$Q$200,15,$A30)&amp;", ")),ISNUMBER(SEARCH(", "&amp;$B30&amp;", ", ", "&amp;INDEX('Form Responses'!$R$1:$R$200,15)&amp;", "))),1,""))</f>
        <v/>
      </c>
      <c r="R30">
        <f>IF(Wizards!$A$16="","",IF(OR(ISNUMBER(SEARCH(", "&amp;$B30&amp;", ", ", "&amp;INDEX('Form Responses'!$I$1:$Q$200,16,$A30)&amp;", ")),ISNUMBER(SEARCH(", "&amp;$B30&amp;", ", ", "&amp;INDEX('Form Responses'!$R$1:$R$200,16)&amp;", "))),1,""))</f>
        <v/>
      </c>
      <c r="S30">
        <f>IF(Wizards!$A$17="","",IF(OR(ISNUMBER(SEARCH(", "&amp;$B30&amp;", ", ", "&amp;INDEX('Form Responses'!$I$1:$Q$200,17,$A30)&amp;", ")),ISNUMBER(SEARCH(", "&amp;$B30&amp;", ", ", "&amp;INDEX('Form Responses'!$R$1:$R$200,17)&amp;", "))),1,""))</f>
        <v/>
      </c>
      <c r="T30">
        <f>IF(Wizards!$A$18="","",IF(OR(ISNUMBER(SEARCH(", "&amp;$B30&amp;", ", ", "&amp;INDEX('Form Responses'!$I$1:$Q$200,18,$A30)&amp;", ")),ISNUMBER(SEARCH(", "&amp;$B30&amp;", ", ", "&amp;INDEX('Form Responses'!$R$1:$R$200,18)&amp;", "))),1,""))</f>
        <v/>
      </c>
      <c r="U30">
        <f>IF(Wizards!$A$19="","",IF(OR(ISNUMBER(SEARCH(", "&amp;$B30&amp;", ", ", "&amp;INDEX('Form Responses'!$I$1:$Q$200,19,$A30)&amp;", ")),ISNUMBER(SEARCH(", "&amp;$B30&amp;", ", ", "&amp;INDEX('Form Responses'!$R$1:$R$200,19)&amp;", "))),1,""))</f>
        <v/>
      </c>
      <c r="V30">
        <f>IF(Wizards!$A$20="","",IF(OR(ISNUMBER(SEARCH(", "&amp;$B30&amp;", ", ", "&amp;INDEX('Form Responses'!$I$1:$Q$200,20,$A30)&amp;", ")),ISNUMBER(SEARCH(", "&amp;$B30&amp;", ", ", "&amp;INDEX('Form Responses'!$R$1:$R$200,20)&amp;", "))),1,""))</f>
        <v/>
      </c>
      <c r="W30">
        <f>IF(Wizards!$A$21="","",IF(OR(ISNUMBER(SEARCH(", "&amp;$B30&amp;", ", ", "&amp;INDEX('Form Responses'!$I$1:$Q$200,21,$A30)&amp;", ")),ISNUMBER(SEARCH(", "&amp;$B30&amp;", ", ", "&amp;INDEX('Form Responses'!$R$1:$R$200,21)&amp;", "))),1,""))</f>
        <v/>
      </c>
      <c r="X30">
        <f>IF(Wizards!$A$22="","",IF(OR(ISNUMBER(SEARCH(", "&amp;$B30&amp;", ", ", "&amp;INDEX('Form Responses'!$I$1:$Q$200,22,$A30)&amp;", ")),ISNUMBER(SEARCH(", "&amp;$B30&amp;", ", ", "&amp;INDEX('Form Responses'!$R$1:$R$200,22)&amp;", "))),1,""))</f>
        <v/>
      </c>
      <c r="Y30">
        <f>IF(Wizards!$A$23="","",IF(OR(ISNUMBER(SEARCH(", "&amp;$B30&amp;", ", ", "&amp;INDEX('Form Responses'!$I$1:$Q$200,23,$A30)&amp;", ")),ISNUMBER(SEARCH(", "&amp;$B30&amp;", ", ", "&amp;INDEX('Form Responses'!$R$1:$R$200,23)&amp;", "))),1,""))</f>
        <v/>
      </c>
      <c r="Z30">
        <f>IF(Wizards!$A$24="","",IF(OR(ISNUMBER(SEARCH(", "&amp;$B30&amp;", ", ", "&amp;INDEX('Form Responses'!$I$1:$Q$200,24,$A30)&amp;", ")),ISNUMBER(SEARCH(", "&amp;$B30&amp;", ", ", "&amp;INDEX('Form Responses'!$R$1:$R$200,24)&amp;", "))),1,""))</f>
        <v/>
      </c>
      <c r="AA30">
        <f>IF(Wizards!$A$25="","",IF(OR(ISNUMBER(SEARCH(", "&amp;$B30&amp;", ", ", "&amp;INDEX('Form Responses'!$I$1:$Q$200,25,$A30)&amp;", ")),ISNUMBER(SEARCH(", "&amp;$B30&amp;", ", ", "&amp;INDEX('Form Responses'!$R$1:$R$200,25)&amp;", "))),1,""))</f>
        <v/>
      </c>
      <c r="AB30">
        <f>IF(D30=1,", "&amp;D$1,"")</f>
        <v/>
      </c>
      <c r="AC30">
        <f>IF(E30=1,", "&amp;E$1,"")</f>
        <v/>
      </c>
      <c r="AD30">
        <f>IF(F30=1,", "&amp;F$1,"")</f>
        <v/>
      </c>
      <c r="AE30">
        <f>IF(G30=1,", "&amp;G$1,"")</f>
        <v/>
      </c>
      <c r="AF30">
        <f>IF(H30=1,", "&amp;H$1,"")</f>
        <v/>
      </c>
      <c r="AG30">
        <f>IF(I30=1,", "&amp;I$1,"")</f>
        <v/>
      </c>
      <c r="AH30">
        <f>IF(J30=1,", "&amp;J$1,"")</f>
        <v/>
      </c>
      <c r="AI30">
        <f>IF(K30=1,", "&amp;K$1,"")</f>
        <v/>
      </c>
      <c r="AJ30">
        <f>IF(L30=1,", "&amp;L$1,"")</f>
        <v/>
      </c>
      <c r="AK30">
        <f>IF(M30=1,", "&amp;M$1,"")</f>
        <v/>
      </c>
      <c r="AL30">
        <f>IF(N30=1,", "&amp;N$1,"")</f>
        <v/>
      </c>
      <c r="AM30">
        <f>IF(O30=1,", "&amp;O$1,"")</f>
        <v/>
      </c>
      <c r="AN30">
        <f>IF(P30=1,", "&amp;P$1,"")</f>
        <v/>
      </c>
      <c r="AO30">
        <f>IF(Q30=1,", "&amp;Q$1,"")</f>
        <v/>
      </c>
      <c r="AP30">
        <f>IF(R30=1,", "&amp;R$1,"")</f>
        <v/>
      </c>
      <c r="AQ30">
        <f>IF(S30=1,", "&amp;S$1,"")</f>
        <v/>
      </c>
      <c r="AR30">
        <f>IF(T30=1,", "&amp;T$1,"")</f>
        <v/>
      </c>
      <c r="AS30">
        <f>IF(U30=1,", "&amp;U$1,"")</f>
        <v/>
      </c>
      <c r="AT30">
        <f>IF(V30=1,", "&amp;V$1,"")</f>
        <v/>
      </c>
      <c r="AU30">
        <f>IF(W30=1,", "&amp;W$1,"")</f>
        <v/>
      </c>
      <c r="AV30">
        <f>IF(X30=1,", "&amp;X$1,"")</f>
        <v/>
      </c>
      <c r="AW30">
        <f>IF(Y30=1,", "&amp;Y$1,"")</f>
        <v/>
      </c>
      <c r="AX30">
        <f>IF(Z30=1,", "&amp;Z$1,"")</f>
        <v/>
      </c>
      <c r="AY30">
        <f>IF(AA30=1,", "&amp;AA$1,"")</f>
        <v/>
      </c>
      <c r="AZ30">
        <f>MID($AB30&amp;$AC30&amp;$AD30&amp;$AE30&amp;$AF30&amp;$AG30&amp;$AH30&amp;$AI30&amp;$AJ30&amp;$AK30&amp;$AL30&amp;$AM30&amp;$AN30&amp;$AO30&amp;$AP30&amp;$AQ30&amp;$AR30&amp;$AS30&amp;$AT30&amp;$AU30&amp;$AV30&amp;$AW30&amp;$AX30&amp;$AY30,3,32767)</f>
        <v/>
      </c>
      <c r="BA30">
        <f>COUNT($D30:$AA30)</f>
        <v/>
      </c>
    </row>
    <row r="31">
      <c r="A31" t="n">
        <v>1</v>
      </c>
      <c r="B31" t="inlineStr">
        <is>
          <t>Silent Image</t>
        </is>
      </c>
      <c r="C31" t="inlineStr">
        <is>
          <t>Illusion</t>
        </is>
      </c>
      <c r="D31">
        <f>IF(Wizards!$A$2="","",IF(OR(ISNUMBER(SEARCH(", "&amp;$B31&amp;", ", ", "&amp;INDEX('Form Responses'!$I$1:$Q$200,2,$A31)&amp;", ")),ISNUMBER(SEARCH(", "&amp;$B31&amp;", ", ", "&amp;INDEX('Form Responses'!$R$1:$R$200,2)&amp;", "))),1,""))</f>
        <v/>
      </c>
      <c r="E31">
        <f>IF(Wizards!$A$3="","",IF(OR(ISNUMBER(SEARCH(", "&amp;$B31&amp;", ", ", "&amp;INDEX('Form Responses'!$I$1:$Q$200,3,$A31)&amp;", ")),ISNUMBER(SEARCH(", "&amp;$B31&amp;", ", ", "&amp;INDEX('Form Responses'!$R$1:$R$200,3)&amp;", "))),1,""))</f>
        <v/>
      </c>
      <c r="F31">
        <f>IF(Wizards!$A$4="","",IF(OR(ISNUMBER(SEARCH(", "&amp;$B31&amp;", ", ", "&amp;INDEX('Form Responses'!$I$1:$Q$200,4,$A31)&amp;", ")),ISNUMBER(SEARCH(", "&amp;$B31&amp;", ", ", "&amp;INDEX('Form Responses'!$R$1:$R$200,4)&amp;", "))),1,""))</f>
        <v/>
      </c>
      <c r="G31">
        <f>IF(Wizards!$A$5="","",IF(OR(ISNUMBER(SEARCH(", "&amp;$B31&amp;", ", ", "&amp;INDEX('Form Responses'!$I$1:$Q$200,5,$A31)&amp;", ")),ISNUMBER(SEARCH(", "&amp;$B31&amp;", ", ", "&amp;INDEX('Form Responses'!$R$1:$R$200,5)&amp;", "))),1,""))</f>
        <v/>
      </c>
      <c r="H31">
        <f>IF(Wizards!$A$6="","",IF(OR(ISNUMBER(SEARCH(", "&amp;$B31&amp;", ", ", "&amp;INDEX('Form Responses'!$I$1:$Q$200,6,$A31)&amp;", ")),ISNUMBER(SEARCH(", "&amp;$B31&amp;", ", ", "&amp;INDEX('Form Responses'!$R$1:$R$200,6)&amp;", "))),1,""))</f>
        <v/>
      </c>
      <c r="I31">
        <f>IF(Wizards!$A$7="","",IF(OR(ISNUMBER(SEARCH(", "&amp;$B31&amp;", ", ", "&amp;INDEX('Form Responses'!$I$1:$Q$200,7,$A31)&amp;", ")),ISNUMBER(SEARCH(", "&amp;$B31&amp;", ", ", "&amp;INDEX('Form Responses'!$R$1:$R$200,7)&amp;", "))),1,""))</f>
        <v/>
      </c>
      <c r="J31">
        <f>IF(Wizards!$A$8="","",IF(OR(ISNUMBER(SEARCH(", "&amp;$B31&amp;", ", ", "&amp;INDEX('Form Responses'!$I$1:$Q$200,8,$A31)&amp;", ")),ISNUMBER(SEARCH(", "&amp;$B31&amp;", ", ", "&amp;INDEX('Form Responses'!$R$1:$R$200,8)&amp;", "))),1,""))</f>
        <v/>
      </c>
      <c r="K31">
        <f>IF(Wizards!$A$9="","",IF(OR(ISNUMBER(SEARCH(", "&amp;$B31&amp;", ", ", "&amp;INDEX('Form Responses'!$I$1:$Q$200,9,$A31)&amp;", ")),ISNUMBER(SEARCH(", "&amp;$B31&amp;", ", ", "&amp;INDEX('Form Responses'!$R$1:$R$200,9)&amp;", "))),1,""))</f>
        <v/>
      </c>
      <c r="L31">
        <f>IF(Wizards!$A$10="","",IF(OR(ISNUMBER(SEARCH(", "&amp;$B31&amp;", ", ", "&amp;INDEX('Form Responses'!$I$1:$Q$200,10,$A31)&amp;", ")),ISNUMBER(SEARCH(", "&amp;$B31&amp;", ", ", "&amp;INDEX('Form Responses'!$R$1:$R$200,10)&amp;", "))),1,""))</f>
        <v/>
      </c>
      <c r="M31">
        <f>IF(Wizards!$A$11="","",IF(OR(ISNUMBER(SEARCH(", "&amp;$B31&amp;", ", ", "&amp;INDEX('Form Responses'!$I$1:$Q$200,11,$A31)&amp;", ")),ISNUMBER(SEARCH(", "&amp;$B31&amp;", ", ", "&amp;INDEX('Form Responses'!$R$1:$R$200,11)&amp;", "))),1,""))</f>
        <v/>
      </c>
      <c r="N31">
        <f>IF(Wizards!$A$12="","",IF(OR(ISNUMBER(SEARCH(", "&amp;$B31&amp;", ", ", "&amp;INDEX('Form Responses'!$I$1:$Q$200,12,$A31)&amp;", ")),ISNUMBER(SEARCH(", "&amp;$B31&amp;", ", ", "&amp;INDEX('Form Responses'!$R$1:$R$200,12)&amp;", "))),1,""))</f>
        <v/>
      </c>
      <c r="O31">
        <f>IF(Wizards!$A$13="","",IF(OR(ISNUMBER(SEARCH(", "&amp;$B31&amp;", ", ", "&amp;INDEX('Form Responses'!$I$1:$Q$200,13,$A31)&amp;", ")),ISNUMBER(SEARCH(", "&amp;$B31&amp;", ", ", "&amp;INDEX('Form Responses'!$R$1:$R$200,13)&amp;", "))),1,""))</f>
        <v/>
      </c>
      <c r="P31">
        <f>IF(Wizards!$A$14="","",IF(OR(ISNUMBER(SEARCH(", "&amp;$B31&amp;", ", ", "&amp;INDEX('Form Responses'!$I$1:$Q$200,14,$A31)&amp;", ")),ISNUMBER(SEARCH(", "&amp;$B31&amp;", ", ", "&amp;INDEX('Form Responses'!$R$1:$R$200,14)&amp;", "))),1,""))</f>
        <v/>
      </c>
      <c r="Q31">
        <f>IF(Wizards!$A$15="","",IF(OR(ISNUMBER(SEARCH(", "&amp;$B31&amp;", ", ", "&amp;INDEX('Form Responses'!$I$1:$Q$200,15,$A31)&amp;", ")),ISNUMBER(SEARCH(", "&amp;$B31&amp;", ", ", "&amp;INDEX('Form Responses'!$R$1:$R$200,15)&amp;", "))),1,""))</f>
        <v/>
      </c>
      <c r="R31">
        <f>IF(Wizards!$A$16="","",IF(OR(ISNUMBER(SEARCH(", "&amp;$B31&amp;", ", ", "&amp;INDEX('Form Responses'!$I$1:$Q$200,16,$A31)&amp;", ")),ISNUMBER(SEARCH(", "&amp;$B31&amp;", ", ", "&amp;INDEX('Form Responses'!$R$1:$R$200,16)&amp;", "))),1,""))</f>
        <v/>
      </c>
      <c r="S31">
        <f>IF(Wizards!$A$17="","",IF(OR(ISNUMBER(SEARCH(", "&amp;$B31&amp;", ", ", "&amp;INDEX('Form Responses'!$I$1:$Q$200,17,$A31)&amp;", ")),ISNUMBER(SEARCH(", "&amp;$B31&amp;", ", ", "&amp;INDEX('Form Responses'!$R$1:$R$200,17)&amp;", "))),1,""))</f>
        <v/>
      </c>
      <c r="T31">
        <f>IF(Wizards!$A$18="","",IF(OR(ISNUMBER(SEARCH(", "&amp;$B31&amp;", ", ", "&amp;INDEX('Form Responses'!$I$1:$Q$200,18,$A31)&amp;", ")),ISNUMBER(SEARCH(", "&amp;$B31&amp;", ", ", "&amp;INDEX('Form Responses'!$R$1:$R$200,18)&amp;", "))),1,""))</f>
        <v/>
      </c>
      <c r="U31">
        <f>IF(Wizards!$A$19="","",IF(OR(ISNUMBER(SEARCH(", "&amp;$B31&amp;", ", ", "&amp;INDEX('Form Responses'!$I$1:$Q$200,19,$A31)&amp;", ")),ISNUMBER(SEARCH(", "&amp;$B31&amp;", ", ", "&amp;INDEX('Form Responses'!$R$1:$R$200,19)&amp;", "))),1,""))</f>
        <v/>
      </c>
      <c r="V31">
        <f>IF(Wizards!$A$20="","",IF(OR(ISNUMBER(SEARCH(", "&amp;$B31&amp;", ", ", "&amp;INDEX('Form Responses'!$I$1:$Q$200,20,$A31)&amp;", ")),ISNUMBER(SEARCH(", "&amp;$B31&amp;", ", ", "&amp;INDEX('Form Responses'!$R$1:$R$200,20)&amp;", "))),1,""))</f>
        <v/>
      </c>
      <c r="W31">
        <f>IF(Wizards!$A$21="","",IF(OR(ISNUMBER(SEARCH(", "&amp;$B31&amp;", ", ", "&amp;INDEX('Form Responses'!$I$1:$Q$200,21,$A31)&amp;", ")),ISNUMBER(SEARCH(", "&amp;$B31&amp;", ", ", "&amp;INDEX('Form Responses'!$R$1:$R$200,21)&amp;", "))),1,""))</f>
        <v/>
      </c>
      <c r="X31">
        <f>IF(Wizards!$A$22="","",IF(OR(ISNUMBER(SEARCH(", "&amp;$B31&amp;", ", ", "&amp;INDEX('Form Responses'!$I$1:$Q$200,22,$A31)&amp;", ")),ISNUMBER(SEARCH(", "&amp;$B31&amp;", ", ", "&amp;INDEX('Form Responses'!$R$1:$R$200,22)&amp;", "))),1,""))</f>
        <v/>
      </c>
      <c r="Y31">
        <f>IF(Wizards!$A$23="","",IF(OR(ISNUMBER(SEARCH(", "&amp;$B31&amp;", ", ", "&amp;INDEX('Form Responses'!$I$1:$Q$200,23,$A31)&amp;", ")),ISNUMBER(SEARCH(", "&amp;$B31&amp;", ", ", "&amp;INDEX('Form Responses'!$R$1:$R$200,23)&amp;", "))),1,""))</f>
        <v/>
      </c>
      <c r="Z31">
        <f>IF(Wizards!$A$24="","",IF(OR(ISNUMBER(SEARCH(", "&amp;$B31&amp;", ", ", "&amp;INDEX('Form Responses'!$I$1:$Q$200,24,$A31)&amp;", ")),ISNUMBER(SEARCH(", "&amp;$B31&amp;", ", ", "&amp;INDEX('Form Responses'!$R$1:$R$200,24)&amp;", "))),1,""))</f>
        <v/>
      </c>
      <c r="AA31">
        <f>IF(Wizards!$A$25="","",IF(OR(ISNUMBER(SEARCH(", "&amp;$B31&amp;", ", ", "&amp;INDEX('Form Responses'!$I$1:$Q$200,25,$A31)&amp;", ")),ISNUMBER(SEARCH(", "&amp;$B31&amp;", ", ", "&amp;INDEX('Form Responses'!$R$1:$R$200,25)&amp;", "))),1,""))</f>
        <v/>
      </c>
      <c r="AB31">
        <f>IF(D31=1,", "&amp;D$1,"")</f>
        <v/>
      </c>
      <c r="AC31">
        <f>IF(E31=1,", "&amp;E$1,"")</f>
        <v/>
      </c>
      <c r="AD31">
        <f>IF(F31=1,", "&amp;F$1,"")</f>
        <v/>
      </c>
      <c r="AE31">
        <f>IF(G31=1,", "&amp;G$1,"")</f>
        <v/>
      </c>
      <c r="AF31">
        <f>IF(H31=1,", "&amp;H$1,"")</f>
        <v/>
      </c>
      <c r="AG31">
        <f>IF(I31=1,", "&amp;I$1,"")</f>
        <v/>
      </c>
      <c r="AH31">
        <f>IF(J31=1,", "&amp;J$1,"")</f>
        <v/>
      </c>
      <c r="AI31">
        <f>IF(K31=1,", "&amp;K$1,"")</f>
        <v/>
      </c>
      <c r="AJ31">
        <f>IF(L31=1,", "&amp;L$1,"")</f>
        <v/>
      </c>
      <c r="AK31">
        <f>IF(M31=1,", "&amp;M$1,"")</f>
        <v/>
      </c>
      <c r="AL31">
        <f>IF(N31=1,", "&amp;N$1,"")</f>
        <v/>
      </c>
      <c r="AM31">
        <f>IF(O31=1,", "&amp;O$1,"")</f>
        <v/>
      </c>
      <c r="AN31">
        <f>IF(P31=1,", "&amp;P$1,"")</f>
        <v/>
      </c>
      <c r="AO31">
        <f>IF(Q31=1,", "&amp;Q$1,"")</f>
        <v/>
      </c>
      <c r="AP31">
        <f>IF(R31=1,", "&amp;R$1,"")</f>
        <v/>
      </c>
      <c r="AQ31">
        <f>IF(S31=1,", "&amp;S$1,"")</f>
        <v/>
      </c>
      <c r="AR31">
        <f>IF(T31=1,", "&amp;T$1,"")</f>
        <v/>
      </c>
      <c r="AS31">
        <f>IF(U31=1,", "&amp;U$1,"")</f>
        <v/>
      </c>
      <c r="AT31">
        <f>IF(V31=1,", "&amp;V$1,"")</f>
        <v/>
      </c>
      <c r="AU31">
        <f>IF(W31=1,", "&amp;W$1,"")</f>
        <v/>
      </c>
      <c r="AV31">
        <f>IF(X31=1,", "&amp;X$1,"")</f>
        <v/>
      </c>
      <c r="AW31">
        <f>IF(Y31=1,", "&amp;Y$1,"")</f>
        <v/>
      </c>
      <c r="AX31">
        <f>IF(Z31=1,", "&amp;Z$1,"")</f>
        <v/>
      </c>
      <c r="AY31">
        <f>IF(AA31=1,", "&amp;AA$1,"")</f>
        <v/>
      </c>
      <c r="AZ31">
        <f>MID($AB31&amp;$AC31&amp;$AD31&amp;$AE31&amp;$AF31&amp;$AG31&amp;$AH31&amp;$AI31&amp;$AJ31&amp;$AK31&amp;$AL31&amp;$AM31&amp;$AN31&amp;$AO31&amp;$AP31&amp;$AQ31&amp;$AR31&amp;$AS31&amp;$AT31&amp;$AU31&amp;$AV31&amp;$AW31&amp;$AX31&amp;$AY31,3,32767)</f>
        <v/>
      </c>
      <c r="BA31">
        <f>COUNT($D31:$AA31)</f>
        <v/>
      </c>
    </row>
    <row r="32">
      <c r="A32" t="n">
        <v>1</v>
      </c>
      <c r="B32" t="inlineStr">
        <is>
          <t>Sleep</t>
        </is>
      </c>
      <c r="C32" t="inlineStr">
        <is>
          <t>Enchantment</t>
        </is>
      </c>
      <c r="D32">
        <f>IF(Wizards!$A$2="","",IF(OR(ISNUMBER(SEARCH(", "&amp;$B32&amp;", ", ", "&amp;INDEX('Form Responses'!$I$1:$Q$200,2,$A32)&amp;", ")),ISNUMBER(SEARCH(", "&amp;$B32&amp;", ", ", "&amp;INDEX('Form Responses'!$R$1:$R$200,2)&amp;", "))),1,""))</f>
        <v/>
      </c>
      <c r="E32">
        <f>IF(Wizards!$A$3="","",IF(OR(ISNUMBER(SEARCH(", "&amp;$B32&amp;", ", ", "&amp;INDEX('Form Responses'!$I$1:$Q$200,3,$A32)&amp;", ")),ISNUMBER(SEARCH(", "&amp;$B32&amp;", ", ", "&amp;INDEX('Form Responses'!$R$1:$R$200,3)&amp;", "))),1,""))</f>
        <v/>
      </c>
      <c r="F32">
        <f>IF(Wizards!$A$4="","",IF(OR(ISNUMBER(SEARCH(", "&amp;$B32&amp;", ", ", "&amp;INDEX('Form Responses'!$I$1:$Q$200,4,$A32)&amp;", ")),ISNUMBER(SEARCH(", "&amp;$B32&amp;", ", ", "&amp;INDEX('Form Responses'!$R$1:$R$200,4)&amp;", "))),1,""))</f>
        <v/>
      </c>
      <c r="G32">
        <f>IF(Wizards!$A$5="","",IF(OR(ISNUMBER(SEARCH(", "&amp;$B32&amp;", ", ", "&amp;INDEX('Form Responses'!$I$1:$Q$200,5,$A32)&amp;", ")),ISNUMBER(SEARCH(", "&amp;$B32&amp;", ", ", "&amp;INDEX('Form Responses'!$R$1:$R$200,5)&amp;", "))),1,""))</f>
        <v/>
      </c>
      <c r="H32">
        <f>IF(Wizards!$A$6="","",IF(OR(ISNUMBER(SEARCH(", "&amp;$B32&amp;", ", ", "&amp;INDEX('Form Responses'!$I$1:$Q$200,6,$A32)&amp;", ")),ISNUMBER(SEARCH(", "&amp;$B32&amp;", ", ", "&amp;INDEX('Form Responses'!$R$1:$R$200,6)&amp;", "))),1,""))</f>
        <v/>
      </c>
      <c r="I32">
        <f>IF(Wizards!$A$7="","",IF(OR(ISNUMBER(SEARCH(", "&amp;$B32&amp;", ", ", "&amp;INDEX('Form Responses'!$I$1:$Q$200,7,$A32)&amp;", ")),ISNUMBER(SEARCH(", "&amp;$B32&amp;", ", ", "&amp;INDEX('Form Responses'!$R$1:$R$200,7)&amp;", "))),1,""))</f>
        <v/>
      </c>
      <c r="J32">
        <f>IF(Wizards!$A$8="","",IF(OR(ISNUMBER(SEARCH(", "&amp;$B32&amp;", ", ", "&amp;INDEX('Form Responses'!$I$1:$Q$200,8,$A32)&amp;", ")),ISNUMBER(SEARCH(", "&amp;$B32&amp;", ", ", "&amp;INDEX('Form Responses'!$R$1:$R$200,8)&amp;", "))),1,""))</f>
        <v/>
      </c>
      <c r="K32">
        <f>IF(Wizards!$A$9="","",IF(OR(ISNUMBER(SEARCH(", "&amp;$B32&amp;", ", ", "&amp;INDEX('Form Responses'!$I$1:$Q$200,9,$A32)&amp;", ")),ISNUMBER(SEARCH(", "&amp;$B32&amp;", ", ", "&amp;INDEX('Form Responses'!$R$1:$R$200,9)&amp;", "))),1,""))</f>
        <v/>
      </c>
      <c r="L32">
        <f>IF(Wizards!$A$10="","",IF(OR(ISNUMBER(SEARCH(", "&amp;$B32&amp;", ", ", "&amp;INDEX('Form Responses'!$I$1:$Q$200,10,$A32)&amp;", ")),ISNUMBER(SEARCH(", "&amp;$B32&amp;", ", ", "&amp;INDEX('Form Responses'!$R$1:$R$200,10)&amp;", "))),1,""))</f>
        <v/>
      </c>
      <c r="M32">
        <f>IF(Wizards!$A$11="","",IF(OR(ISNUMBER(SEARCH(", "&amp;$B32&amp;", ", ", "&amp;INDEX('Form Responses'!$I$1:$Q$200,11,$A32)&amp;", ")),ISNUMBER(SEARCH(", "&amp;$B32&amp;", ", ", "&amp;INDEX('Form Responses'!$R$1:$R$200,11)&amp;", "))),1,""))</f>
        <v/>
      </c>
      <c r="N32">
        <f>IF(Wizards!$A$12="","",IF(OR(ISNUMBER(SEARCH(", "&amp;$B32&amp;", ", ", "&amp;INDEX('Form Responses'!$I$1:$Q$200,12,$A32)&amp;", ")),ISNUMBER(SEARCH(", "&amp;$B32&amp;", ", ", "&amp;INDEX('Form Responses'!$R$1:$R$200,12)&amp;", "))),1,""))</f>
        <v/>
      </c>
      <c r="O32">
        <f>IF(Wizards!$A$13="","",IF(OR(ISNUMBER(SEARCH(", "&amp;$B32&amp;", ", ", "&amp;INDEX('Form Responses'!$I$1:$Q$200,13,$A32)&amp;", ")),ISNUMBER(SEARCH(", "&amp;$B32&amp;", ", ", "&amp;INDEX('Form Responses'!$R$1:$R$200,13)&amp;", "))),1,""))</f>
        <v/>
      </c>
      <c r="P32">
        <f>IF(Wizards!$A$14="","",IF(OR(ISNUMBER(SEARCH(", "&amp;$B32&amp;", ", ", "&amp;INDEX('Form Responses'!$I$1:$Q$200,14,$A32)&amp;", ")),ISNUMBER(SEARCH(", "&amp;$B32&amp;", ", ", "&amp;INDEX('Form Responses'!$R$1:$R$200,14)&amp;", "))),1,""))</f>
        <v/>
      </c>
      <c r="Q32">
        <f>IF(Wizards!$A$15="","",IF(OR(ISNUMBER(SEARCH(", "&amp;$B32&amp;", ", ", "&amp;INDEX('Form Responses'!$I$1:$Q$200,15,$A32)&amp;", ")),ISNUMBER(SEARCH(", "&amp;$B32&amp;", ", ", "&amp;INDEX('Form Responses'!$R$1:$R$200,15)&amp;", "))),1,""))</f>
        <v/>
      </c>
      <c r="R32">
        <f>IF(Wizards!$A$16="","",IF(OR(ISNUMBER(SEARCH(", "&amp;$B32&amp;", ", ", "&amp;INDEX('Form Responses'!$I$1:$Q$200,16,$A32)&amp;", ")),ISNUMBER(SEARCH(", "&amp;$B32&amp;", ", ", "&amp;INDEX('Form Responses'!$R$1:$R$200,16)&amp;", "))),1,""))</f>
        <v/>
      </c>
      <c r="S32">
        <f>IF(Wizards!$A$17="","",IF(OR(ISNUMBER(SEARCH(", "&amp;$B32&amp;", ", ", "&amp;INDEX('Form Responses'!$I$1:$Q$200,17,$A32)&amp;", ")),ISNUMBER(SEARCH(", "&amp;$B32&amp;", ", ", "&amp;INDEX('Form Responses'!$R$1:$R$200,17)&amp;", "))),1,""))</f>
        <v/>
      </c>
      <c r="T32">
        <f>IF(Wizards!$A$18="","",IF(OR(ISNUMBER(SEARCH(", "&amp;$B32&amp;", ", ", "&amp;INDEX('Form Responses'!$I$1:$Q$200,18,$A32)&amp;", ")),ISNUMBER(SEARCH(", "&amp;$B32&amp;", ", ", "&amp;INDEX('Form Responses'!$R$1:$R$200,18)&amp;", "))),1,""))</f>
        <v/>
      </c>
      <c r="U32">
        <f>IF(Wizards!$A$19="","",IF(OR(ISNUMBER(SEARCH(", "&amp;$B32&amp;", ", ", "&amp;INDEX('Form Responses'!$I$1:$Q$200,19,$A32)&amp;", ")),ISNUMBER(SEARCH(", "&amp;$B32&amp;", ", ", "&amp;INDEX('Form Responses'!$R$1:$R$200,19)&amp;", "))),1,""))</f>
        <v/>
      </c>
      <c r="V32">
        <f>IF(Wizards!$A$20="","",IF(OR(ISNUMBER(SEARCH(", "&amp;$B32&amp;", ", ", "&amp;INDEX('Form Responses'!$I$1:$Q$200,20,$A32)&amp;", ")),ISNUMBER(SEARCH(", "&amp;$B32&amp;", ", ", "&amp;INDEX('Form Responses'!$R$1:$R$200,20)&amp;", "))),1,""))</f>
        <v/>
      </c>
      <c r="W32">
        <f>IF(Wizards!$A$21="","",IF(OR(ISNUMBER(SEARCH(", "&amp;$B32&amp;", ", ", "&amp;INDEX('Form Responses'!$I$1:$Q$200,21,$A32)&amp;", ")),ISNUMBER(SEARCH(", "&amp;$B32&amp;", ", ", "&amp;INDEX('Form Responses'!$R$1:$R$200,21)&amp;", "))),1,""))</f>
        <v/>
      </c>
      <c r="X32">
        <f>IF(Wizards!$A$22="","",IF(OR(ISNUMBER(SEARCH(", "&amp;$B32&amp;", ", ", "&amp;INDEX('Form Responses'!$I$1:$Q$200,22,$A32)&amp;", ")),ISNUMBER(SEARCH(", "&amp;$B32&amp;", ", ", "&amp;INDEX('Form Responses'!$R$1:$R$200,22)&amp;", "))),1,""))</f>
        <v/>
      </c>
      <c r="Y32">
        <f>IF(Wizards!$A$23="","",IF(OR(ISNUMBER(SEARCH(", "&amp;$B32&amp;", ", ", "&amp;INDEX('Form Responses'!$I$1:$Q$200,23,$A32)&amp;", ")),ISNUMBER(SEARCH(", "&amp;$B32&amp;", ", ", "&amp;INDEX('Form Responses'!$R$1:$R$200,23)&amp;", "))),1,""))</f>
        <v/>
      </c>
      <c r="Z32">
        <f>IF(Wizards!$A$24="","",IF(OR(ISNUMBER(SEARCH(", "&amp;$B32&amp;", ", ", "&amp;INDEX('Form Responses'!$I$1:$Q$200,24,$A32)&amp;", ")),ISNUMBER(SEARCH(", "&amp;$B32&amp;", ", ", "&amp;INDEX('Form Responses'!$R$1:$R$200,24)&amp;", "))),1,""))</f>
        <v/>
      </c>
      <c r="AA32">
        <f>IF(Wizards!$A$25="","",IF(OR(ISNUMBER(SEARCH(", "&amp;$B32&amp;", ", ", "&amp;INDEX('Form Responses'!$I$1:$Q$200,25,$A32)&amp;", ")),ISNUMBER(SEARCH(", "&amp;$B32&amp;", ", ", "&amp;INDEX('Form Responses'!$R$1:$R$200,25)&amp;", "))),1,""))</f>
        <v/>
      </c>
      <c r="AB32">
        <f>IF(D32=1,", "&amp;D$1,"")</f>
        <v/>
      </c>
      <c r="AC32">
        <f>IF(E32=1,", "&amp;E$1,"")</f>
        <v/>
      </c>
      <c r="AD32">
        <f>IF(F32=1,", "&amp;F$1,"")</f>
        <v/>
      </c>
      <c r="AE32">
        <f>IF(G32=1,", "&amp;G$1,"")</f>
        <v/>
      </c>
      <c r="AF32">
        <f>IF(H32=1,", "&amp;H$1,"")</f>
        <v/>
      </c>
      <c r="AG32">
        <f>IF(I32=1,", "&amp;I$1,"")</f>
        <v/>
      </c>
      <c r="AH32">
        <f>IF(J32=1,", "&amp;J$1,"")</f>
        <v/>
      </c>
      <c r="AI32">
        <f>IF(K32=1,", "&amp;K$1,"")</f>
        <v/>
      </c>
      <c r="AJ32">
        <f>IF(L32=1,", "&amp;L$1,"")</f>
        <v/>
      </c>
      <c r="AK32">
        <f>IF(M32=1,", "&amp;M$1,"")</f>
        <v/>
      </c>
      <c r="AL32">
        <f>IF(N32=1,", "&amp;N$1,"")</f>
        <v/>
      </c>
      <c r="AM32">
        <f>IF(O32=1,", "&amp;O$1,"")</f>
        <v/>
      </c>
      <c r="AN32">
        <f>IF(P32=1,", "&amp;P$1,"")</f>
        <v/>
      </c>
      <c r="AO32">
        <f>IF(Q32=1,", "&amp;Q$1,"")</f>
        <v/>
      </c>
      <c r="AP32">
        <f>IF(R32=1,", "&amp;R$1,"")</f>
        <v/>
      </c>
      <c r="AQ32">
        <f>IF(S32=1,", "&amp;S$1,"")</f>
        <v/>
      </c>
      <c r="AR32">
        <f>IF(T32=1,", "&amp;T$1,"")</f>
        <v/>
      </c>
      <c r="AS32">
        <f>IF(U32=1,", "&amp;U$1,"")</f>
        <v/>
      </c>
      <c r="AT32">
        <f>IF(V32=1,", "&amp;V$1,"")</f>
        <v/>
      </c>
      <c r="AU32">
        <f>IF(W32=1,", "&amp;W$1,"")</f>
        <v/>
      </c>
      <c r="AV32">
        <f>IF(X32=1,", "&amp;X$1,"")</f>
        <v/>
      </c>
      <c r="AW32">
        <f>IF(Y32=1,", "&amp;Y$1,"")</f>
        <v/>
      </c>
      <c r="AX32">
        <f>IF(Z32=1,", "&amp;Z$1,"")</f>
        <v/>
      </c>
      <c r="AY32">
        <f>IF(AA32=1,", "&amp;AA$1,"")</f>
        <v/>
      </c>
      <c r="AZ32">
        <f>MID($AB32&amp;$AC32&amp;$AD32&amp;$AE32&amp;$AF32&amp;$AG32&amp;$AH32&amp;$AI32&amp;$AJ32&amp;$AK32&amp;$AL32&amp;$AM32&amp;$AN32&amp;$AO32&amp;$AP32&amp;$AQ32&amp;$AR32&amp;$AS32&amp;$AT32&amp;$AU32&amp;$AV32&amp;$AW32&amp;$AX32&amp;$AY32,3,32767)</f>
        <v/>
      </c>
      <c r="BA32">
        <f>COUNT($D32:$AA32)</f>
        <v/>
      </c>
    </row>
    <row r="33">
      <c r="A33" t="n">
        <v>1</v>
      </c>
      <c r="B33" t="inlineStr">
        <is>
          <t>Snare</t>
        </is>
      </c>
      <c r="C33" t="inlineStr">
        <is>
          <t>Abjuration</t>
        </is>
      </c>
      <c r="D33">
        <f>IF(Wizards!$A$2="","",IF(OR(ISNUMBER(SEARCH(", "&amp;$B33&amp;", ", ", "&amp;INDEX('Form Responses'!$I$1:$Q$200,2,$A33)&amp;", ")),ISNUMBER(SEARCH(", "&amp;$B33&amp;", ", ", "&amp;INDEX('Form Responses'!$R$1:$R$200,2)&amp;", "))),1,""))</f>
        <v/>
      </c>
      <c r="E33">
        <f>IF(Wizards!$A$3="","",IF(OR(ISNUMBER(SEARCH(", "&amp;$B33&amp;", ", ", "&amp;INDEX('Form Responses'!$I$1:$Q$200,3,$A33)&amp;", ")),ISNUMBER(SEARCH(", "&amp;$B33&amp;", ", ", "&amp;INDEX('Form Responses'!$R$1:$R$200,3)&amp;", "))),1,""))</f>
        <v/>
      </c>
      <c r="F33">
        <f>IF(Wizards!$A$4="","",IF(OR(ISNUMBER(SEARCH(", "&amp;$B33&amp;", ", ", "&amp;INDEX('Form Responses'!$I$1:$Q$200,4,$A33)&amp;", ")),ISNUMBER(SEARCH(", "&amp;$B33&amp;", ", ", "&amp;INDEX('Form Responses'!$R$1:$R$200,4)&amp;", "))),1,""))</f>
        <v/>
      </c>
      <c r="G33">
        <f>IF(Wizards!$A$5="","",IF(OR(ISNUMBER(SEARCH(", "&amp;$B33&amp;", ", ", "&amp;INDEX('Form Responses'!$I$1:$Q$200,5,$A33)&amp;", ")),ISNUMBER(SEARCH(", "&amp;$B33&amp;", ", ", "&amp;INDEX('Form Responses'!$R$1:$R$200,5)&amp;", "))),1,""))</f>
        <v/>
      </c>
      <c r="H33">
        <f>IF(Wizards!$A$6="","",IF(OR(ISNUMBER(SEARCH(", "&amp;$B33&amp;", ", ", "&amp;INDEX('Form Responses'!$I$1:$Q$200,6,$A33)&amp;", ")),ISNUMBER(SEARCH(", "&amp;$B33&amp;", ", ", "&amp;INDEX('Form Responses'!$R$1:$R$200,6)&amp;", "))),1,""))</f>
        <v/>
      </c>
      <c r="I33">
        <f>IF(Wizards!$A$7="","",IF(OR(ISNUMBER(SEARCH(", "&amp;$B33&amp;", ", ", "&amp;INDEX('Form Responses'!$I$1:$Q$200,7,$A33)&amp;", ")),ISNUMBER(SEARCH(", "&amp;$B33&amp;", ", ", "&amp;INDEX('Form Responses'!$R$1:$R$200,7)&amp;", "))),1,""))</f>
        <v/>
      </c>
      <c r="J33">
        <f>IF(Wizards!$A$8="","",IF(OR(ISNUMBER(SEARCH(", "&amp;$B33&amp;", ", ", "&amp;INDEX('Form Responses'!$I$1:$Q$200,8,$A33)&amp;", ")),ISNUMBER(SEARCH(", "&amp;$B33&amp;", ", ", "&amp;INDEX('Form Responses'!$R$1:$R$200,8)&amp;", "))),1,""))</f>
        <v/>
      </c>
      <c r="K33">
        <f>IF(Wizards!$A$9="","",IF(OR(ISNUMBER(SEARCH(", "&amp;$B33&amp;", ", ", "&amp;INDEX('Form Responses'!$I$1:$Q$200,9,$A33)&amp;", ")),ISNUMBER(SEARCH(", "&amp;$B33&amp;", ", ", "&amp;INDEX('Form Responses'!$R$1:$R$200,9)&amp;", "))),1,""))</f>
        <v/>
      </c>
      <c r="L33">
        <f>IF(Wizards!$A$10="","",IF(OR(ISNUMBER(SEARCH(", "&amp;$B33&amp;", ", ", "&amp;INDEX('Form Responses'!$I$1:$Q$200,10,$A33)&amp;", ")),ISNUMBER(SEARCH(", "&amp;$B33&amp;", ", ", "&amp;INDEX('Form Responses'!$R$1:$R$200,10)&amp;", "))),1,""))</f>
        <v/>
      </c>
      <c r="M33">
        <f>IF(Wizards!$A$11="","",IF(OR(ISNUMBER(SEARCH(", "&amp;$B33&amp;", ", ", "&amp;INDEX('Form Responses'!$I$1:$Q$200,11,$A33)&amp;", ")),ISNUMBER(SEARCH(", "&amp;$B33&amp;", ", ", "&amp;INDEX('Form Responses'!$R$1:$R$200,11)&amp;", "))),1,""))</f>
        <v/>
      </c>
      <c r="N33">
        <f>IF(Wizards!$A$12="","",IF(OR(ISNUMBER(SEARCH(", "&amp;$B33&amp;", ", ", "&amp;INDEX('Form Responses'!$I$1:$Q$200,12,$A33)&amp;", ")),ISNUMBER(SEARCH(", "&amp;$B33&amp;", ", ", "&amp;INDEX('Form Responses'!$R$1:$R$200,12)&amp;", "))),1,""))</f>
        <v/>
      </c>
      <c r="O33">
        <f>IF(Wizards!$A$13="","",IF(OR(ISNUMBER(SEARCH(", "&amp;$B33&amp;", ", ", "&amp;INDEX('Form Responses'!$I$1:$Q$200,13,$A33)&amp;", ")),ISNUMBER(SEARCH(", "&amp;$B33&amp;", ", ", "&amp;INDEX('Form Responses'!$R$1:$R$200,13)&amp;", "))),1,""))</f>
        <v/>
      </c>
      <c r="P33">
        <f>IF(Wizards!$A$14="","",IF(OR(ISNUMBER(SEARCH(", "&amp;$B33&amp;", ", ", "&amp;INDEX('Form Responses'!$I$1:$Q$200,14,$A33)&amp;", ")),ISNUMBER(SEARCH(", "&amp;$B33&amp;", ", ", "&amp;INDEX('Form Responses'!$R$1:$R$200,14)&amp;", "))),1,""))</f>
        <v/>
      </c>
      <c r="Q33">
        <f>IF(Wizards!$A$15="","",IF(OR(ISNUMBER(SEARCH(", "&amp;$B33&amp;", ", ", "&amp;INDEX('Form Responses'!$I$1:$Q$200,15,$A33)&amp;", ")),ISNUMBER(SEARCH(", "&amp;$B33&amp;", ", ", "&amp;INDEX('Form Responses'!$R$1:$R$200,15)&amp;", "))),1,""))</f>
        <v/>
      </c>
      <c r="R33">
        <f>IF(Wizards!$A$16="","",IF(OR(ISNUMBER(SEARCH(", "&amp;$B33&amp;", ", ", "&amp;INDEX('Form Responses'!$I$1:$Q$200,16,$A33)&amp;", ")),ISNUMBER(SEARCH(", "&amp;$B33&amp;", ", ", "&amp;INDEX('Form Responses'!$R$1:$R$200,16)&amp;", "))),1,""))</f>
        <v/>
      </c>
      <c r="S33">
        <f>IF(Wizards!$A$17="","",IF(OR(ISNUMBER(SEARCH(", "&amp;$B33&amp;", ", ", "&amp;INDEX('Form Responses'!$I$1:$Q$200,17,$A33)&amp;", ")),ISNUMBER(SEARCH(", "&amp;$B33&amp;", ", ", "&amp;INDEX('Form Responses'!$R$1:$R$200,17)&amp;", "))),1,""))</f>
        <v/>
      </c>
      <c r="T33">
        <f>IF(Wizards!$A$18="","",IF(OR(ISNUMBER(SEARCH(", "&amp;$B33&amp;", ", ", "&amp;INDEX('Form Responses'!$I$1:$Q$200,18,$A33)&amp;", ")),ISNUMBER(SEARCH(", "&amp;$B33&amp;", ", ", "&amp;INDEX('Form Responses'!$R$1:$R$200,18)&amp;", "))),1,""))</f>
        <v/>
      </c>
      <c r="U33">
        <f>IF(Wizards!$A$19="","",IF(OR(ISNUMBER(SEARCH(", "&amp;$B33&amp;", ", ", "&amp;INDEX('Form Responses'!$I$1:$Q$200,19,$A33)&amp;", ")),ISNUMBER(SEARCH(", "&amp;$B33&amp;", ", ", "&amp;INDEX('Form Responses'!$R$1:$R$200,19)&amp;", "))),1,""))</f>
        <v/>
      </c>
      <c r="V33">
        <f>IF(Wizards!$A$20="","",IF(OR(ISNUMBER(SEARCH(", "&amp;$B33&amp;", ", ", "&amp;INDEX('Form Responses'!$I$1:$Q$200,20,$A33)&amp;", ")),ISNUMBER(SEARCH(", "&amp;$B33&amp;", ", ", "&amp;INDEX('Form Responses'!$R$1:$R$200,20)&amp;", "))),1,""))</f>
        <v/>
      </c>
      <c r="W33">
        <f>IF(Wizards!$A$21="","",IF(OR(ISNUMBER(SEARCH(", "&amp;$B33&amp;", ", ", "&amp;INDEX('Form Responses'!$I$1:$Q$200,21,$A33)&amp;", ")),ISNUMBER(SEARCH(", "&amp;$B33&amp;", ", ", "&amp;INDEX('Form Responses'!$R$1:$R$200,21)&amp;", "))),1,""))</f>
        <v/>
      </c>
      <c r="X33">
        <f>IF(Wizards!$A$22="","",IF(OR(ISNUMBER(SEARCH(", "&amp;$B33&amp;", ", ", "&amp;INDEX('Form Responses'!$I$1:$Q$200,22,$A33)&amp;", ")),ISNUMBER(SEARCH(", "&amp;$B33&amp;", ", ", "&amp;INDEX('Form Responses'!$R$1:$R$200,22)&amp;", "))),1,""))</f>
        <v/>
      </c>
      <c r="Y33">
        <f>IF(Wizards!$A$23="","",IF(OR(ISNUMBER(SEARCH(", "&amp;$B33&amp;", ", ", "&amp;INDEX('Form Responses'!$I$1:$Q$200,23,$A33)&amp;", ")),ISNUMBER(SEARCH(", "&amp;$B33&amp;", ", ", "&amp;INDEX('Form Responses'!$R$1:$R$200,23)&amp;", "))),1,""))</f>
        <v/>
      </c>
      <c r="Z33">
        <f>IF(Wizards!$A$24="","",IF(OR(ISNUMBER(SEARCH(", "&amp;$B33&amp;", ", ", "&amp;INDEX('Form Responses'!$I$1:$Q$200,24,$A33)&amp;", ")),ISNUMBER(SEARCH(", "&amp;$B33&amp;", ", ", "&amp;INDEX('Form Responses'!$R$1:$R$200,24)&amp;", "))),1,""))</f>
        <v/>
      </c>
      <c r="AA33">
        <f>IF(Wizards!$A$25="","",IF(OR(ISNUMBER(SEARCH(", "&amp;$B33&amp;", ", ", "&amp;INDEX('Form Responses'!$I$1:$Q$200,25,$A33)&amp;", ")),ISNUMBER(SEARCH(", "&amp;$B33&amp;", ", ", "&amp;INDEX('Form Responses'!$R$1:$R$200,25)&amp;", "))),1,""))</f>
        <v/>
      </c>
      <c r="AB33">
        <f>IF(D33=1,", "&amp;D$1,"")</f>
        <v/>
      </c>
      <c r="AC33">
        <f>IF(E33=1,", "&amp;E$1,"")</f>
        <v/>
      </c>
      <c r="AD33">
        <f>IF(F33=1,", "&amp;F$1,"")</f>
        <v/>
      </c>
      <c r="AE33">
        <f>IF(G33=1,", "&amp;G$1,"")</f>
        <v/>
      </c>
      <c r="AF33">
        <f>IF(H33=1,", "&amp;H$1,"")</f>
        <v/>
      </c>
      <c r="AG33">
        <f>IF(I33=1,", "&amp;I$1,"")</f>
        <v/>
      </c>
      <c r="AH33">
        <f>IF(J33=1,", "&amp;J$1,"")</f>
        <v/>
      </c>
      <c r="AI33">
        <f>IF(K33=1,", "&amp;K$1,"")</f>
        <v/>
      </c>
      <c r="AJ33">
        <f>IF(L33=1,", "&amp;L$1,"")</f>
        <v/>
      </c>
      <c r="AK33">
        <f>IF(M33=1,", "&amp;M$1,"")</f>
        <v/>
      </c>
      <c r="AL33">
        <f>IF(N33=1,", "&amp;N$1,"")</f>
        <v/>
      </c>
      <c r="AM33">
        <f>IF(O33=1,", "&amp;O$1,"")</f>
        <v/>
      </c>
      <c r="AN33">
        <f>IF(P33=1,", "&amp;P$1,"")</f>
        <v/>
      </c>
      <c r="AO33">
        <f>IF(Q33=1,", "&amp;Q$1,"")</f>
        <v/>
      </c>
      <c r="AP33">
        <f>IF(R33=1,", "&amp;R$1,"")</f>
        <v/>
      </c>
      <c r="AQ33">
        <f>IF(S33=1,", "&amp;S$1,"")</f>
        <v/>
      </c>
      <c r="AR33">
        <f>IF(T33=1,", "&amp;T$1,"")</f>
        <v/>
      </c>
      <c r="AS33">
        <f>IF(U33=1,", "&amp;U$1,"")</f>
        <v/>
      </c>
      <c r="AT33">
        <f>IF(V33=1,", "&amp;V$1,"")</f>
        <v/>
      </c>
      <c r="AU33">
        <f>IF(W33=1,", "&amp;W$1,"")</f>
        <v/>
      </c>
      <c r="AV33">
        <f>IF(X33=1,", "&amp;X$1,"")</f>
        <v/>
      </c>
      <c r="AW33">
        <f>IF(Y33=1,", "&amp;Y$1,"")</f>
        <v/>
      </c>
      <c r="AX33">
        <f>IF(Z33=1,", "&amp;Z$1,"")</f>
        <v/>
      </c>
      <c r="AY33">
        <f>IF(AA33=1,", "&amp;AA$1,"")</f>
        <v/>
      </c>
      <c r="AZ33">
        <f>MID($AB33&amp;$AC33&amp;$AD33&amp;$AE33&amp;$AF33&amp;$AG33&amp;$AH33&amp;$AI33&amp;$AJ33&amp;$AK33&amp;$AL33&amp;$AM33&amp;$AN33&amp;$AO33&amp;$AP33&amp;$AQ33&amp;$AR33&amp;$AS33&amp;$AT33&amp;$AU33&amp;$AV33&amp;$AW33&amp;$AX33&amp;$AY33,3,32767)</f>
        <v/>
      </c>
      <c r="BA33">
        <f>COUNT($D33:$AA33)</f>
        <v/>
      </c>
    </row>
    <row r="34">
      <c r="A34" t="n">
        <v>1</v>
      </c>
      <c r="B34" t="inlineStr">
        <is>
          <t>Spellfire Flare</t>
        </is>
      </c>
      <c r="C34" t="inlineStr">
        <is>
          <t>Evocation</t>
        </is>
      </c>
      <c r="D34">
        <f>IF(Wizards!$A$2="","",IF(OR(ISNUMBER(SEARCH(", "&amp;$B34&amp;", ", ", "&amp;INDEX('Form Responses'!$I$1:$Q$200,2,$A34)&amp;", ")),ISNUMBER(SEARCH(", "&amp;$B34&amp;", ", ", "&amp;INDEX('Form Responses'!$R$1:$R$200,2)&amp;", "))),1,""))</f>
        <v/>
      </c>
      <c r="E34">
        <f>IF(Wizards!$A$3="","",IF(OR(ISNUMBER(SEARCH(", "&amp;$B34&amp;", ", ", "&amp;INDEX('Form Responses'!$I$1:$Q$200,3,$A34)&amp;", ")),ISNUMBER(SEARCH(", "&amp;$B34&amp;", ", ", "&amp;INDEX('Form Responses'!$R$1:$R$200,3)&amp;", "))),1,""))</f>
        <v/>
      </c>
      <c r="F34">
        <f>IF(Wizards!$A$4="","",IF(OR(ISNUMBER(SEARCH(", "&amp;$B34&amp;", ", ", "&amp;INDEX('Form Responses'!$I$1:$Q$200,4,$A34)&amp;", ")),ISNUMBER(SEARCH(", "&amp;$B34&amp;", ", ", "&amp;INDEX('Form Responses'!$R$1:$R$200,4)&amp;", "))),1,""))</f>
        <v/>
      </c>
      <c r="G34">
        <f>IF(Wizards!$A$5="","",IF(OR(ISNUMBER(SEARCH(", "&amp;$B34&amp;", ", ", "&amp;INDEX('Form Responses'!$I$1:$Q$200,5,$A34)&amp;", ")),ISNUMBER(SEARCH(", "&amp;$B34&amp;", ", ", "&amp;INDEX('Form Responses'!$R$1:$R$200,5)&amp;", "))),1,""))</f>
        <v/>
      </c>
      <c r="H34">
        <f>IF(Wizards!$A$6="","",IF(OR(ISNUMBER(SEARCH(", "&amp;$B34&amp;", ", ", "&amp;INDEX('Form Responses'!$I$1:$Q$200,6,$A34)&amp;", ")),ISNUMBER(SEARCH(", "&amp;$B34&amp;", ", ", "&amp;INDEX('Form Responses'!$R$1:$R$200,6)&amp;", "))),1,""))</f>
        <v/>
      </c>
      <c r="I34">
        <f>IF(Wizards!$A$7="","",IF(OR(ISNUMBER(SEARCH(", "&amp;$B34&amp;", ", ", "&amp;INDEX('Form Responses'!$I$1:$Q$200,7,$A34)&amp;", ")),ISNUMBER(SEARCH(", "&amp;$B34&amp;", ", ", "&amp;INDEX('Form Responses'!$R$1:$R$200,7)&amp;", "))),1,""))</f>
        <v/>
      </c>
      <c r="J34">
        <f>IF(Wizards!$A$8="","",IF(OR(ISNUMBER(SEARCH(", "&amp;$B34&amp;", ", ", "&amp;INDEX('Form Responses'!$I$1:$Q$200,8,$A34)&amp;", ")),ISNUMBER(SEARCH(", "&amp;$B34&amp;", ", ", "&amp;INDEX('Form Responses'!$R$1:$R$200,8)&amp;", "))),1,""))</f>
        <v/>
      </c>
      <c r="K34">
        <f>IF(Wizards!$A$9="","",IF(OR(ISNUMBER(SEARCH(", "&amp;$B34&amp;", ", ", "&amp;INDEX('Form Responses'!$I$1:$Q$200,9,$A34)&amp;", ")),ISNUMBER(SEARCH(", "&amp;$B34&amp;", ", ", "&amp;INDEX('Form Responses'!$R$1:$R$200,9)&amp;", "))),1,""))</f>
        <v/>
      </c>
      <c r="L34">
        <f>IF(Wizards!$A$10="","",IF(OR(ISNUMBER(SEARCH(", "&amp;$B34&amp;", ", ", "&amp;INDEX('Form Responses'!$I$1:$Q$200,10,$A34)&amp;", ")),ISNUMBER(SEARCH(", "&amp;$B34&amp;", ", ", "&amp;INDEX('Form Responses'!$R$1:$R$200,10)&amp;", "))),1,""))</f>
        <v/>
      </c>
      <c r="M34">
        <f>IF(Wizards!$A$11="","",IF(OR(ISNUMBER(SEARCH(", "&amp;$B34&amp;", ", ", "&amp;INDEX('Form Responses'!$I$1:$Q$200,11,$A34)&amp;", ")),ISNUMBER(SEARCH(", "&amp;$B34&amp;", ", ", "&amp;INDEX('Form Responses'!$R$1:$R$200,11)&amp;", "))),1,""))</f>
        <v/>
      </c>
      <c r="N34">
        <f>IF(Wizards!$A$12="","",IF(OR(ISNUMBER(SEARCH(", "&amp;$B34&amp;", ", ", "&amp;INDEX('Form Responses'!$I$1:$Q$200,12,$A34)&amp;", ")),ISNUMBER(SEARCH(", "&amp;$B34&amp;", ", ", "&amp;INDEX('Form Responses'!$R$1:$R$200,12)&amp;", "))),1,""))</f>
        <v/>
      </c>
      <c r="O34">
        <f>IF(Wizards!$A$13="","",IF(OR(ISNUMBER(SEARCH(", "&amp;$B34&amp;", ", ", "&amp;INDEX('Form Responses'!$I$1:$Q$200,13,$A34)&amp;", ")),ISNUMBER(SEARCH(", "&amp;$B34&amp;", ", ", "&amp;INDEX('Form Responses'!$R$1:$R$200,13)&amp;", "))),1,""))</f>
        <v/>
      </c>
      <c r="P34">
        <f>IF(Wizards!$A$14="","",IF(OR(ISNUMBER(SEARCH(", "&amp;$B34&amp;", ", ", "&amp;INDEX('Form Responses'!$I$1:$Q$200,14,$A34)&amp;", ")),ISNUMBER(SEARCH(", "&amp;$B34&amp;", ", ", "&amp;INDEX('Form Responses'!$R$1:$R$200,14)&amp;", "))),1,""))</f>
        <v/>
      </c>
      <c r="Q34">
        <f>IF(Wizards!$A$15="","",IF(OR(ISNUMBER(SEARCH(", "&amp;$B34&amp;", ", ", "&amp;INDEX('Form Responses'!$I$1:$Q$200,15,$A34)&amp;", ")),ISNUMBER(SEARCH(", "&amp;$B34&amp;", ", ", "&amp;INDEX('Form Responses'!$R$1:$R$200,15)&amp;", "))),1,""))</f>
        <v/>
      </c>
      <c r="R34">
        <f>IF(Wizards!$A$16="","",IF(OR(ISNUMBER(SEARCH(", "&amp;$B34&amp;", ", ", "&amp;INDEX('Form Responses'!$I$1:$Q$200,16,$A34)&amp;", ")),ISNUMBER(SEARCH(", "&amp;$B34&amp;", ", ", "&amp;INDEX('Form Responses'!$R$1:$R$200,16)&amp;", "))),1,""))</f>
        <v/>
      </c>
      <c r="S34">
        <f>IF(Wizards!$A$17="","",IF(OR(ISNUMBER(SEARCH(", "&amp;$B34&amp;", ", ", "&amp;INDEX('Form Responses'!$I$1:$Q$200,17,$A34)&amp;", ")),ISNUMBER(SEARCH(", "&amp;$B34&amp;", ", ", "&amp;INDEX('Form Responses'!$R$1:$R$200,17)&amp;", "))),1,""))</f>
        <v/>
      </c>
      <c r="T34">
        <f>IF(Wizards!$A$18="","",IF(OR(ISNUMBER(SEARCH(", "&amp;$B34&amp;", ", ", "&amp;INDEX('Form Responses'!$I$1:$Q$200,18,$A34)&amp;", ")),ISNUMBER(SEARCH(", "&amp;$B34&amp;", ", ", "&amp;INDEX('Form Responses'!$R$1:$R$200,18)&amp;", "))),1,""))</f>
        <v/>
      </c>
      <c r="U34">
        <f>IF(Wizards!$A$19="","",IF(OR(ISNUMBER(SEARCH(", "&amp;$B34&amp;", ", ", "&amp;INDEX('Form Responses'!$I$1:$Q$200,19,$A34)&amp;", ")),ISNUMBER(SEARCH(", "&amp;$B34&amp;", ", ", "&amp;INDEX('Form Responses'!$R$1:$R$200,19)&amp;", "))),1,""))</f>
        <v/>
      </c>
      <c r="V34">
        <f>IF(Wizards!$A$20="","",IF(OR(ISNUMBER(SEARCH(", "&amp;$B34&amp;", ", ", "&amp;INDEX('Form Responses'!$I$1:$Q$200,20,$A34)&amp;", ")),ISNUMBER(SEARCH(", "&amp;$B34&amp;", ", ", "&amp;INDEX('Form Responses'!$R$1:$R$200,20)&amp;", "))),1,""))</f>
        <v/>
      </c>
      <c r="W34">
        <f>IF(Wizards!$A$21="","",IF(OR(ISNUMBER(SEARCH(", "&amp;$B34&amp;", ", ", "&amp;INDEX('Form Responses'!$I$1:$Q$200,21,$A34)&amp;", ")),ISNUMBER(SEARCH(", "&amp;$B34&amp;", ", ", "&amp;INDEX('Form Responses'!$R$1:$R$200,21)&amp;", "))),1,""))</f>
        <v/>
      </c>
      <c r="X34">
        <f>IF(Wizards!$A$22="","",IF(OR(ISNUMBER(SEARCH(", "&amp;$B34&amp;", ", ", "&amp;INDEX('Form Responses'!$I$1:$Q$200,22,$A34)&amp;", ")),ISNUMBER(SEARCH(", "&amp;$B34&amp;", ", ", "&amp;INDEX('Form Responses'!$R$1:$R$200,22)&amp;", "))),1,""))</f>
        <v/>
      </c>
      <c r="Y34">
        <f>IF(Wizards!$A$23="","",IF(OR(ISNUMBER(SEARCH(", "&amp;$B34&amp;", ", ", "&amp;INDEX('Form Responses'!$I$1:$Q$200,23,$A34)&amp;", ")),ISNUMBER(SEARCH(", "&amp;$B34&amp;", ", ", "&amp;INDEX('Form Responses'!$R$1:$R$200,23)&amp;", "))),1,""))</f>
        <v/>
      </c>
      <c r="Z34">
        <f>IF(Wizards!$A$24="","",IF(OR(ISNUMBER(SEARCH(", "&amp;$B34&amp;", ", ", "&amp;INDEX('Form Responses'!$I$1:$Q$200,24,$A34)&amp;", ")),ISNUMBER(SEARCH(", "&amp;$B34&amp;", ", ", "&amp;INDEX('Form Responses'!$R$1:$R$200,24)&amp;", "))),1,""))</f>
        <v/>
      </c>
      <c r="AA34">
        <f>IF(Wizards!$A$25="","",IF(OR(ISNUMBER(SEARCH(", "&amp;$B34&amp;", ", ", "&amp;INDEX('Form Responses'!$I$1:$Q$200,25,$A34)&amp;", ")),ISNUMBER(SEARCH(", "&amp;$B34&amp;", ", ", "&amp;INDEX('Form Responses'!$R$1:$R$200,25)&amp;", "))),1,""))</f>
        <v/>
      </c>
      <c r="AB34">
        <f>IF(D34=1,", "&amp;D$1,"")</f>
        <v/>
      </c>
      <c r="AC34">
        <f>IF(E34=1,", "&amp;E$1,"")</f>
        <v/>
      </c>
      <c r="AD34">
        <f>IF(F34=1,", "&amp;F$1,"")</f>
        <v/>
      </c>
      <c r="AE34">
        <f>IF(G34=1,", "&amp;G$1,"")</f>
        <v/>
      </c>
      <c r="AF34">
        <f>IF(H34=1,", "&amp;H$1,"")</f>
        <v/>
      </c>
      <c r="AG34">
        <f>IF(I34=1,", "&amp;I$1,"")</f>
        <v/>
      </c>
      <c r="AH34">
        <f>IF(J34=1,", "&amp;J$1,"")</f>
        <v/>
      </c>
      <c r="AI34">
        <f>IF(K34=1,", "&amp;K$1,"")</f>
        <v/>
      </c>
      <c r="AJ34">
        <f>IF(L34=1,", "&amp;L$1,"")</f>
        <v/>
      </c>
      <c r="AK34">
        <f>IF(M34=1,", "&amp;M$1,"")</f>
        <v/>
      </c>
      <c r="AL34">
        <f>IF(N34=1,", "&amp;N$1,"")</f>
        <v/>
      </c>
      <c r="AM34">
        <f>IF(O34=1,", "&amp;O$1,"")</f>
        <v/>
      </c>
      <c r="AN34">
        <f>IF(P34=1,", "&amp;P$1,"")</f>
        <v/>
      </c>
      <c r="AO34">
        <f>IF(Q34=1,", "&amp;Q$1,"")</f>
        <v/>
      </c>
      <c r="AP34">
        <f>IF(R34=1,", "&amp;R$1,"")</f>
        <v/>
      </c>
      <c r="AQ34">
        <f>IF(S34=1,", "&amp;S$1,"")</f>
        <v/>
      </c>
      <c r="AR34">
        <f>IF(T34=1,", "&amp;T$1,"")</f>
        <v/>
      </c>
      <c r="AS34">
        <f>IF(U34=1,", "&amp;U$1,"")</f>
        <v/>
      </c>
      <c r="AT34">
        <f>IF(V34=1,", "&amp;V$1,"")</f>
        <v/>
      </c>
      <c r="AU34">
        <f>IF(W34=1,", "&amp;W$1,"")</f>
        <v/>
      </c>
      <c r="AV34">
        <f>IF(X34=1,", "&amp;X$1,"")</f>
        <v/>
      </c>
      <c r="AW34">
        <f>IF(Y34=1,", "&amp;Y$1,"")</f>
        <v/>
      </c>
      <c r="AX34">
        <f>IF(Z34=1,", "&amp;Z$1,"")</f>
        <v/>
      </c>
      <c r="AY34">
        <f>IF(AA34=1,", "&amp;AA$1,"")</f>
        <v/>
      </c>
      <c r="AZ34">
        <f>MID($AB34&amp;$AC34&amp;$AD34&amp;$AE34&amp;$AF34&amp;$AG34&amp;$AH34&amp;$AI34&amp;$AJ34&amp;$AK34&amp;$AL34&amp;$AM34&amp;$AN34&amp;$AO34&amp;$AP34&amp;$AQ34&amp;$AR34&amp;$AS34&amp;$AT34&amp;$AU34&amp;$AV34&amp;$AW34&amp;$AX34&amp;$AY34,3,32767)</f>
        <v/>
      </c>
      <c r="BA34">
        <f>COUNT($D34:$AA34)</f>
        <v/>
      </c>
    </row>
    <row r="35">
      <c r="A35" t="n">
        <v>1</v>
      </c>
      <c r="B35" t="inlineStr">
        <is>
          <t>Tasha's Caustic Brew</t>
        </is>
      </c>
      <c r="C35" t="inlineStr">
        <is>
          <t>Evocation</t>
        </is>
      </c>
      <c r="D35">
        <f>IF(Wizards!$A$2="","",IF(OR(ISNUMBER(SEARCH(", "&amp;$B35&amp;", ", ", "&amp;INDEX('Form Responses'!$I$1:$Q$200,2,$A35)&amp;", ")),ISNUMBER(SEARCH(", "&amp;$B35&amp;", ", ", "&amp;INDEX('Form Responses'!$R$1:$R$200,2)&amp;", "))),1,""))</f>
        <v/>
      </c>
      <c r="E35">
        <f>IF(Wizards!$A$3="","",IF(OR(ISNUMBER(SEARCH(", "&amp;$B35&amp;", ", ", "&amp;INDEX('Form Responses'!$I$1:$Q$200,3,$A35)&amp;", ")),ISNUMBER(SEARCH(", "&amp;$B35&amp;", ", ", "&amp;INDEX('Form Responses'!$R$1:$R$200,3)&amp;", "))),1,""))</f>
        <v/>
      </c>
      <c r="F35">
        <f>IF(Wizards!$A$4="","",IF(OR(ISNUMBER(SEARCH(", "&amp;$B35&amp;", ", ", "&amp;INDEX('Form Responses'!$I$1:$Q$200,4,$A35)&amp;", ")),ISNUMBER(SEARCH(", "&amp;$B35&amp;", ", ", "&amp;INDEX('Form Responses'!$R$1:$R$200,4)&amp;", "))),1,""))</f>
        <v/>
      </c>
      <c r="G35">
        <f>IF(Wizards!$A$5="","",IF(OR(ISNUMBER(SEARCH(", "&amp;$B35&amp;", ", ", "&amp;INDEX('Form Responses'!$I$1:$Q$200,5,$A35)&amp;", ")),ISNUMBER(SEARCH(", "&amp;$B35&amp;", ", ", "&amp;INDEX('Form Responses'!$R$1:$R$200,5)&amp;", "))),1,""))</f>
        <v/>
      </c>
      <c r="H35">
        <f>IF(Wizards!$A$6="","",IF(OR(ISNUMBER(SEARCH(", "&amp;$B35&amp;", ", ", "&amp;INDEX('Form Responses'!$I$1:$Q$200,6,$A35)&amp;", ")),ISNUMBER(SEARCH(", "&amp;$B35&amp;", ", ", "&amp;INDEX('Form Responses'!$R$1:$R$200,6)&amp;", "))),1,""))</f>
        <v/>
      </c>
      <c r="I35">
        <f>IF(Wizards!$A$7="","",IF(OR(ISNUMBER(SEARCH(", "&amp;$B35&amp;", ", ", "&amp;INDEX('Form Responses'!$I$1:$Q$200,7,$A35)&amp;", ")),ISNUMBER(SEARCH(", "&amp;$B35&amp;", ", ", "&amp;INDEX('Form Responses'!$R$1:$R$200,7)&amp;", "))),1,""))</f>
        <v/>
      </c>
      <c r="J35">
        <f>IF(Wizards!$A$8="","",IF(OR(ISNUMBER(SEARCH(", "&amp;$B35&amp;", ", ", "&amp;INDEX('Form Responses'!$I$1:$Q$200,8,$A35)&amp;", ")),ISNUMBER(SEARCH(", "&amp;$B35&amp;", ", ", "&amp;INDEX('Form Responses'!$R$1:$R$200,8)&amp;", "))),1,""))</f>
        <v/>
      </c>
      <c r="K35">
        <f>IF(Wizards!$A$9="","",IF(OR(ISNUMBER(SEARCH(", "&amp;$B35&amp;", ", ", "&amp;INDEX('Form Responses'!$I$1:$Q$200,9,$A35)&amp;", ")),ISNUMBER(SEARCH(", "&amp;$B35&amp;", ", ", "&amp;INDEX('Form Responses'!$R$1:$R$200,9)&amp;", "))),1,""))</f>
        <v/>
      </c>
      <c r="L35">
        <f>IF(Wizards!$A$10="","",IF(OR(ISNUMBER(SEARCH(", "&amp;$B35&amp;", ", ", "&amp;INDEX('Form Responses'!$I$1:$Q$200,10,$A35)&amp;", ")),ISNUMBER(SEARCH(", "&amp;$B35&amp;", ", ", "&amp;INDEX('Form Responses'!$R$1:$R$200,10)&amp;", "))),1,""))</f>
        <v/>
      </c>
      <c r="M35">
        <f>IF(Wizards!$A$11="","",IF(OR(ISNUMBER(SEARCH(", "&amp;$B35&amp;", ", ", "&amp;INDEX('Form Responses'!$I$1:$Q$200,11,$A35)&amp;", ")),ISNUMBER(SEARCH(", "&amp;$B35&amp;", ", ", "&amp;INDEX('Form Responses'!$R$1:$R$200,11)&amp;", "))),1,""))</f>
        <v/>
      </c>
      <c r="N35">
        <f>IF(Wizards!$A$12="","",IF(OR(ISNUMBER(SEARCH(", "&amp;$B35&amp;", ", ", "&amp;INDEX('Form Responses'!$I$1:$Q$200,12,$A35)&amp;", ")),ISNUMBER(SEARCH(", "&amp;$B35&amp;", ", ", "&amp;INDEX('Form Responses'!$R$1:$R$200,12)&amp;", "))),1,""))</f>
        <v/>
      </c>
      <c r="O35">
        <f>IF(Wizards!$A$13="","",IF(OR(ISNUMBER(SEARCH(", "&amp;$B35&amp;", ", ", "&amp;INDEX('Form Responses'!$I$1:$Q$200,13,$A35)&amp;", ")),ISNUMBER(SEARCH(", "&amp;$B35&amp;", ", ", "&amp;INDEX('Form Responses'!$R$1:$R$200,13)&amp;", "))),1,""))</f>
        <v/>
      </c>
      <c r="P35">
        <f>IF(Wizards!$A$14="","",IF(OR(ISNUMBER(SEARCH(", "&amp;$B35&amp;", ", ", "&amp;INDEX('Form Responses'!$I$1:$Q$200,14,$A35)&amp;", ")),ISNUMBER(SEARCH(", "&amp;$B35&amp;", ", ", "&amp;INDEX('Form Responses'!$R$1:$R$200,14)&amp;", "))),1,""))</f>
        <v/>
      </c>
      <c r="Q35">
        <f>IF(Wizards!$A$15="","",IF(OR(ISNUMBER(SEARCH(", "&amp;$B35&amp;", ", ", "&amp;INDEX('Form Responses'!$I$1:$Q$200,15,$A35)&amp;", ")),ISNUMBER(SEARCH(", "&amp;$B35&amp;", ", ", "&amp;INDEX('Form Responses'!$R$1:$R$200,15)&amp;", "))),1,""))</f>
        <v/>
      </c>
      <c r="R35">
        <f>IF(Wizards!$A$16="","",IF(OR(ISNUMBER(SEARCH(", "&amp;$B35&amp;", ", ", "&amp;INDEX('Form Responses'!$I$1:$Q$200,16,$A35)&amp;", ")),ISNUMBER(SEARCH(", "&amp;$B35&amp;", ", ", "&amp;INDEX('Form Responses'!$R$1:$R$200,16)&amp;", "))),1,""))</f>
        <v/>
      </c>
      <c r="S35">
        <f>IF(Wizards!$A$17="","",IF(OR(ISNUMBER(SEARCH(", "&amp;$B35&amp;", ", ", "&amp;INDEX('Form Responses'!$I$1:$Q$200,17,$A35)&amp;", ")),ISNUMBER(SEARCH(", "&amp;$B35&amp;", ", ", "&amp;INDEX('Form Responses'!$R$1:$R$200,17)&amp;", "))),1,""))</f>
        <v/>
      </c>
      <c r="T35">
        <f>IF(Wizards!$A$18="","",IF(OR(ISNUMBER(SEARCH(", "&amp;$B35&amp;", ", ", "&amp;INDEX('Form Responses'!$I$1:$Q$200,18,$A35)&amp;", ")),ISNUMBER(SEARCH(", "&amp;$B35&amp;", ", ", "&amp;INDEX('Form Responses'!$R$1:$R$200,18)&amp;", "))),1,""))</f>
        <v/>
      </c>
      <c r="U35">
        <f>IF(Wizards!$A$19="","",IF(OR(ISNUMBER(SEARCH(", "&amp;$B35&amp;", ", ", "&amp;INDEX('Form Responses'!$I$1:$Q$200,19,$A35)&amp;", ")),ISNUMBER(SEARCH(", "&amp;$B35&amp;", ", ", "&amp;INDEX('Form Responses'!$R$1:$R$200,19)&amp;", "))),1,""))</f>
        <v/>
      </c>
      <c r="V35">
        <f>IF(Wizards!$A$20="","",IF(OR(ISNUMBER(SEARCH(", "&amp;$B35&amp;", ", ", "&amp;INDEX('Form Responses'!$I$1:$Q$200,20,$A35)&amp;", ")),ISNUMBER(SEARCH(", "&amp;$B35&amp;", ", ", "&amp;INDEX('Form Responses'!$R$1:$R$200,20)&amp;", "))),1,""))</f>
        <v/>
      </c>
      <c r="W35">
        <f>IF(Wizards!$A$21="","",IF(OR(ISNUMBER(SEARCH(", "&amp;$B35&amp;", ", ", "&amp;INDEX('Form Responses'!$I$1:$Q$200,21,$A35)&amp;", ")),ISNUMBER(SEARCH(", "&amp;$B35&amp;", ", ", "&amp;INDEX('Form Responses'!$R$1:$R$200,21)&amp;", "))),1,""))</f>
        <v/>
      </c>
      <c r="X35">
        <f>IF(Wizards!$A$22="","",IF(OR(ISNUMBER(SEARCH(", "&amp;$B35&amp;", ", ", "&amp;INDEX('Form Responses'!$I$1:$Q$200,22,$A35)&amp;", ")),ISNUMBER(SEARCH(", "&amp;$B35&amp;", ", ", "&amp;INDEX('Form Responses'!$R$1:$R$200,22)&amp;", "))),1,""))</f>
        <v/>
      </c>
      <c r="Y35">
        <f>IF(Wizards!$A$23="","",IF(OR(ISNUMBER(SEARCH(", "&amp;$B35&amp;", ", ", "&amp;INDEX('Form Responses'!$I$1:$Q$200,23,$A35)&amp;", ")),ISNUMBER(SEARCH(", "&amp;$B35&amp;", ", ", "&amp;INDEX('Form Responses'!$R$1:$R$200,23)&amp;", "))),1,""))</f>
        <v/>
      </c>
      <c r="Z35">
        <f>IF(Wizards!$A$24="","",IF(OR(ISNUMBER(SEARCH(", "&amp;$B35&amp;", ", ", "&amp;INDEX('Form Responses'!$I$1:$Q$200,24,$A35)&amp;", ")),ISNUMBER(SEARCH(", "&amp;$B35&amp;", ", ", "&amp;INDEX('Form Responses'!$R$1:$R$200,24)&amp;", "))),1,""))</f>
        <v/>
      </c>
      <c r="AA35">
        <f>IF(Wizards!$A$25="","",IF(OR(ISNUMBER(SEARCH(", "&amp;$B35&amp;", ", ", "&amp;INDEX('Form Responses'!$I$1:$Q$200,25,$A35)&amp;", ")),ISNUMBER(SEARCH(", "&amp;$B35&amp;", ", ", "&amp;INDEX('Form Responses'!$R$1:$R$200,25)&amp;", "))),1,""))</f>
        <v/>
      </c>
      <c r="AB35">
        <f>IF(D35=1,", "&amp;D$1,"")</f>
        <v/>
      </c>
      <c r="AC35">
        <f>IF(E35=1,", "&amp;E$1,"")</f>
        <v/>
      </c>
      <c r="AD35">
        <f>IF(F35=1,", "&amp;F$1,"")</f>
        <v/>
      </c>
      <c r="AE35">
        <f>IF(G35=1,", "&amp;G$1,"")</f>
        <v/>
      </c>
      <c r="AF35">
        <f>IF(H35=1,", "&amp;H$1,"")</f>
        <v/>
      </c>
      <c r="AG35">
        <f>IF(I35=1,", "&amp;I$1,"")</f>
        <v/>
      </c>
      <c r="AH35">
        <f>IF(J35=1,", "&amp;J$1,"")</f>
        <v/>
      </c>
      <c r="AI35">
        <f>IF(K35=1,", "&amp;K$1,"")</f>
        <v/>
      </c>
      <c r="AJ35">
        <f>IF(L35=1,", "&amp;L$1,"")</f>
        <v/>
      </c>
      <c r="AK35">
        <f>IF(M35=1,", "&amp;M$1,"")</f>
        <v/>
      </c>
      <c r="AL35">
        <f>IF(N35=1,", "&amp;N$1,"")</f>
        <v/>
      </c>
      <c r="AM35">
        <f>IF(O35=1,", "&amp;O$1,"")</f>
        <v/>
      </c>
      <c r="AN35">
        <f>IF(P35=1,", "&amp;P$1,"")</f>
        <v/>
      </c>
      <c r="AO35">
        <f>IF(Q35=1,", "&amp;Q$1,"")</f>
        <v/>
      </c>
      <c r="AP35">
        <f>IF(R35=1,", "&amp;R$1,"")</f>
        <v/>
      </c>
      <c r="AQ35">
        <f>IF(S35=1,", "&amp;S$1,"")</f>
        <v/>
      </c>
      <c r="AR35">
        <f>IF(T35=1,", "&amp;T$1,"")</f>
        <v/>
      </c>
      <c r="AS35">
        <f>IF(U35=1,", "&amp;U$1,"")</f>
        <v/>
      </c>
      <c r="AT35">
        <f>IF(V35=1,", "&amp;V$1,"")</f>
        <v/>
      </c>
      <c r="AU35">
        <f>IF(W35=1,", "&amp;W$1,"")</f>
        <v/>
      </c>
      <c r="AV35">
        <f>IF(X35=1,", "&amp;X$1,"")</f>
        <v/>
      </c>
      <c r="AW35">
        <f>IF(Y35=1,", "&amp;Y$1,"")</f>
        <v/>
      </c>
      <c r="AX35">
        <f>IF(Z35=1,", "&amp;Z$1,"")</f>
        <v/>
      </c>
      <c r="AY35">
        <f>IF(AA35=1,", "&amp;AA$1,"")</f>
        <v/>
      </c>
      <c r="AZ35">
        <f>MID($AB35&amp;$AC35&amp;$AD35&amp;$AE35&amp;$AF35&amp;$AG35&amp;$AH35&amp;$AI35&amp;$AJ35&amp;$AK35&amp;$AL35&amp;$AM35&amp;$AN35&amp;$AO35&amp;$AP35&amp;$AQ35&amp;$AR35&amp;$AS35&amp;$AT35&amp;$AU35&amp;$AV35&amp;$AW35&amp;$AX35&amp;$AY35,3,32767)</f>
        <v/>
      </c>
      <c r="BA35">
        <f>COUNT($D35:$AA35)</f>
        <v/>
      </c>
    </row>
    <row r="36">
      <c r="A36" t="n">
        <v>1</v>
      </c>
      <c r="B36" t="inlineStr">
        <is>
          <t>Tasha's Hideous Laughter</t>
        </is>
      </c>
      <c r="C36" t="inlineStr">
        <is>
          <t>Enchantment</t>
        </is>
      </c>
      <c r="D36">
        <f>IF(Wizards!$A$2="","",IF(OR(ISNUMBER(SEARCH(", "&amp;$B36&amp;", ", ", "&amp;INDEX('Form Responses'!$I$1:$Q$200,2,$A36)&amp;", ")),ISNUMBER(SEARCH(", "&amp;$B36&amp;", ", ", "&amp;INDEX('Form Responses'!$R$1:$R$200,2)&amp;", "))),1,""))</f>
        <v/>
      </c>
      <c r="E36">
        <f>IF(Wizards!$A$3="","",IF(OR(ISNUMBER(SEARCH(", "&amp;$B36&amp;", ", ", "&amp;INDEX('Form Responses'!$I$1:$Q$200,3,$A36)&amp;", ")),ISNUMBER(SEARCH(", "&amp;$B36&amp;", ", ", "&amp;INDEX('Form Responses'!$R$1:$R$200,3)&amp;", "))),1,""))</f>
        <v/>
      </c>
      <c r="F36">
        <f>IF(Wizards!$A$4="","",IF(OR(ISNUMBER(SEARCH(", "&amp;$B36&amp;", ", ", "&amp;INDEX('Form Responses'!$I$1:$Q$200,4,$A36)&amp;", ")),ISNUMBER(SEARCH(", "&amp;$B36&amp;", ", ", "&amp;INDEX('Form Responses'!$R$1:$R$200,4)&amp;", "))),1,""))</f>
        <v/>
      </c>
      <c r="G36">
        <f>IF(Wizards!$A$5="","",IF(OR(ISNUMBER(SEARCH(", "&amp;$B36&amp;", ", ", "&amp;INDEX('Form Responses'!$I$1:$Q$200,5,$A36)&amp;", ")),ISNUMBER(SEARCH(", "&amp;$B36&amp;", ", ", "&amp;INDEX('Form Responses'!$R$1:$R$200,5)&amp;", "))),1,""))</f>
        <v/>
      </c>
      <c r="H36">
        <f>IF(Wizards!$A$6="","",IF(OR(ISNUMBER(SEARCH(", "&amp;$B36&amp;", ", ", "&amp;INDEX('Form Responses'!$I$1:$Q$200,6,$A36)&amp;", ")),ISNUMBER(SEARCH(", "&amp;$B36&amp;", ", ", "&amp;INDEX('Form Responses'!$R$1:$R$200,6)&amp;", "))),1,""))</f>
        <v/>
      </c>
      <c r="I36">
        <f>IF(Wizards!$A$7="","",IF(OR(ISNUMBER(SEARCH(", "&amp;$B36&amp;", ", ", "&amp;INDEX('Form Responses'!$I$1:$Q$200,7,$A36)&amp;", ")),ISNUMBER(SEARCH(", "&amp;$B36&amp;", ", ", "&amp;INDEX('Form Responses'!$R$1:$R$200,7)&amp;", "))),1,""))</f>
        <v/>
      </c>
      <c r="J36">
        <f>IF(Wizards!$A$8="","",IF(OR(ISNUMBER(SEARCH(", "&amp;$B36&amp;", ", ", "&amp;INDEX('Form Responses'!$I$1:$Q$200,8,$A36)&amp;", ")),ISNUMBER(SEARCH(", "&amp;$B36&amp;", ", ", "&amp;INDEX('Form Responses'!$R$1:$R$200,8)&amp;", "))),1,""))</f>
        <v/>
      </c>
      <c r="K36">
        <f>IF(Wizards!$A$9="","",IF(OR(ISNUMBER(SEARCH(", "&amp;$B36&amp;", ", ", "&amp;INDEX('Form Responses'!$I$1:$Q$200,9,$A36)&amp;", ")),ISNUMBER(SEARCH(", "&amp;$B36&amp;", ", ", "&amp;INDEX('Form Responses'!$R$1:$R$200,9)&amp;", "))),1,""))</f>
        <v/>
      </c>
      <c r="L36">
        <f>IF(Wizards!$A$10="","",IF(OR(ISNUMBER(SEARCH(", "&amp;$B36&amp;", ", ", "&amp;INDEX('Form Responses'!$I$1:$Q$200,10,$A36)&amp;", ")),ISNUMBER(SEARCH(", "&amp;$B36&amp;", ", ", "&amp;INDEX('Form Responses'!$R$1:$R$200,10)&amp;", "))),1,""))</f>
        <v/>
      </c>
      <c r="M36">
        <f>IF(Wizards!$A$11="","",IF(OR(ISNUMBER(SEARCH(", "&amp;$B36&amp;", ", ", "&amp;INDEX('Form Responses'!$I$1:$Q$200,11,$A36)&amp;", ")),ISNUMBER(SEARCH(", "&amp;$B36&amp;", ", ", "&amp;INDEX('Form Responses'!$R$1:$R$200,11)&amp;", "))),1,""))</f>
        <v/>
      </c>
      <c r="N36">
        <f>IF(Wizards!$A$12="","",IF(OR(ISNUMBER(SEARCH(", "&amp;$B36&amp;", ", ", "&amp;INDEX('Form Responses'!$I$1:$Q$200,12,$A36)&amp;", ")),ISNUMBER(SEARCH(", "&amp;$B36&amp;", ", ", "&amp;INDEX('Form Responses'!$R$1:$R$200,12)&amp;", "))),1,""))</f>
        <v/>
      </c>
      <c r="O36">
        <f>IF(Wizards!$A$13="","",IF(OR(ISNUMBER(SEARCH(", "&amp;$B36&amp;", ", ", "&amp;INDEX('Form Responses'!$I$1:$Q$200,13,$A36)&amp;", ")),ISNUMBER(SEARCH(", "&amp;$B36&amp;", ", ", "&amp;INDEX('Form Responses'!$R$1:$R$200,13)&amp;", "))),1,""))</f>
        <v/>
      </c>
      <c r="P36">
        <f>IF(Wizards!$A$14="","",IF(OR(ISNUMBER(SEARCH(", "&amp;$B36&amp;", ", ", "&amp;INDEX('Form Responses'!$I$1:$Q$200,14,$A36)&amp;", ")),ISNUMBER(SEARCH(", "&amp;$B36&amp;", ", ", "&amp;INDEX('Form Responses'!$R$1:$R$200,14)&amp;", "))),1,""))</f>
        <v/>
      </c>
      <c r="Q36">
        <f>IF(Wizards!$A$15="","",IF(OR(ISNUMBER(SEARCH(", "&amp;$B36&amp;", ", ", "&amp;INDEX('Form Responses'!$I$1:$Q$200,15,$A36)&amp;", ")),ISNUMBER(SEARCH(", "&amp;$B36&amp;", ", ", "&amp;INDEX('Form Responses'!$R$1:$R$200,15)&amp;", "))),1,""))</f>
        <v/>
      </c>
      <c r="R36">
        <f>IF(Wizards!$A$16="","",IF(OR(ISNUMBER(SEARCH(", "&amp;$B36&amp;", ", ", "&amp;INDEX('Form Responses'!$I$1:$Q$200,16,$A36)&amp;", ")),ISNUMBER(SEARCH(", "&amp;$B36&amp;", ", ", "&amp;INDEX('Form Responses'!$R$1:$R$200,16)&amp;", "))),1,""))</f>
        <v/>
      </c>
      <c r="S36">
        <f>IF(Wizards!$A$17="","",IF(OR(ISNUMBER(SEARCH(", "&amp;$B36&amp;", ", ", "&amp;INDEX('Form Responses'!$I$1:$Q$200,17,$A36)&amp;", ")),ISNUMBER(SEARCH(", "&amp;$B36&amp;", ", ", "&amp;INDEX('Form Responses'!$R$1:$R$200,17)&amp;", "))),1,""))</f>
        <v/>
      </c>
      <c r="T36">
        <f>IF(Wizards!$A$18="","",IF(OR(ISNUMBER(SEARCH(", "&amp;$B36&amp;", ", ", "&amp;INDEX('Form Responses'!$I$1:$Q$200,18,$A36)&amp;", ")),ISNUMBER(SEARCH(", "&amp;$B36&amp;", ", ", "&amp;INDEX('Form Responses'!$R$1:$R$200,18)&amp;", "))),1,""))</f>
        <v/>
      </c>
      <c r="U36">
        <f>IF(Wizards!$A$19="","",IF(OR(ISNUMBER(SEARCH(", "&amp;$B36&amp;", ", ", "&amp;INDEX('Form Responses'!$I$1:$Q$200,19,$A36)&amp;", ")),ISNUMBER(SEARCH(", "&amp;$B36&amp;", ", ", "&amp;INDEX('Form Responses'!$R$1:$R$200,19)&amp;", "))),1,""))</f>
        <v/>
      </c>
      <c r="V36">
        <f>IF(Wizards!$A$20="","",IF(OR(ISNUMBER(SEARCH(", "&amp;$B36&amp;", ", ", "&amp;INDEX('Form Responses'!$I$1:$Q$200,20,$A36)&amp;", ")),ISNUMBER(SEARCH(", "&amp;$B36&amp;", ", ", "&amp;INDEX('Form Responses'!$R$1:$R$200,20)&amp;", "))),1,""))</f>
        <v/>
      </c>
      <c r="W36">
        <f>IF(Wizards!$A$21="","",IF(OR(ISNUMBER(SEARCH(", "&amp;$B36&amp;", ", ", "&amp;INDEX('Form Responses'!$I$1:$Q$200,21,$A36)&amp;", ")),ISNUMBER(SEARCH(", "&amp;$B36&amp;", ", ", "&amp;INDEX('Form Responses'!$R$1:$R$200,21)&amp;", "))),1,""))</f>
        <v/>
      </c>
      <c r="X36">
        <f>IF(Wizards!$A$22="","",IF(OR(ISNUMBER(SEARCH(", "&amp;$B36&amp;", ", ", "&amp;INDEX('Form Responses'!$I$1:$Q$200,22,$A36)&amp;", ")),ISNUMBER(SEARCH(", "&amp;$B36&amp;", ", ", "&amp;INDEX('Form Responses'!$R$1:$R$200,22)&amp;", "))),1,""))</f>
        <v/>
      </c>
      <c r="Y36">
        <f>IF(Wizards!$A$23="","",IF(OR(ISNUMBER(SEARCH(", "&amp;$B36&amp;", ", ", "&amp;INDEX('Form Responses'!$I$1:$Q$200,23,$A36)&amp;", ")),ISNUMBER(SEARCH(", "&amp;$B36&amp;", ", ", "&amp;INDEX('Form Responses'!$R$1:$R$200,23)&amp;", "))),1,""))</f>
        <v/>
      </c>
      <c r="Z36">
        <f>IF(Wizards!$A$24="","",IF(OR(ISNUMBER(SEARCH(", "&amp;$B36&amp;", ", ", "&amp;INDEX('Form Responses'!$I$1:$Q$200,24,$A36)&amp;", ")),ISNUMBER(SEARCH(", "&amp;$B36&amp;", ", ", "&amp;INDEX('Form Responses'!$R$1:$R$200,24)&amp;", "))),1,""))</f>
        <v/>
      </c>
      <c r="AA36">
        <f>IF(Wizards!$A$25="","",IF(OR(ISNUMBER(SEARCH(", "&amp;$B36&amp;", ", ", "&amp;INDEX('Form Responses'!$I$1:$Q$200,25,$A36)&amp;", ")),ISNUMBER(SEARCH(", "&amp;$B36&amp;", ", ", "&amp;INDEX('Form Responses'!$R$1:$R$200,25)&amp;", "))),1,""))</f>
        <v/>
      </c>
      <c r="AB36">
        <f>IF(D36=1,", "&amp;D$1,"")</f>
        <v/>
      </c>
      <c r="AC36">
        <f>IF(E36=1,", "&amp;E$1,"")</f>
        <v/>
      </c>
      <c r="AD36">
        <f>IF(F36=1,", "&amp;F$1,"")</f>
        <v/>
      </c>
      <c r="AE36">
        <f>IF(G36=1,", "&amp;G$1,"")</f>
        <v/>
      </c>
      <c r="AF36">
        <f>IF(H36=1,", "&amp;H$1,"")</f>
        <v/>
      </c>
      <c r="AG36">
        <f>IF(I36=1,", "&amp;I$1,"")</f>
        <v/>
      </c>
      <c r="AH36">
        <f>IF(J36=1,", "&amp;J$1,"")</f>
        <v/>
      </c>
      <c r="AI36">
        <f>IF(K36=1,", "&amp;K$1,"")</f>
        <v/>
      </c>
      <c r="AJ36">
        <f>IF(L36=1,", "&amp;L$1,"")</f>
        <v/>
      </c>
      <c r="AK36">
        <f>IF(M36=1,", "&amp;M$1,"")</f>
        <v/>
      </c>
      <c r="AL36">
        <f>IF(N36=1,", "&amp;N$1,"")</f>
        <v/>
      </c>
      <c r="AM36">
        <f>IF(O36=1,", "&amp;O$1,"")</f>
        <v/>
      </c>
      <c r="AN36">
        <f>IF(P36=1,", "&amp;P$1,"")</f>
        <v/>
      </c>
      <c r="AO36">
        <f>IF(Q36=1,", "&amp;Q$1,"")</f>
        <v/>
      </c>
      <c r="AP36">
        <f>IF(R36=1,", "&amp;R$1,"")</f>
        <v/>
      </c>
      <c r="AQ36">
        <f>IF(S36=1,", "&amp;S$1,"")</f>
        <v/>
      </c>
      <c r="AR36">
        <f>IF(T36=1,", "&amp;T$1,"")</f>
        <v/>
      </c>
      <c r="AS36">
        <f>IF(U36=1,", "&amp;U$1,"")</f>
        <v/>
      </c>
      <c r="AT36">
        <f>IF(V36=1,", "&amp;V$1,"")</f>
        <v/>
      </c>
      <c r="AU36">
        <f>IF(W36=1,", "&amp;W$1,"")</f>
        <v/>
      </c>
      <c r="AV36">
        <f>IF(X36=1,", "&amp;X$1,"")</f>
        <v/>
      </c>
      <c r="AW36">
        <f>IF(Y36=1,", "&amp;Y$1,"")</f>
        <v/>
      </c>
      <c r="AX36">
        <f>IF(Z36=1,", "&amp;Z$1,"")</f>
        <v/>
      </c>
      <c r="AY36">
        <f>IF(AA36=1,", "&amp;AA$1,"")</f>
        <v/>
      </c>
      <c r="AZ36">
        <f>MID($AB36&amp;$AC36&amp;$AD36&amp;$AE36&amp;$AF36&amp;$AG36&amp;$AH36&amp;$AI36&amp;$AJ36&amp;$AK36&amp;$AL36&amp;$AM36&amp;$AN36&amp;$AO36&amp;$AP36&amp;$AQ36&amp;$AR36&amp;$AS36&amp;$AT36&amp;$AU36&amp;$AV36&amp;$AW36&amp;$AX36&amp;$AY36,3,32767)</f>
        <v/>
      </c>
      <c r="BA36">
        <f>COUNT($D36:$AA36)</f>
        <v/>
      </c>
    </row>
    <row r="37">
      <c r="A37" t="n">
        <v>1</v>
      </c>
      <c r="B37" t="inlineStr">
        <is>
          <t>Tenser's Floating Disk</t>
        </is>
      </c>
      <c r="C37" t="inlineStr">
        <is>
          <t>Conjuration</t>
        </is>
      </c>
      <c r="D37">
        <f>IF(Wizards!$A$2="","",IF(OR(ISNUMBER(SEARCH(", "&amp;$B37&amp;", ", ", "&amp;INDEX('Form Responses'!$I$1:$Q$200,2,$A37)&amp;", ")),ISNUMBER(SEARCH(", "&amp;$B37&amp;", ", ", "&amp;INDEX('Form Responses'!$R$1:$R$200,2)&amp;", "))),1,""))</f>
        <v/>
      </c>
      <c r="E37">
        <f>IF(Wizards!$A$3="","",IF(OR(ISNUMBER(SEARCH(", "&amp;$B37&amp;", ", ", "&amp;INDEX('Form Responses'!$I$1:$Q$200,3,$A37)&amp;", ")),ISNUMBER(SEARCH(", "&amp;$B37&amp;", ", ", "&amp;INDEX('Form Responses'!$R$1:$R$200,3)&amp;", "))),1,""))</f>
        <v/>
      </c>
      <c r="F37">
        <f>IF(Wizards!$A$4="","",IF(OR(ISNUMBER(SEARCH(", "&amp;$B37&amp;", ", ", "&amp;INDEX('Form Responses'!$I$1:$Q$200,4,$A37)&amp;", ")),ISNUMBER(SEARCH(", "&amp;$B37&amp;", ", ", "&amp;INDEX('Form Responses'!$R$1:$R$200,4)&amp;", "))),1,""))</f>
        <v/>
      </c>
      <c r="G37">
        <f>IF(Wizards!$A$5="","",IF(OR(ISNUMBER(SEARCH(", "&amp;$B37&amp;", ", ", "&amp;INDEX('Form Responses'!$I$1:$Q$200,5,$A37)&amp;", ")),ISNUMBER(SEARCH(", "&amp;$B37&amp;", ", ", "&amp;INDEX('Form Responses'!$R$1:$R$200,5)&amp;", "))),1,""))</f>
        <v/>
      </c>
      <c r="H37">
        <f>IF(Wizards!$A$6="","",IF(OR(ISNUMBER(SEARCH(", "&amp;$B37&amp;", ", ", "&amp;INDEX('Form Responses'!$I$1:$Q$200,6,$A37)&amp;", ")),ISNUMBER(SEARCH(", "&amp;$B37&amp;", ", ", "&amp;INDEX('Form Responses'!$R$1:$R$200,6)&amp;", "))),1,""))</f>
        <v/>
      </c>
      <c r="I37">
        <f>IF(Wizards!$A$7="","",IF(OR(ISNUMBER(SEARCH(", "&amp;$B37&amp;", ", ", "&amp;INDEX('Form Responses'!$I$1:$Q$200,7,$A37)&amp;", ")),ISNUMBER(SEARCH(", "&amp;$B37&amp;", ", ", "&amp;INDEX('Form Responses'!$R$1:$R$200,7)&amp;", "))),1,""))</f>
        <v/>
      </c>
      <c r="J37">
        <f>IF(Wizards!$A$8="","",IF(OR(ISNUMBER(SEARCH(", "&amp;$B37&amp;", ", ", "&amp;INDEX('Form Responses'!$I$1:$Q$200,8,$A37)&amp;", ")),ISNUMBER(SEARCH(", "&amp;$B37&amp;", ", ", "&amp;INDEX('Form Responses'!$R$1:$R$200,8)&amp;", "))),1,""))</f>
        <v/>
      </c>
      <c r="K37">
        <f>IF(Wizards!$A$9="","",IF(OR(ISNUMBER(SEARCH(", "&amp;$B37&amp;", ", ", "&amp;INDEX('Form Responses'!$I$1:$Q$200,9,$A37)&amp;", ")),ISNUMBER(SEARCH(", "&amp;$B37&amp;", ", ", "&amp;INDEX('Form Responses'!$R$1:$R$200,9)&amp;", "))),1,""))</f>
        <v/>
      </c>
      <c r="L37">
        <f>IF(Wizards!$A$10="","",IF(OR(ISNUMBER(SEARCH(", "&amp;$B37&amp;", ", ", "&amp;INDEX('Form Responses'!$I$1:$Q$200,10,$A37)&amp;", ")),ISNUMBER(SEARCH(", "&amp;$B37&amp;", ", ", "&amp;INDEX('Form Responses'!$R$1:$R$200,10)&amp;", "))),1,""))</f>
        <v/>
      </c>
      <c r="M37">
        <f>IF(Wizards!$A$11="","",IF(OR(ISNUMBER(SEARCH(", "&amp;$B37&amp;", ", ", "&amp;INDEX('Form Responses'!$I$1:$Q$200,11,$A37)&amp;", ")),ISNUMBER(SEARCH(", "&amp;$B37&amp;", ", ", "&amp;INDEX('Form Responses'!$R$1:$R$200,11)&amp;", "))),1,""))</f>
        <v/>
      </c>
      <c r="N37">
        <f>IF(Wizards!$A$12="","",IF(OR(ISNUMBER(SEARCH(", "&amp;$B37&amp;", ", ", "&amp;INDEX('Form Responses'!$I$1:$Q$200,12,$A37)&amp;", ")),ISNUMBER(SEARCH(", "&amp;$B37&amp;", ", ", "&amp;INDEX('Form Responses'!$R$1:$R$200,12)&amp;", "))),1,""))</f>
        <v/>
      </c>
      <c r="O37">
        <f>IF(Wizards!$A$13="","",IF(OR(ISNUMBER(SEARCH(", "&amp;$B37&amp;", ", ", "&amp;INDEX('Form Responses'!$I$1:$Q$200,13,$A37)&amp;", ")),ISNUMBER(SEARCH(", "&amp;$B37&amp;", ", ", "&amp;INDEX('Form Responses'!$R$1:$R$200,13)&amp;", "))),1,""))</f>
        <v/>
      </c>
      <c r="P37">
        <f>IF(Wizards!$A$14="","",IF(OR(ISNUMBER(SEARCH(", "&amp;$B37&amp;", ", ", "&amp;INDEX('Form Responses'!$I$1:$Q$200,14,$A37)&amp;", ")),ISNUMBER(SEARCH(", "&amp;$B37&amp;", ", ", "&amp;INDEX('Form Responses'!$R$1:$R$200,14)&amp;", "))),1,""))</f>
        <v/>
      </c>
      <c r="Q37">
        <f>IF(Wizards!$A$15="","",IF(OR(ISNUMBER(SEARCH(", "&amp;$B37&amp;", ", ", "&amp;INDEX('Form Responses'!$I$1:$Q$200,15,$A37)&amp;", ")),ISNUMBER(SEARCH(", "&amp;$B37&amp;", ", ", "&amp;INDEX('Form Responses'!$R$1:$R$200,15)&amp;", "))),1,""))</f>
        <v/>
      </c>
      <c r="R37">
        <f>IF(Wizards!$A$16="","",IF(OR(ISNUMBER(SEARCH(", "&amp;$B37&amp;", ", ", "&amp;INDEX('Form Responses'!$I$1:$Q$200,16,$A37)&amp;", ")),ISNUMBER(SEARCH(", "&amp;$B37&amp;", ", ", "&amp;INDEX('Form Responses'!$R$1:$R$200,16)&amp;", "))),1,""))</f>
        <v/>
      </c>
      <c r="S37">
        <f>IF(Wizards!$A$17="","",IF(OR(ISNUMBER(SEARCH(", "&amp;$B37&amp;", ", ", "&amp;INDEX('Form Responses'!$I$1:$Q$200,17,$A37)&amp;", ")),ISNUMBER(SEARCH(", "&amp;$B37&amp;", ", ", "&amp;INDEX('Form Responses'!$R$1:$R$200,17)&amp;", "))),1,""))</f>
        <v/>
      </c>
      <c r="T37">
        <f>IF(Wizards!$A$18="","",IF(OR(ISNUMBER(SEARCH(", "&amp;$B37&amp;", ", ", "&amp;INDEX('Form Responses'!$I$1:$Q$200,18,$A37)&amp;", ")),ISNUMBER(SEARCH(", "&amp;$B37&amp;", ", ", "&amp;INDEX('Form Responses'!$R$1:$R$200,18)&amp;", "))),1,""))</f>
        <v/>
      </c>
      <c r="U37">
        <f>IF(Wizards!$A$19="","",IF(OR(ISNUMBER(SEARCH(", "&amp;$B37&amp;", ", ", "&amp;INDEX('Form Responses'!$I$1:$Q$200,19,$A37)&amp;", ")),ISNUMBER(SEARCH(", "&amp;$B37&amp;", ", ", "&amp;INDEX('Form Responses'!$R$1:$R$200,19)&amp;", "))),1,""))</f>
        <v/>
      </c>
      <c r="V37">
        <f>IF(Wizards!$A$20="","",IF(OR(ISNUMBER(SEARCH(", "&amp;$B37&amp;", ", ", "&amp;INDEX('Form Responses'!$I$1:$Q$200,20,$A37)&amp;", ")),ISNUMBER(SEARCH(", "&amp;$B37&amp;", ", ", "&amp;INDEX('Form Responses'!$R$1:$R$200,20)&amp;", "))),1,""))</f>
        <v/>
      </c>
      <c r="W37">
        <f>IF(Wizards!$A$21="","",IF(OR(ISNUMBER(SEARCH(", "&amp;$B37&amp;", ", ", "&amp;INDEX('Form Responses'!$I$1:$Q$200,21,$A37)&amp;", ")),ISNUMBER(SEARCH(", "&amp;$B37&amp;", ", ", "&amp;INDEX('Form Responses'!$R$1:$R$200,21)&amp;", "))),1,""))</f>
        <v/>
      </c>
      <c r="X37">
        <f>IF(Wizards!$A$22="","",IF(OR(ISNUMBER(SEARCH(", "&amp;$B37&amp;", ", ", "&amp;INDEX('Form Responses'!$I$1:$Q$200,22,$A37)&amp;", ")),ISNUMBER(SEARCH(", "&amp;$B37&amp;", ", ", "&amp;INDEX('Form Responses'!$R$1:$R$200,22)&amp;", "))),1,""))</f>
        <v/>
      </c>
      <c r="Y37">
        <f>IF(Wizards!$A$23="","",IF(OR(ISNUMBER(SEARCH(", "&amp;$B37&amp;", ", ", "&amp;INDEX('Form Responses'!$I$1:$Q$200,23,$A37)&amp;", ")),ISNUMBER(SEARCH(", "&amp;$B37&amp;", ", ", "&amp;INDEX('Form Responses'!$R$1:$R$200,23)&amp;", "))),1,""))</f>
        <v/>
      </c>
      <c r="Z37">
        <f>IF(Wizards!$A$24="","",IF(OR(ISNUMBER(SEARCH(", "&amp;$B37&amp;", ", ", "&amp;INDEX('Form Responses'!$I$1:$Q$200,24,$A37)&amp;", ")),ISNUMBER(SEARCH(", "&amp;$B37&amp;", ", ", "&amp;INDEX('Form Responses'!$R$1:$R$200,24)&amp;", "))),1,""))</f>
        <v/>
      </c>
      <c r="AA37">
        <f>IF(Wizards!$A$25="","",IF(OR(ISNUMBER(SEARCH(", "&amp;$B37&amp;", ", ", "&amp;INDEX('Form Responses'!$I$1:$Q$200,25,$A37)&amp;", ")),ISNUMBER(SEARCH(", "&amp;$B37&amp;", ", ", "&amp;INDEX('Form Responses'!$R$1:$R$200,25)&amp;", "))),1,""))</f>
        <v/>
      </c>
      <c r="AB37">
        <f>IF(D37=1,", "&amp;D$1,"")</f>
        <v/>
      </c>
      <c r="AC37">
        <f>IF(E37=1,", "&amp;E$1,"")</f>
        <v/>
      </c>
      <c r="AD37">
        <f>IF(F37=1,", "&amp;F$1,"")</f>
        <v/>
      </c>
      <c r="AE37">
        <f>IF(G37=1,", "&amp;G$1,"")</f>
        <v/>
      </c>
      <c r="AF37">
        <f>IF(H37=1,", "&amp;H$1,"")</f>
        <v/>
      </c>
      <c r="AG37">
        <f>IF(I37=1,", "&amp;I$1,"")</f>
        <v/>
      </c>
      <c r="AH37">
        <f>IF(J37=1,", "&amp;J$1,"")</f>
        <v/>
      </c>
      <c r="AI37">
        <f>IF(K37=1,", "&amp;K$1,"")</f>
        <v/>
      </c>
      <c r="AJ37">
        <f>IF(L37=1,", "&amp;L$1,"")</f>
        <v/>
      </c>
      <c r="AK37">
        <f>IF(M37=1,", "&amp;M$1,"")</f>
        <v/>
      </c>
      <c r="AL37">
        <f>IF(N37=1,", "&amp;N$1,"")</f>
        <v/>
      </c>
      <c r="AM37">
        <f>IF(O37=1,", "&amp;O$1,"")</f>
        <v/>
      </c>
      <c r="AN37">
        <f>IF(P37=1,", "&amp;P$1,"")</f>
        <v/>
      </c>
      <c r="AO37">
        <f>IF(Q37=1,", "&amp;Q$1,"")</f>
        <v/>
      </c>
      <c r="AP37">
        <f>IF(R37=1,", "&amp;R$1,"")</f>
        <v/>
      </c>
      <c r="AQ37">
        <f>IF(S37=1,", "&amp;S$1,"")</f>
        <v/>
      </c>
      <c r="AR37">
        <f>IF(T37=1,", "&amp;T$1,"")</f>
        <v/>
      </c>
      <c r="AS37">
        <f>IF(U37=1,", "&amp;U$1,"")</f>
        <v/>
      </c>
      <c r="AT37">
        <f>IF(V37=1,", "&amp;V$1,"")</f>
        <v/>
      </c>
      <c r="AU37">
        <f>IF(W37=1,", "&amp;W$1,"")</f>
        <v/>
      </c>
      <c r="AV37">
        <f>IF(X37=1,", "&amp;X$1,"")</f>
        <v/>
      </c>
      <c r="AW37">
        <f>IF(Y37=1,", "&amp;Y$1,"")</f>
        <v/>
      </c>
      <c r="AX37">
        <f>IF(Z37=1,", "&amp;Z$1,"")</f>
        <v/>
      </c>
      <c r="AY37">
        <f>IF(AA37=1,", "&amp;AA$1,"")</f>
        <v/>
      </c>
      <c r="AZ37">
        <f>MID($AB37&amp;$AC37&amp;$AD37&amp;$AE37&amp;$AF37&amp;$AG37&amp;$AH37&amp;$AI37&amp;$AJ37&amp;$AK37&amp;$AL37&amp;$AM37&amp;$AN37&amp;$AO37&amp;$AP37&amp;$AQ37&amp;$AR37&amp;$AS37&amp;$AT37&amp;$AU37&amp;$AV37&amp;$AW37&amp;$AX37&amp;$AY37,3,32767)</f>
        <v/>
      </c>
      <c r="BA37">
        <f>COUNT($D37:$AA37)</f>
        <v/>
      </c>
    </row>
    <row r="38">
      <c r="A38" t="n">
        <v>1</v>
      </c>
      <c r="B38" t="inlineStr">
        <is>
          <t>Thunderwave</t>
        </is>
      </c>
      <c r="C38" t="inlineStr">
        <is>
          <t>Evocation</t>
        </is>
      </c>
      <c r="D38">
        <f>IF(Wizards!$A$2="","",IF(OR(ISNUMBER(SEARCH(", "&amp;$B38&amp;", ", ", "&amp;INDEX('Form Responses'!$I$1:$Q$200,2,$A38)&amp;", ")),ISNUMBER(SEARCH(", "&amp;$B38&amp;", ", ", "&amp;INDEX('Form Responses'!$R$1:$R$200,2)&amp;", "))),1,""))</f>
        <v/>
      </c>
      <c r="E38">
        <f>IF(Wizards!$A$3="","",IF(OR(ISNUMBER(SEARCH(", "&amp;$B38&amp;", ", ", "&amp;INDEX('Form Responses'!$I$1:$Q$200,3,$A38)&amp;", ")),ISNUMBER(SEARCH(", "&amp;$B38&amp;", ", ", "&amp;INDEX('Form Responses'!$R$1:$R$200,3)&amp;", "))),1,""))</f>
        <v/>
      </c>
      <c r="F38">
        <f>IF(Wizards!$A$4="","",IF(OR(ISNUMBER(SEARCH(", "&amp;$B38&amp;", ", ", "&amp;INDEX('Form Responses'!$I$1:$Q$200,4,$A38)&amp;", ")),ISNUMBER(SEARCH(", "&amp;$B38&amp;", ", ", "&amp;INDEX('Form Responses'!$R$1:$R$200,4)&amp;", "))),1,""))</f>
        <v/>
      </c>
      <c r="G38">
        <f>IF(Wizards!$A$5="","",IF(OR(ISNUMBER(SEARCH(", "&amp;$B38&amp;", ", ", "&amp;INDEX('Form Responses'!$I$1:$Q$200,5,$A38)&amp;", ")),ISNUMBER(SEARCH(", "&amp;$B38&amp;", ", ", "&amp;INDEX('Form Responses'!$R$1:$R$200,5)&amp;", "))),1,""))</f>
        <v/>
      </c>
      <c r="H38">
        <f>IF(Wizards!$A$6="","",IF(OR(ISNUMBER(SEARCH(", "&amp;$B38&amp;", ", ", "&amp;INDEX('Form Responses'!$I$1:$Q$200,6,$A38)&amp;", ")),ISNUMBER(SEARCH(", "&amp;$B38&amp;", ", ", "&amp;INDEX('Form Responses'!$R$1:$R$200,6)&amp;", "))),1,""))</f>
        <v/>
      </c>
      <c r="I38">
        <f>IF(Wizards!$A$7="","",IF(OR(ISNUMBER(SEARCH(", "&amp;$B38&amp;", ", ", "&amp;INDEX('Form Responses'!$I$1:$Q$200,7,$A38)&amp;", ")),ISNUMBER(SEARCH(", "&amp;$B38&amp;", ", ", "&amp;INDEX('Form Responses'!$R$1:$R$200,7)&amp;", "))),1,""))</f>
        <v/>
      </c>
      <c r="J38">
        <f>IF(Wizards!$A$8="","",IF(OR(ISNUMBER(SEARCH(", "&amp;$B38&amp;", ", ", "&amp;INDEX('Form Responses'!$I$1:$Q$200,8,$A38)&amp;", ")),ISNUMBER(SEARCH(", "&amp;$B38&amp;", ", ", "&amp;INDEX('Form Responses'!$R$1:$R$200,8)&amp;", "))),1,""))</f>
        <v/>
      </c>
      <c r="K38">
        <f>IF(Wizards!$A$9="","",IF(OR(ISNUMBER(SEARCH(", "&amp;$B38&amp;", ", ", "&amp;INDEX('Form Responses'!$I$1:$Q$200,9,$A38)&amp;", ")),ISNUMBER(SEARCH(", "&amp;$B38&amp;", ", ", "&amp;INDEX('Form Responses'!$R$1:$R$200,9)&amp;", "))),1,""))</f>
        <v/>
      </c>
      <c r="L38">
        <f>IF(Wizards!$A$10="","",IF(OR(ISNUMBER(SEARCH(", "&amp;$B38&amp;", ", ", "&amp;INDEX('Form Responses'!$I$1:$Q$200,10,$A38)&amp;", ")),ISNUMBER(SEARCH(", "&amp;$B38&amp;", ", ", "&amp;INDEX('Form Responses'!$R$1:$R$200,10)&amp;", "))),1,""))</f>
        <v/>
      </c>
      <c r="M38">
        <f>IF(Wizards!$A$11="","",IF(OR(ISNUMBER(SEARCH(", "&amp;$B38&amp;", ", ", "&amp;INDEX('Form Responses'!$I$1:$Q$200,11,$A38)&amp;", ")),ISNUMBER(SEARCH(", "&amp;$B38&amp;", ", ", "&amp;INDEX('Form Responses'!$R$1:$R$200,11)&amp;", "))),1,""))</f>
        <v/>
      </c>
      <c r="N38">
        <f>IF(Wizards!$A$12="","",IF(OR(ISNUMBER(SEARCH(", "&amp;$B38&amp;", ", ", "&amp;INDEX('Form Responses'!$I$1:$Q$200,12,$A38)&amp;", ")),ISNUMBER(SEARCH(", "&amp;$B38&amp;", ", ", "&amp;INDEX('Form Responses'!$R$1:$R$200,12)&amp;", "))),1,""))</f>
        <v/>
      </c>
      <c r="O38">
        <f>IF(Wizards!$A$13="","",IF(OR(ISNUMBER(SEARCH(", "&amp;$B38&amp;", ", ", "&amp;INDEX('Form Responses'!$I$1:$Q$200,13,$A38)&amp;", ")),ISNUMBER(SEARCH(", "&amp;$B38&amp;", ", ", "&amp;INDEX('Form Responses'!$R$1:$R$200,13)&amp;", "))),1,""))</f>
        <v/>
      </c>
      <c r="P38">
        <f>IF(Wizards!$A$14="","",IF(OR(ISNUMBER(SEARCH(", "&amp;$B38&amp;", ", ", "&amp;INDEX('Form Responses'!$I$1:$Q$200,14,$A38)&amp;", ")),ISNUMBER(SEARCH(", "&amp;$B38&amp;", ", ", "&amp;INDEX('Form Responses'!$R$1:$R$200,14)&amp;", "))),1,""))</f>
        <v/>
      </c>
      <c r="Q38">
        <f>IF(Wizards!$A$15="","",IF(OR(ISNUMBER(SEARCH(", "&amp;$B38&amp;", ", ", "&amp;INDEX('Form Responses'!$I$1:$Q$200,15,$A38)&amp;", ")),ISNUMBER(SEARCH(", "&amp;$B38&amp;", ", ", "&amp;INDEX('Form Responses'!$R$1:$R$200,15)&amp;", "))),1,""))</f>
        <v/>
      </c>
      <c r="R38">
        <f>IF(Wizards!$A$16="","",IF(OR(ISNUMBER(SEARCH(", "&amp;$B38&amp;", ", ", "&amp;INDEX('Form Responses'!$I$1:$Q$200,16,$A38)&amp;", ")),ISNUMBER(SEARCH(", "&amp;$B38&amp;", ", ", "&amp;INDEX('Form Responses'!$R$1:$R$200,16)&amp;", "))),1,""))</f>
        <v/>
      </c>
      <c r="S38">
        <f>IF(Wizards!$A$17="","",IF(OR(ISNUMBER(SEARCH(", "&amp;$B38&amp;", ", ", "&amp;INDEX('Form Responses'!$I$1:$Q$200,17,$A38)&amp;", ")),ISNUMBER(SEARCH(", "&amp;$B38&amp;", ", ", "&amp;INDEX('Form Responses'!$R$1:$R$200,17)&amp;", "))),1,""))</f>
        <v/>
      </c>
      <c r="T38">
        <f>IF(Wizards!$A$18="","",IF(OR(ISNUMBER(SEARCH(", "&amp;$B38&amp;", ", ", "&amp;INDEX('Form Responses'!$I$1:$Q$200,18,$A38)&amp;", ")),ISNUMBER(SEARCH(", "&amp;$B38&amp;", ", ", "&amp;INDEX('Form Responses'!$R$1:$R$200,18)&amp;", "))),1,""))</f>
        <v/>
      </c>
      <c r="U38">
        <f>IF(Wizards!$A$19="","",IF(OR(ISNUMBER(SEARCH(", "&amp;$B38&amp;", ", ", "&amp;INDEX('Form Responses'!$I$1:$Q$200,19,$A38)&amp;", ")),ISNUMBER(SEARCH(", "&amp;$B38&amp;", ", ", "&amp;INDEX('Form Responses'!$R$1:$R$200,19)&amp;", "))),1,""))</f>
        <v/>
      </c>
      <c r="V38">
        <f>IF(Wizards!$A$20="","",IF(OR(ISNUMBER(SEARCH(", "&amp;$B38&amp;", ", ", "&amp;INDEX('Form Responses'!$I$1:$Q$200,20,$A38)&amp;", ")),ISNUMBER(SEARCH(", "&amp;$B38&amp;", ", ", "&amp;INDEX('Form Responses'!$R$1:$R$200,20)&amp;", "))),1,""))</f>
        <v/>
      </c>
      <c r="W38">
        <f>IF(Wizards!$A$21="","",IF(OR(ISNUMBER(SEARCH(", "&amp;$B38&amp;", ", ", "&amp;INDEX('Form Responses'!$I$1:$Q$200,21,$A38)&amp;", ")),ISNUMBER(SEARCH(", "&amp;$B38&amp;", ", ", "&amp;INDEX('Form Responses'!$R$1:$R$200,21)&amp;", "))),1,""))</f>
        <v/>
      </c>
      <c r="X38">
        <f>IF(Wizards!$A$22="","",IF(OR(ISNUMBER(SEARCH(", "&amp;$B38&amp;", ", ", "&amp;INDEX('Form Responses'!$I$1:$Q$200,22,$A38)&amp;", ")),ISNUMBER(SEARCH(", "&amp;$B38&amp;", ", ", "&amp;INDEX('Form Responses'!$R$1:$R$200,22)&amp;", "))),1,""))</f>
        <v/>
      </c>
      <c r="Y38">
        <f>IF(Wizards!$A$23="","",IF(OR(ISNUMBER(SEARCH(", "&amp;$B38&amp;", ", ", "&amp;INDEX('Form Responses'!$I$1:$Q$200,23,$A38)&amp;", ")),ISNUMBER(SEARCH(", "&amp;$B38&amp;", ", ", "&amp;INDEX('Form Responses'!$R$1:$R$200,23)&amp;", "))),1,""))</f>
        <v/>
      </c>
      <c r="Z38">
        <f>IF(Wizards!$A$24="","",IF(OR(ISNUMBER(SEARCH(", "&amp;$B38&amp;", ", ", "&amp;INDEX('Form Responses'!$I$1:$Q$200,24,$A38)&amp;", ")),ISNUMBER(SEARCH(", "&amp;$B38&amp;", ", ", "&amp;INDEX('Form Responses'!$R$1:$R$200,24)&amp;", "))),1,""))</f>
        <v/>
      </c>
      <c r="AA38">
        <f>IF(Wizards!$A$25="","",IF(OR(ISNUMBER(SEARCH(", "&amp;$B38&amp;", ", ", "&amp;INDEX('Form Responses'!$I$1:$Q$200,25,$A38)&amp;", ")),ISNUMBER(SEARCH(", "&amp;$B38&amp;", ", ", "&amp;INDEX('Form Responses'!$R$1:$R$200,25)&amp;", "))),1,""))</f>
        <v/>
      </c>
      <c r="AB38">
        <f>IF(D38=1,", "&amp;D$1,"")</f>
        <v/>
      </c>
      <c r="AC38">
        <f>IF(E38=1,", "&amp;E$1,"")</f>
        <v/>
      </c>
      <c r="AD38">
        <f>IF(F38=1,", "&amp;F$1,"")</f>
        <v/>
      </c>
      <c r="AE38">
        <f>IF(G38=1,", "&amp;G$1,"")</f>
        <v/>
      </c>
      <c r="AF38">
        <f>IF(H38=1,", "&amp;H$1,"")</f>
        <v/>
      </c>
      <c r="AG38">
        <f>IF(I38=1,", "&amp;I$1,"")</f>
        <v/>
      </c>
      <c r="AH38">
        <f>IF(J38=1,", "&amp;J$1,"")</f>
        <v/>
      </c>
      <c r="AI38">
        <f>IF(K38=1,", "&amp;K$1,"")</f>
        <v/>
      </c>
      <c r="AJ38">
        <f>IF(L38=1,", "&amp;L$1,"")</f>
        <v/>
      </c>
      <c r="AK38">
        <f>IF(M38=1,", "&amp;M$1,"")</f>
        <v/>
      </c>
      <c r="AL38">
        <f>IF(N38=1,", "&amp;N$1,"")</f>
        <v/>
      </c>
      <c r="AM38">
        <f>IF(O38=1,", "&amp;O$1,"")</f>
        <v/>
      </c>
      <c r="AN38">
        <f>IF(P38=1,", "&amp;P$1,"")</f>
        <v/>
      </c>
      <c r="AO38">
        <f>IF(Q38=1,", "&amp;Q$1,"")</f>
        <v/>
      </c>
      <c r="AP38">
        <f>IF(R38=1,", "&amp;R$1,"")</f>
        <v/>
      </c>
      <c r="AQ38">
        <f>IF(S38=1,", "&amp;S$1,"")</f>
        <v/>
      </c>
      <c r="AR38">
        <f>IF(T38=1,", "&amp;T$1,"")</f>
        <v/>
      </c>
      <c r="AS38">
        <f>IF(U38=1,", "&amp;U$1,"")</f>
        <v/>
      </c>
      <c r="AT38">
        <f>IF(V38=1,", "&amp;V$1,"")</f>
        <v/>
      </c>
      <c r="AU38">
        <f>IF(W38=1,", "&amp;W$1,"")</f>
        <v/>
      </c>
      <c r="AV38">
        <f>IF(X38=1,", "&amp;X$1,"")</f>
        <v/>
      </c>
      <c r="AW38">
        <f>IF(Y38=1,", "&amp;Y$1,"")</f>
        <v/>
      </c>
      <c r="AX38">
        <f>IF(Z38=1,", "&amp;Z$1,"")</f>
        <v/>
      </c>
      <c r="AY38">
        <f>IF(AA38=1,", "&amp;AA$1,"")</f>
        <v/>
      </c>
      <c r="AZ38">
        <f>MID($AB38&amp;$AC38&amp;$AD38&amp;$AE38&amp;$AF38&amp;$AG38&amp;$AH38&amp;$AI38&amp;$AJ38&amp;$AK38&amp;$AL38&amp;$AM38&amp;$AN38&amp;$AO38&amp;$AP38&amp;$AQ38&amp;$AR38&amp;$AS38&amp;$AT38&amp;$AU38&amp;$AV38&amp;$AW38&amp;$AX38&amp;$AY38,3,32767)</f>
        <v/>
      </c>
      <c r="BA38">
        <f>COUNT($D38:$AA38)</f>
        <v/>
      </c>
    </row>
    <row r="39">
      <c r="A39" t="n">
        <v>1</v>
      </c>
      <c r="B39" t="inlineStr">
        <is>
          <t>Unseen Servant</t>
        </is>
      </c>
      <c r="C39" t="inlineStr">
        <is>
          <t>Conjuration</t>
        </is>
      </c>
      <c r="D39">
        <f>IF(Wizards!$A$2="","",IF(OR(ISNUMBER(SEARCH(", "&amp;$B39&amp;", ", ", "&amp;INDEX('Form Responses'!$I$1:$Q$200,2,$A39)&amp;", ")),ISNUMBER(SEARCH(", "&amp;$B39&amp;", ", ", "&amp;INDEX('Form Responses'!$R$1:$R$200,2)&amp;", "))),1,""))</f>
        <v/>
      </c>
      <c r="E39">
        <f>IF(Wizards!$A$3="","",IF(OR(ISNUMBER(SEARCH(", "&amp;$B39&amp;", ", ", "&amp;INDEX('Form Responses'!$I$1:$Q$200,3,$A39)&amp;", ")),ISNUMBER(SEARCH(", "&amp;$B39&amp;", ", ", "&amp;INDEX('Form Responses'!$R$1:$R$200,3)&amp;", "))),1,""))</f>
        <v/>
      </c>
      <c r="F39">
        <f>IF(Wizards!$A$4="","",IF(OR(ISNUMBER(SEARCH(", "&amp;$B39&amp;", ", ", "&amp;INDEX('Form Responses'!$I$1:$Q$200,4,$A39)&amp;", ")),ISNUMBER(SEARCH(", "&amp;$B39&amp;", ", ", "&amp;INDEX('Form Responses'!$R$1:$R$200,4)&amp;", "))),1,""))</f>
        <v/>
      </c>
      <c r="G39">
        <f>IF(Wizards!$A$5="","",IF(OR(ISNUMBER(SEARCH(", "&amp;$B39&amp;", ", ", "&amp;INDEX('Form Responses'!$I$1:$Q$200,5,$A39)&amp;", ")),ISNUMBER(SEARCH(", "&amp;$B39&amp;", ", ", "&amp;INDEX('Form Responses'!$R$1:$R$200,5)&amp;", "))),1,""))</f>
        <v/>
      </c>
      <c r="H39">
        <f>IF(Wizards!$A$6="","",IF(OR(ISNUMBER(SEARCH(", "&amp;$B39&amp;", ", ", "&amp;INDEX('Form Responses'!$I$1:$Q$200,6,$A39)&amp;", ")),ISNUMBER(SEARCH(", "&amp;$B39&amp;", ", ", "&amp;INDEX('Form Responses'!$R$1:$R$200,6)&amp;", "))),1,""))</f>
        <v/>
      </c>
      <c r="I39">
        <f>IF(Wizards!$A$7="","",IF(OR(ISNUMBER(SEARCH(", "&amp;$B39&amp;", ", ", "&amp;INDEX('Form Responses'!$I$1:$Q$200,7,$A39)&amp;", ")),ISNUMBER(SEARCH(", "&amp;$B39&amp;", ", ", "&amp;INDEX('Form Responses'!$R$1:$R$200,7)&amp;", "))),1,""))</f>
        <v/>
      </c>
      <c r="J39">
        <f>IF(Wizards!$A$8="","",IF(OR(ISNUMBER(SEARCH(", "&amp;$B39&amp;", ", ", "&amp;INDEX('Form Responses'!$I$1:$Q$200,8,$A39)&amp;", ")),ISNUMBER(SEARCH(", "&amp;$B39&amp;", ", ", "&amp;INDEX('Form Responses'!$R$1:$R$200,8)&amp;", "))),1,""))</f>
        <v/>
      </c>
      <c r="K39">
        <f>IF(Wizards!$A$9="","",IF(OR(ISNUMBER(SEARCH(", "&amp;$B39&amp;", ", ", "&amp;INDEX('Form Responses'!$I$1:$Q$200,9,$A39)&amp;", ")),ISNUMBER(SEARCH(", "&amp;$B39&amp;", ", ", "&amp;INDEX('Form Responses'!$R$1:$R$200,9)&amp;", "))),1,""))</f>
        <v/>
      </c>
      <c r="L39">
        <f>IF(Wizards!$A$10="","",IF(OR(ISNUMBER(SEARCH(", "&amp;$B39&amp;", ", ", "&amp;INDEX('Form Responses'!$I$1:$Q$200,10,$A39)&amp;", ")),ISNUMBER(SEARCH(", "&amp;$B39&amp;", ", ", "&amp;INDEX('Form Responses'!$R$1:$R$200,10)&amp;", "))),1,""))</f>
        <v/>
      </c>
      <c r="M39">
        <f>IF(Wizards!$A$11="","",IF(OR(ISNUMBER(SEARCH(", "&amp;$B39&amp;", ", ", "&amp;INDEX('Form Responses'!$I$1:$Q$200,11,$A39)&amp;", ")),ISNUMBER(SEARCH(", "&amp;$B39&amp;", ", ", "&amp;INDEX('Form Responses'!$R$1:$R$200,11)&amp;", "))),1,""))</f>
        <v/>
      </c>
      <c r="N39">
        <f>IF(Wizards!$A$12="","",IF(OR(ISNUMBER(SEARCH(", "&amp;$B39&amp;", ", ", "&amp;INDEX('Form Responses'!$I$1:$Q$200,12,$A39)&amp;", ")),ISNUMBER(SEARCH(", "&amp;$B39&amp;", ", ", "&amp;INDEX('Form Responses'!$R$1:$R$200,12)&amp;", "))),1,""))</f>
        <v/>
      </c>
      <c r="O39">
        <f>IF(Wizards!$A$13="","",IF(OR(ISNUMBER(SEARCH(", "&amp;$B39&amp;", ", ", "&amp;INDEX('Form Responses'!$I$1:$Q$200,13,$A39)&amp;", ")),ISNUMBER(SEARCH(", "&amp;$B39&amp;", ", ", "&amp;INDEX('Form Responses'!$R$1:$R$200,13)&amp;", "))),1,""))</f>
        <v/>
      </c>
      <c r="P39">
        <f>IF(Wizards!$A$14="","",IF(OR(ISNUMBER(SEARCH(", "&amp;$B39&amp;", ", ", "&amp;INDEX('Form Responses'!$I$1:$Q$200,14,$A39)&amp;", ")),ISNUMBER(SEARCH(", "&amp;$B39&amp;", ", ", "&amp;INDEX('Form Responses'!$R$1:$R$200,14)&amp;", "))),1,""))</f>
        <v/>
      </c>
      <c r="Q39">
        <f>IF(Wizards!$A$15="","",IF(OR(ISNUMBER(SEARCH(", "&amp;$B39&amp;", ", ", "&amp;INDEX('Form Responses'!$I$1:$Q$200,15,$A39)&amp;", ")),ISNUMBER(SEARCH(", "&amp;$B39&amp;", ", ", "&amp;INDEX('Form Responses'!$R$1:$R$200,15)&amp;", "))),1,""))</f>
        <v/>
      </c>
      <c r="R39">
        <f>IF(Wizards!$A$16="","",IF(OR(ISNUMBER(SEARCH(", "&amp;$B39&amp;", ", ", "&amp;INDEX('Form Responses'!$I$1:$Q$200,16,$A39)&amp;", ")),ISNUMBER(SEARCH(", "&amp;$B39&amp;", ", ", "&amp;INDEX('Form Responses'!$R$1:$R$200,16)&amp;", "))),1,""))</f>
        <v/>
      </c>
      <c r="S39">
        <f>IF(Wizards!$A$17="","",IF(OR(ISNUMBER(SEARCH(", "&amp;$B39&amp;", ", ", "&amp;INDEX('Form Responses'!$I$1:$Q$200,17,$A39)&amp;", ")),ISNUMBER(SEARCH(", "&amp;$B39&amp;", ", ", "&amp;INDEX('Form Responses'!$R$1:$R$200,17)&amp;", "))),1,""))</f>
        <v/>
      </c>
      <c r="T39">
        <f>IF(Wizards!$A$18="","",IF(OR(ISNUMBER(SEARCH(", "&amp;$B39&amp;", ", ", "&amp;INDEX('Form Responses'!$I$1:$Q$200,18,$A39)&amp;", ")),ISNUMBER(SEARCH(", "&amp;$B39&amp;", ", ", "&amp;INDEX('Form Responses'!$R$1:$R$200,18)&amp;", "))),1,""))</f>
        <v/>
      </c>
      <c r="U39">
        <f>IF(Wizards!$A$19="","",IF(OR(ISNUMBER(SEARCH(", "&amp;$B39&amp;", ", ", "&amp;INDEX('Form Responses'!$I$1:$Q$200,19,$A39)&amp;", ")),ISNUMBER(SEARCH(", "&amp;$B39&amp;", ", ", "&amp;INDEX('Form Responses'!$R$1:$R$200,19)&amp;", "))),1,""))</f>
        <v/>
      </c>
      <c r="V39">
        <f>IF(Wizards!$A$20="","",IF(OR(ISNUMBER(SEARCH(", "&amp;$B39&amp;", ", ", "&amp;INDEX('Form Responses'!$I$1:$Q$200,20,$A39)&amp;", ")),ISNUMBER(SEARCH(", "&amp;$B39&amp;", ", ", "&amp;INDEX('Form Responses'!$R$1:$R$200,20)&amp;", "))),1,""))</f>
        <v/>
      </c>
      <c r="W39">
        <f>IF(Wizards!$A$21="","",IF(OR(ISNUMBER(SEARCH(", "&amp;$B39&amp;", ", ", "&amp;INDEX('Form Responses'!$I$1:$Q$200,21,$A39)&amp;", ")),ISNUMBER(SEARCH(", "&amp;$B39&amp;", ", ", "&amp;INDEX('Form Responses'!$R$1:$R$200,21)&amp;", "))),1,""))</f>
        <v/>
      </c>
      <c r="X39">
        <f>IF(Wizards!$A$22="","",IF(OR(ISNUMBER(SEARCH(", "&amp;$B39&amp;", ", ", "&amp;INDEX('Form Responses'!$I$1:$Q$200,22,$A39)&amp;", ")),ISNUMBER(SEARCH(", "&amp;$B39&amp;", ", ", "&amp;INDEX('Form Responses'!$R$1:$R$200,22)&amp;", "))),1,""))</f>
        <v/>
      </c>
      <c r="Y39">
        <f>IF(Wizards!$A$23="","",IF(OR(ISNUMBER(SEARCH(", "&amp;$B39&amp;", ", ", "&amp;INDEX('Form Responses'!$I$1:$Q$200,23,$A39)&amp;", ")),ISNUMBER(SEARCH(", "&amp;$B39&amp;", ", ", "&amp;INDEX('Form Responses'!$R$1:$R$200,23)&amp;", "))),1,""))</f>
        <v/>
      </c>
      <c r="Z39">
        <f>IF(Wizards!$A$24="","",IF(OR(ISNUMBER(SEARCH(", "&amp;$B39&amp;", ", ", "&amp;INDEX('Form Responses'!$I$1:$Q$200,24,$A39)&amp;", ")),ISNUMBER(SEARCH(", "&amp;$B39&amp;", ", ", "&amp;INDEX('Form Responses'!$R$1:$R$200,24)&amp;", "))),1,""))</f>
        <v/>
      </c>
      <c r="AA39">
        <f>IF(Wizards!$A$25="","",IF(OR(ISNUMBER(SEARCH(", "&amp;$B39&amp;", ", ", "&amp;INDEX('Form Responses'!$I$1:$Q$200,25,$A39)&amp;", ")),ISNUMBER(SEARCH(", "&amp;$B39&amp;", ", ", "&amp;INDEX('Form Responses'!$R$1:$R$200,25)&amp;", "))),1,""))</f>
        <v/>
      </c>
      <c r="AB39">
        <f>IF(D39=1,", "&amp;D$1,"")</f>
        <v/>
      </c>
      <c r="AC39">
        <f>IF(E39=1,", "&amp;E$1,"")</f>
        <v/>
      </c>
      <c r="AD39">
        <f>IF(F39=1,", "&amp;F$1,"")</f>
        <v/>
      </c>
      <c r="AE39">
        <f>IF(G39=1,", "&amp;G$1,"")</f>
        <v/>
      </c>
      <c r="AF39">
        <f>IF(H39=1,", "&amp;H$1,"")</f>
        <v/>
      </c>
      <c r="AG39">
        <f>IF(I39=1,", "&amp;I$1,"")</f>
        <v/>
      </c>
      <c r="AH39">
        <f>IF(J39=1,", "&amp;J$1,"")</f>
        <v/>
      </c>
      <c r="AI39">
        <f>IF(K39=1,", "&amp;K$1,"")</f>
        <v/>
      </c>
      <c r="AJ39">
        <f>IF(L39=1,", "&amp;L$1,"")</f>
        <v/>
      </c>
      <c r="AK39">
        <f>IF(M39=1,", "&amp;M$1,"")</f>
        <v/>
      </c>
      <c r="AL39">
        <f>IF(N39=1,", "&amp;N$1,"")</f>
        <v/>
      </c>
      <c r="AM39">
        <f>IF(O39=1,", "&amp;O$1,"")</f>
        <v/>
      </c>
      <c r="AN39">
        <f>IF(P39=1,", "&amp;P$1,"")</f>
        <v/>
      </c>
      <c r="AO39">
        <f>IF(Q39=1,", "&amp;Q$1,"")</f>
        <v/>
      </c>
      <c r="AP39">
        <f>IF(R39=1,", "&amp;R$1,"")</f>
        <v/>
      </c>
      <c r="AQ39">
        <f>IF(S39=1,", "&amp;S$1,"")</f>
        <v/>
      </c>
      <c r="AR39">
        <f>IF(T39=1,", "&amp;T$1,"")</f>
        <v/>
      </c>
      <c r="AS39">
        <f>IF(U39=1,", "&amp;U$1,"")</f>
        <v/>
      </c>
      <c r="AT39">
        <f>IF(V39=1,", "&amp;V$1,"")</f>
        <v/>
      </c>
      <c r="AU39">
        <f>IF(W39=1,", "&amp;W$1,"")</f>
        <v/>
      </c>
      <c r="AV39">
        <f>IF(X39=1,", "&amp;X$1,"")</f>
        <v/>
      </c>
      <c r="AW39">
        <f>IF(Y39=1,", "&amp;Y$1,"")</f>
        <v/>
      </c>
      <c r="AX39">
        <f>IF(Z39=1,", "&amp;Z$1,"")</f>
        <v/>
      </c>
      <c r="AY39">
        <f>IF(AA39=1,", "&amp;AA$1,"")</f>
        <v/>
      </c>
      <c r="AZ39">
        <f>MID($AB39&amp;$AC39&amp;$AD39&amp;$AE39&amp;$AF39&amp;$AG39&amp;$AH39&amp;$AI39&amp;$AJ39&amp;$AK39&amp;$AL39&amp;$AM39&amp;$AN39&amp;$AO39&amp;$AP39&amp;$AQ39&amp;$AR39&amp;$AS39&amp;$AT39&amp;$AU39&amp;$AV39&amp;$AW39&amp;$AX39&amp;$AY39,3,32767)</f>
        <v/>
      </c>
      <c r="BA39">
        <f>COUNT($D39:$AA39)</f>
        <v/>
      </c>
    </row>
    <row r="40">
      <c r="A40" t="n">
        <v>1</v>
      </c>
      <c r="B40" t="inlineStr">
        <is>
          <t>Wardaway</t>
        </is>
      </c>
      <c r="C40" t="inlineStr">
        <is>
          <t>Abjuration</t>
        </is>
      </c>
      <c r="D40">
        <f>IF(Wizards!$A$2="","",IF(OR(ISNUMBER(SEARCH(", "&amp;$B40&amp;", ", ", "&amp;INDEX('Form Responses'!$I$1:$Q$200,2,$A40)&amp;", ")),ISNUMBER(SEARCH(", "&amp;$B40&amp;", ", ", "&amp;INDEX('Form Responses'!$R$1:$R$200,2)&amp;", "))),1,""))</f>
        <v/>
      </c>
      <c r="E40">
        <f>IF(Wizards!$A$3="","",IF(OR(ISNUMBER(SEARCH(", "&amp;$B40&amp;", ", ", "&amp;INDEX('Form Responses'!$I$1:$Q$200,3,$A40)&amp;", ")),ISNUMBER(SEARCH(", "&amp;$B40&amp;", ", ", "&amp;INDEX('Form Responses'!$R$1:$R$200,3)&amp;", "))),1,""))</f>
        <v/>
      </c>
      <c r="F40">
        <f>IF(Wizards!$A$4="","",IF(OR(ISNUMBER(SEARCH(", "&amp;$B40&amp;", ", ", "&amp;INDEX('Form Responses'!$I$1:$Q$200,4,$A40)&amp;", ")),ISNUMBER(SEARCH(", "&amp;$B40&amp;", ", ", "&amp;INDEX('Form Responses'!$R$1:$R$200,4)&amp;", "))),1,""))</f>
        <v/>
      </c>
      <c r="G40">
        <f>IF(Wizards!$A$5="","",IF(OR(ISNUMBER(SEARCH(", "&amp;$B40&amp;", ", ", "&amp;INDEX('Form Responses'!$I$1:$Q$200,5,$A40)&amp;", ")),ISNUMBER(SEARCH(", "&amp;$B40&amp;", ", ", "&amp;INDEX('Form Responses'!$R$1:$R$200,5)&amp;", "))),1,""))</f>
        <v/>
      </c>
      <c r="H40">
        <f>IF(Wizards!$A$6="","",IF(OR(ISNUMBER(SEARCH(", "&amp;$B40&amp;", ", ", "&amp;INDEX('Form Responses'!$I$1:$Q$200,6,$A40)&amp;", ")),ISNUMBER(SEARCH(", "&amp;$B40&amp;", ", ", "&amp;INDEX('Form Responses'!$R$1:$R$200,6)&amp;", "))),1,""))</f>
        <v/>
      </c>
      <c r="I40">
        <f>IF(Wizards!$A$7="","",IF(OR(ISNUMBER(SEARCH(", "&amp;$B40&amp;", ", ", "&amp;INDEX('Form Responses'!$I$1:$Q$200,7,$A40)&amp;", ")),ISNUMBER(SEARCH(", "&amp;$B40&amp;", ", ", "&amp;INDEX('Form Responses'!$R$1:$R$200,7)&amp;", "))),1,""))</f>
        <v/>
      </c>
      <c r="J40">
        <f>IF(Wizards!$A$8="","",IF(OR(ISNUMBER(SEARCH(", "&amp;$B40&amp;", ", ", "&amp;INDEX('Form Responses'!$I$1:$Q$200,8,$A40)&amp;", ")),ISNUMBER(SEARCH(", "&amp;$B40&amp;", ", ", "&amp;INDEX('Form Responses'!$R$1:$R$200,8)&amp;", "))),1,""))</f>
        <v/>
      </c>
      <c r="K40">
        <f>IF(Wizards!$A$9="","",IF(OR(ISNUMBER(SEARCH(", "&amp;$B40&amp;", ", ", "&amp;INDEX('Form Responses'!$I$1:$Q$200,9,$A40)&amp;", ")),ISNUMBER(SEARCH(", "&amp;$B40&amp;", ", ", "&amp;INDEX('Form Responses'!$R$1:$R$200,9)&amp;", "))),1,""))</f>
        <v/>
      </c>
      <c r="L40">
        <f>IF(Wizards!$A$10="","",IF(OR(ISNUMBER(SEARCH(", "&amp;$B40&amp;", ", ", "&amp;INDEX('Form Responses'!$I$1:$Q$200,10,$A40)&amp;", ")),ISNUMBER(SEARCH(", "&amp;$B40&amp;", ", ", "&amp;INDEX('Form Responses'!$R$1:$R$200,10)&amp;", "))),1,""))</f>
        <v/>
      </c>
      <c r="M40">
        <f>IF(Wizards!$A$11="","",IF(OR(ISNUMBER(SEARCH(", "&amp;$B40&amp;", ", ", "&amp;INDEX('Form Responses'!$I$1:$Q$200,11,$A40)&amp;", ")),ISNUMBER(SEARCH(", "&amp;$B40&amp;", ", ", "&amp;INDEX('Form Responses'!$R$1:$R$200,11)&amp;", "))),1,""))</f>
        <v/>
      </c>
      <c r="N40">
        <f>IF(Wizards!$A$12="","",IF(OR(ISNUMBER(SEARCH(", "&amp;$B40&amp;", ", ", "&amp;INDEX('Form Responses'!$I$1:$Q$200,12,$A40)&amp;", ")),ISNUMBER(SEARCH(", "&amp;$B40&amp;", ", ", "&amp;INDEX('Form Responses'!$R$1:$R$200,12)&amp;", "))),1,""))</f>
        <v/>
      </c>
      <c r="O40">
        <f>IF(Wizards!$A$13="","",IF(OR(ISNUMBER(SEARCH(", "&amp;$B40&amp;", ", ", "&amp;INDEX('Form Responses'!$I$1:$Q$200,13,$A40)&amp;", ")),ISNUMBER(SEARCH(", "&amp;$B40&amp;", ", ", "&amp;INDEX('Form Responses'!$R$1:$R$200,13)&amp;", "))),1,""))</f>
        <v/>
      </c>
      <c r="P40">
        <f>IF(Wizards!$A$14="","",IF(OR(ISNUMBER(SEARCH(", "&amp;$B40&amp;", ", ", "&amp;INDEX('Form Responses'!$I$1:$Q$200,14,$A40)&amp;", ")),ISNUMBER(SEARCH(", "&amp;$B40&amp;", ", ", "&amp;INDEX('Form Responses'!$R$1:$R$200,14)&amp;", "))),1,""))</f>
        <v/>
      </c>
      <c r="Q40">
        <f>IF(Wizards!$A$15="","",IF(OR(ISNUMBER(SEARCH(", "&amp;$B40&amp;", ", ", "&amp;INDEX('Form Responses'!$I$1:$Q$200,15,$A40)&amp;", ")),ISNUMBER(SEARCH(", "&amp;$B40&amp;", ", ", "&amp;INDEX('Form Responses'!$R$1:$R$200,15)&amp;", "))),1,""))</f>
        <v/>
      </c>
      <c r="R40">
        <f>IF(Wizards!$A$16="","",IF(OR(ISNUMBER(SEARCH(", "&amp;$B40&amp;", ", ", "&amp;INDEX('Form Responses'!$I$1:$Q$200,16,$A40)&amp;", ")),ISNUMBER(SEARCH(", "&amp;$B40&amp;", ", ", "&amp;INDEX('Form Responses'!$R$1:$R$200,16)&amp;", "))),1,""))</f>
        <v/>
      </c>
      <c r="S40">
        <f>IF(Wizards!$A$17="","",IF(OR(ISNUMBER(SEARCH(", "&amp;$B40&amp;", ", ", "&amp;INDEX('Form Responses'!$I$1:$Q$200,17,$A40)&amp;", ")),ISNUMBER(SEARCH(", "&amp;$B40&amp;", ", ", "&amp;INDEX('Form Responses'!$R$1:$R$200,17)&amp;", "))),1,""))</f>
        <v/>
      </c>
      <c r="T40">
        <f>IF(Wizards!$A$18="","",IF(OR(ISNUMBER(SEARCH(", "&amp;$B40&amp;", ", ", "&amp;INDEX('Form Responses'!$I$1:$Q$200,18,$A40)&amp;", ")),ISNUMBER(SEARCH(", "&amp;$B40&amp;", ", ", "&amp;INDEX('Form Responses'!$R$1:$R$200,18)&amp;", "))),1,""))</f>
        <v/>
      </c>
      <c r="U40">
        <f>IF(Wizards!$A$19="","",IF(OR(ISNUMBER(SEARCH(", "&amp;$B40&amp;", ", ", "&amp;INDEX('Form Responses'!$I$1:$Q$200,19,$A40)&amp;", ")),ISNUMBER(SEARCH(", "&amp;$B40&amp;", ", ", "&amp;INDEX('Form Responses'!$R$1:$R$200,19)&amp;", "))),1,""))</f>
        <v/>
      </c>
      <c r="V40">
        <f>IF(Wizards!$A$20="","",IF(OR(ISNUMBER(SEARCH(", "&amp;$B40&amp;", ", ", "&amp;INDEX('Form Responses'!$I$1:$Q$200,20,$A40)&amp;", ")),ISNUMBER(SEARCH(", "&amp;$B40&amp;", ", ", "&amp;INDEX('Form Responses'!$R$1:$R$200,20)&amp;", "))),1,""))</f>
        <v/>
      </c>
      <c r="W40">
        <f>IF(Wizards!$A$21="","",IF(OR(ISNUMBER(SEARCH(", "&amp;$B40&amp;", ", ", "&amp;INDEX('Form Responses'!$I$1:$Q$200,21,$A40)&amp;", ")),ISNUMBER(SEARCH(", "&amp;$B40&amp;", ", ", "&amp;INDEX('Form Responses'!$R$1:$R$200,21)&amp;", "))),1,""))</f>
        <v/>
      </c>
      <c r="X40">
        <f>IF(Wizards!$A$22="","",IF(OR(ISNUMBER(SEARCH(", "&amp;$B40&amp;", ", ", "&amp;INDEX('Form Responses'!$I$1:$Q$200,22,$A40)&amp;", ")),ISNUMBER(SEARCH(", "&amp;$B40&amp;", ", ", "&amp;INDEX('Form Responses'!$R$1:$R$200,22)&amp;", "))),1,""))</f>
        <v/>
      </c>
      <c r="Y40">
        <f>IF(Wizards!$A$23="","",IF(OR(ISNUMBER(SEARCH(", "&amp;$B40&amp;", ", ", "&amp;INDEX('Form Responses'!$I$1:$Q$200,23,$A40)&amp;", ")),ISNUMBER(SEARCH(", "&amp;$B40&amp;", ", ", "&amp;INDEX('Form Responses'!$R$1:$R$200,23)&amp;", "))),1,""))</f>
        <v/>
      </c>
      <c r="Z40">
        <f>IF(Wizards!$A$24="","",IF(OR(ISNUMBER(SEARCH(", "&amp;$B40&amp;", ", ", "&amp;INDEX('Form Responses'!$I$1:$Q$200,24,$A40)&amp;", ")),ISNUMBER(SEARCH(", "&amp;$B40&amp;", ", ", "&amp;INDEX('Form Responses'!$R$1:$R$200,24)&amp;", "))),1,""))</f>
        <v/>
      </c>
      <c r="AA40">
        <f>IF(Wizards!$A$25="","",IF(OR(ISNUMBER(SEARCH(", "&amp;$B40&amp;", ", ", "&amp;INDEX('Form Responses'!$I$1:$Q$200,25,$A40)&amp;", ")),ISNUMBER(SEARCH(", "&amp;$B40&amp;", ", ", "&amp;INDEX('Form Responses'!$R$1:$R$200,25)&amp;", "))),1,""))</f>
        <v/>
      </c>
      <c r="AB40">
        <f>IF(D40=1,", "&amp;D$1,"")</f>
        <v/>
      </c>
      <c r="AC40">
        <f>IF(E40=1,", "&amp;E$1,"")</f>
        <v/>
      </c>
      <c r="AD40">
        <f>IF(F40=1,", "&amp;F$1,"")</f>
        <v/>
      </c>
      <c r="AE40">
        <f>IF(G40=1,", "&amp;G$1,"")</f>
        <v/>
      </c>
      <c r="AF40">
        <f>IF(H40=1,", "&amp;H$1,"")</f>
        <v/>
      </c>
      <c r="AG40">
        <f>IF(I40=1,", "&amp;I$1,"")</f>
        <v/>
      </c>
      <c r="AH40">
        <f>IF(J40=1,", "&amp;J$1,"")</f>
        <v/>
      </c>
      <c r="AI40">
        <f>IF(K40=1,", "&amp;K$1,"")</f>
        <v/>
      </c>
      <c r="AJ40">
        <f>IF(L40=1,", "&amp;L$1,"")</f>
        <v/>
      </c>
      <c r="AK40">
        <f>IF(M40=1,", "&amp;M$1,"")</f>
        <v/>
      </c>
      <c r="AL40">
        <f>IF(N40=1,", "&amp;N$1,"")</f>
        <v/>
      </c>
      <c r="AM40">
        <f>IF(O40=1,", "&amp;O$1,"")</f>
        <v/>
      </c>
      <c r="AN40">
        <f>IF(P40=1,", "&amp;P$1,"")</f>
        <v/>
      </c>
      <c r="AO40">
        <f>IF(Q40=1,", "&amp;Q$1,"")</f>
        <v/>
      </c>
      <c r="AP40">
        <f>IF(R40=1,", "&amp;R$1,"")</f>
        <v/>
      </c>
      <c r="AQ40">
        <f>IF(S40=1,", "&amp;S$1,"")</f>
        <v/>
      </c>
      <c r="AR40">
        <f>IF(T40=1,", "&amp;T$1,"")</f>
        <v/>
      </c>
      <c r="AS40">
        <f>IF(U40=1,", "&amp;U$1,"")</f>
        <v/>
      </c>
      <c r="AT40">
        <f>IF(V40=1,", "&amp;V$1,"")</f>
        <v/>
      </c>
      <c r="AU40">
        <f>IF(W40=1,", "&amp;W$1,"")</f>
        <v/>
      </c>
      <c r="AV40">
        <f>IF(X40=1,", "&amp;X$1,"")</f>
        <v/>
      </c>
      <c r="AW40">
        <f>IF(Y40=1,", "&amp;Y$1,"")</f>
        <v/>
      </c>
      <c r="AX40">
        <f>IF(Z40=1,", "&amp;Z$1,"")</f>
        <v/>
      </c>
      <c r="AY40">
        <f>IF(AA40=1,", "&amp;AA$1,"")</f>
        <v/>
      </c>
      <c r="AZ40">
        <f>MID($AB40&amp;$AC40&amp;$AD40&amp;$AE40&amp;$AF40&amp;$AG40&amp;$AH40&amp;$AI40&amp;$AJ40&amp;$AK40&amp;$AL40&amp;$AM40&amp;$AN40&amp;$AO40&amp;$AP40&amp;$AQ40&amp;$AR40&amp;$AS40&amp;$AT40&amp;$AU40&amp;$AV40&amp;$AW40&amp;$AX40&amp;$AY40,3,32767)</f>
        <v/>
      </c>
      <c r="BA40">
        <f>COUNT($D40:$AA40)</f>
        <v/>
      </c>
    </row>
    <row r="41">
      <c r="A41" t="n">
        <v>1</v>
      </c>
      <c r="B41" t="inlineStr">
        <is>
          <t>Witch Bolt</t>
        </is>
      </c>
      <c r="C41" t="inlineStr">
        <is>
          <t>Evocation</t>
        </is>
      </c>
      <c r="D41">
        <f>IF(Wizards!$A$2="","",IF(OR(ISNUMBER(SEARCH(", "&amp;$B41&amp;", ", ", "&amp;INDEX('Form Responses'!$I$1:$Q$200,2,$A41)&amp;", ")),ISNUMBER(SEARCH(", "&amp;$B41&amp;", ", ", "&amp;INDEX('Form Responses'!$R$1:$R$200,2)&amp;", "))),1,""))</f>
        <v/>
      </c>
      <c r="E41">
        <f>IF(Wizards!$A$3="","",IF(OR(ISNUMBER(SEARCH(", "&amp;$B41&amp;", ", ", "&amp;INDEX('Form Responses'!$I$1:$Q$200,3,$A41)&amp;", ")),ISNUMBER(SEARCH(", "&amp;$B41&amp;", ", ", "&amp;INDEX('Form Responses'!$R$1:$R$200,3)&amp;", "))),1,""))</f>
        <v/>
      </c>
      <c r="F41">
        <f>IF(Wizards!$A$4="","",IF(OR(ISNUMBER(SEARCH(", "&amp;$B41&amp;", ", ", "&amp;INDEX('Form Responses'!$I$1:$Q$200,4,$A41)&amp;", ")),ISNUMBER(SEARCH(", "&amp;$B41&amp;", ", ", "&amp;INDEX('Form Responses'!$R$1:$R$200,4)&amp;", "))),1,""))</f>
        <v/>
      </c>
      <c r="G41">
        <f>IF(Wizards!$A$5="","",IF(OR(ISNUMBER(SEARCH(", "&amp;$B41&amp;", ", ", "&amp;INDEX('Form Responses'!$I$1:$Q$200,5,$A41)&amp;", ")),ISNUMBER(SEARCH(", "&amp;$B41&amp;", ", ", "&amp;INDEX('Form Responses'!$R$1:$R$200,5)&amp;", "))),1,""))</f>
        <v/>
      </c>
      <c r="H41">
        <f>IF(Wizards!$A$6="","",IF(OR(ISNUMBER(SEARCH(", "&amp;$B41&amp;", ", ", "&amp;INDEX('Form Responses'!$I$1:$Q$200,6,$A41)&amp;", ")),ISNUMBER(SEARCH(", "&amp;$B41&amp;", ", ", "&amp;INDEX('Form Responses'!$R$1:$R$200,6)&amp;", "))),1,""))</f>
        <v/>
      </c>
      <c r="I41">
        <f>IF(Wizards!$A$7="","",IF(OR(ISNUMBER(SEARCH(", "&amp;$B41&amp;", ", ", "&amp;INDEX('Form Responses'!$I$1:$Q$200,7,$A41)&amp;", ")),ISNUMBER(SEARCH(", "&amp;$B41&amp;", ", ", "&amp;INDEX('Form Responses'!$R$1:$R$200,7)&amp;", "))),1,""))</f>
        <v/>
      </c>
      <c r="J41">
        <f>IF(Wizards!$A$8="","",IF(OR(ISNUMBER(SEARCH(", "&amp;$B41&amp;", ", ", "&amp;INDEX('Form Responses'!$I$1:$Q$200,8,$A41)&amp;", ")),ISNUMBER(SEARCH(", "&amp;$B41&amp;", ", ", "&amp;INDEX('Form Responses'!$R$1:$R$200,8)&amp;", "))),1,""))</f>
        <v/>
      </c>
      <c r="K41">
        <f>IF(Wizards!$A$9="","",IF(OR(ISNUMBER(SEARCH(", "&amp;$B41&amp;", ", ", "&amp;INDEX('Form Responses'!$I$1:$Q$200,9,$A41)&amp;", ")),ISNUMBER(SEARCH(", "&amp;$B41&amp;", ", ", "&amp;INDEX('Form Responses'!$R$1:$R$200,9)&amp;", "))),1,""))</f>
        <v/>
      </c>
      <c r="L41">
        <f>IF(Wizards!$A$10="","",IF(OR(ISNUMBER(SEARCH(", "&amp;$B41&amp;", ", ", "&amp;INDEX('Form Responses'!$I$1:$Q$200,10,$A41)&amp;", ")),ISNUMBER(SEARCH(", "&amp;$B41&amp;", ", ", "&amp;INDEX('Form Responses'!$R$1:$R$200,10)&amp;", "))),1,""))</f>
        <v/>
      </c>
      <c r="M41">
        <f>IF(Wizards!$A$11="","",IF(OR(ISNUMBER(SEARCH(", "&amp;$B41&amp;", ", ", "&amp;INDEX('Form Responses'!$I$1:$Q$200,11,$A41)&amp;", ")),ISNUMBER(SEARCH(", "&amp;$B41&amp;", ", ", "&amp;INDEX('Form Responses'!$R$1:$R$200,11)&amp;", "))),1,""))</f>
        <v/>
      </c>
      <c r="N41">
        <f>IF(Wizards!$A$12="","",IF(OR(ISNUMBER(SEARCH(", "&amp;$B41&amp;", ", ", "&amp;INDEX('Form Responses'!$I$1:$Q$200,12,$A41)&amp;", ")),ISNUMBER(SEARCH(", "&amp;$B41&amp;", ", ", "&amp;INDEX('Form Responses'!$R$1:$R$200,12)&amp;", "))),1,""))</f>
        <v/>
      </c>
      <c r="O41">
        <f>IF(Wizards!$A$13="","",IF(OR(ISNUMBER(SEARCH(", "&amp;$B41&amp;", ", ", "&amp;INDEX('Form Responses'!$I$1:$Q$200,13,$A41)&amp;", ")),ISNUMBER(SEARCH(", "&amp;$B41&amp;", ", ", "&amp;INDEX('Form Responses'!$R$1:$R$200,13)&amp;", "))),1,""))</f>
        <v/>
      </c>
      <c r="P41">
        <f>IF(Wizards!$A$14="","",IF(OR(ISNUMBER(SEARCH(", "&amp;$B41&amp;", ", ", "&amp;INDEX('Form Responses'!$I$1:$Q$200,14,$A41)&amp;", ")),ISNUMBER(SEARCH(", "&amp;$B41&amp;", ", ", "&amp;INDEX('Form Responses'!$R$1:$R$200,14)&amp;", "))),1,""))</f>
        <v/>
      </c>
      <c r="Q41">
        <f>IF(Wizards!$A$15="","",IF(OR(ISNUMBER(SEARCH(", "&amp;$B41&amp;", ", ", "&amp;INDEX('Form Responses'!$I$1:$Q$200,15,$A41)&amp;", ")),ISNUMBER(SEARCH(", "&amp;$B41&amp;", ", ", "&amp;INDEX('Form Responses'!$R$1:$R$200,15)&amp;", "))),1,""))</f>
        <v/>
      </c>
      <c r="R41">
        <f>IF(Wizards!$A$16="","",IF(OR(ISNUMBER(SEARCH(", "&amp;$B41&amp;", ", ", "&amp;INDEX('Form Responses'!$I$1:$Q$200,16,$A41)&amp;", ")),ISNUMBER(SEARCH(", "&amp;$B41&amp;", ", ", "&amp;INDEX('Form Responses'!$R$1:$R$200,16)&amp;", "))),1,""))</f>
        <v/>
      </c>
      <c r="S41">
        <f>IF(Wizards!$A$17="","",IF(OR(ISNUMBER(SEARCH(", "&amp;$B41&amp;", ", ", "&amp;INDEX('Form Responses'!$I$1:$Q$200,17,$A41)&amp;", ")),ISNUMBER(SEARCH(", "&amp;$B41&amp;", ", ", "&amp;INDEX('Form Responses'!$R$1:$R$200,17)&amp;", "))),1,""))</f>
        <v/>
      </c>
      <c r="T41">
        <f>IF(Wizards!$A$18="","",IF(OR(ISNUMBER(SEARCH(", "&amp;$B41&amp;", ", ", "&amp;INDEX('Form Responses'!$I$1:$Q$200,18,$A41)&amp;", ")),ISNUMBER(SEARCH(", "&amp;$B41&amp;", ", ", "&amp;INDEX('Form Responses'!$R$1:$R$200,18)&amp;", "))),1,""))</f>
        <v/>
      </c>
      <c r="U41">
        <f>IF(Wizards!$A$19="","",IF(OR(ISNUMBER(SEARCH(", "&amp;$B41&amp;", ", ", "&amp;INDEX('Form Responses'!$I$1:$Q$200,19,$A41)&amp;", ")),ISNUMBER(SEARCH(", "&amp;$B41&amp;", ", ", "&amp;INDEX('Form Responses'!$R$1:$R$200,19)&amp;", "))),1,""))</f>
        <v/>
      </c>
      <c r="V41">
        <f>IF(Wizards!$A$20="","",IF(OR(ISNUMBER(SEARCH(", "&amp;$B41&amp;", ", ", "&amp;INDEX('Form Responses'!$I$1:$Q$200,20,$A41)&amp;", ")),ISNUMBER(SEARCH(", "&amp;$B41&amp;", ", ", "&amp;INDEX('Form Responses'!$R$1:$R$200,20)&amp;", "))),1,""))</f>
        <v/>
      </c>
      <c r="W41">
        <f>IF(Wizards!$A$21="","",IF(OR(ISNUMBER(SEARCH(", "&amp;$B41&amp;", ", ", "&amp;INDEX('Form Responses'!$I$1:$Q$200,21,$A41)&amp;", ")),ISNUMBER(SEARCH(", "&amp;$B41&amp;", ", ", "&amp;INDEX('Form Responses'!$R$1:$R$200,21)&amp;", "))),1,""))</f>
        <v/>
      </c>
      <c r="X41">
        <f>IF(Wizards!$A$22="","",IF(OR(ISNUMBER(SEARCH(", "&amp;$B41&amp;", ", ", "&amp;INDEX('Form Responses'!$I$1:$Q$200,22,$A41)&amp;", ")),ISNUMBER(SEARCH(", "&amp;$B41&amp;", ", ", "&amp;INDEX('Form Responses'!$R$1:$R$200,22)&amp;", "))),1,""))</f>
        <v/>
      </c>
      <c r="Y41">
        <f>IF(Wizards!$A$23="","",IF(OR(ISNUMBER(SEARCH(", "&amp;$B41&amp;", ", ", "&amp;INDEX('Form Responses'!$I$1:$Q$200,23,$A41)&amp;", ")),ISNUMBER(SEARCH(", "&amp;$B41&amp;", ", ", "&amp;INDEX('Form Responses'!$R$1:$R$200,23)&amp;", "))),1,""))</f>
        <v/>
      </c>
      <c r="Z41">
        <f>IF(Wizards!$A$24="","",IF(OR(ISNUMBER(SEARCH(", "&amp;$B41&amp;", ", ", "&amp;INDEX('Form Responses'!$I$1:$Q$200,24,$A41)&amp;", ")),ISNUMBER(SEARCH(", "&amp;$B41&amp;", ", ", "&amp;INDEX('Form Responses'!$R$1:$R$200,24)&amp;", "))),1,""))</f>
        <v/>
      </c>
      <c r="AA41">
        <f>IF(Wizards!$A$25="","",IF(OR(ISNUMBER(SEARCH(", "&amp;$B41&amp;", ", ", "&amp;INDEX('Form Responses'!$I$1:$Q$200,25,$A41)&amp;", ")),ISNUMBER(SEARCH(", "&amp;$B41&amp;", ", ", "&amp;INDEX('Form Responses'!$R$1:$R$200,25)&amp;", "))),1,""))</f>
        <v/>
      </c>
      <c r="AB41">
        <f>IF(D41=1,", "&amp;D$1,"")</f>
        <v/>
      </c>
      <c r="AC41">
        <f>IF(E41=1,", "&amp;E$1,"")</f>
        <v/>
      </c>
      <c r="AD41">
        <f>IF(F41=1,", "&amp;F$1,"")</f>
        <v/>
      </c>
      <c r="AE41">
        <f>IF(G41=1,", "&amp;G$1,"")</f>
        <v/>
      </c>
      <c r="AF41">
        <f>IF(H41=1,", "&amp;H$1,"")</f>
        <v/>
      </c>
      <c r="AG41">
        <f>IF(I41=1,", "&amp;I$1,"")</f>
        <v/>
      </c>
      <c r="AH41">
        <f>IF(J41=1,", "&amp;J$1,"")</f>
        <v/>
      </c>
      <c r="AI41">
        <f>IF(K41=1,", "&amp;K$1,"")</f>
        <v/>
      </c>
      <c r="AJ41">
        <f>IF(L41=1,", "&amp;L$1,"")</f>
        <v/>
      </c>
      <c r="AK41">
        <f>IF(M41=1,", "&amp;M$1,"")</f>
        <v/>
      </c>
      <c r="AL41">
        <f>IF(N41=1,", "&amp;N$1,"")</f>
        <v/>
      </c>
      <c r="AM41">
        <f>IF(O41=1,", "&amp;O$1,"")</f>
        <v/>
      </c>
      <c r="AN41">
        <f>IF(P41=1,", "&amp;P$1,"")</f>
        <v/>
      </c>
      <c r="AO41">
        <f>IF(Q41=1,", "&amp;Q$1,"")</f>
        <v/>
      </c>
      <c r="AP41">
        <f>IF(R41=1,", "&amp;R$1,"")</f>
        <v/>
      </c>
      <c r="AQ41">
        <f>IF(S41=1,", "&amp;S$1,"")</f>
        <v/>
      </c>
      <c r="AR41">
        <f>IF(T41=1,", "&amp;T$1,"")</f>
        <v/>
      </c>
      <c r="AS41">
        <f>IF(U41=1,", "&amp;U$1,"")</f>
        <v/>
      </c>
      <c r="AT41">
        <f>IF(V41=1,", "&amp;V$1,"")</f>
        <v/>
      </c>
      <c r="AU41">
        <f>IF(W41=1,", "&amp;W$1,"")</f>
        <v/>
      </c>
      <c r="AV41">
        <f>IF(X41=1,", "&amp;X$1,"")</f>
        <v/>
      </c>
      <c r="AW41">
        <f>IF(Y41=1,", "&amp;Y$1,"")</f>
        <v/>
      </c>
      <c r="AX41">
        <f>IF(Z41=1,", "&amp;Z$1,"")</f>
        <v/>
      </c>
      <c r="AY41">
        <f>IF(AA41=1,", "&amp;AA$1,"")</f>
        <v/>
      </c>
      <c r="AZ41">
        <f>MID($AB41&amp;$AC41&amp;$AD41&amp;$AE41&amp;$AF41&amp;$AG41&amp;$AH41&amp;$AI41&amp;$AJ41&amp;$AK41&amp;$AL41&amp;$AM41&amp;$AN41&amp;$AO41&amp;$AP41&amp;$AQ41&amp;$AR41&amp;$AS41&amp;$AT41&amp;$AU41&amp;$AV41&amp;$AW41&amp;$AX41&amp;$AY41,3,32767)</f>
        <v/>
      </c>
      <c r="BA41">
        <f>COUNT($D41:$AA41)</f>
        <v/>
      </c>
    </row>
    <row r="42">
      <c r="A42" t="n">
        <v>2</v>
      </c>
      <c r="B42" t="inlineStr">
        <is>
          <t>Aganazzar's Scorcher</t>
        </is>
      </c>
      <c r="C42" t="inlineStr">
        <is>
          <t>Evocation</t>
        </is>
      </c>
      <c r="D42">
        <f>IF(Wizards!$A$2="","",IF(OR(ISNUMBER(SEARCH(", "&amp;$B42&amp;", ", ", "&amp;INDEX('Form Responses'!$I$1:$Q$200,2,$A42)&amp;", ")),ISNUMBER(SEARCH(", "&amp;$B42&amp;", ", ", "&amp;INDEX('Form Responses'!$R$1:$R$200,2)&amp;", "))),1,""))</f>
        <v/>
      </c>
      <c r="E42">
        <f>IF(Wizards!$A$3="","",IF(OR(ISNUMBER(SEARCH(", "&amp;$B42&amp;", ", ", "&amp;INDEX('Form Responses'!$I$1:$Q$200,3,$A42)&amp;", ")),ISNUMBER(SEARCH(", "&amp;$B42&amp;", ", ", "&amp;INDEX('Form Responses'!$R$1:$R$200,3)&amp;", "))),1,""))</f>
        <v/>
      </c>
      <c r="F42">
        <f>IF(Wizards!$A$4="","",IF(OR(ISNUMBER(SEARCH(", "&amp;$B42&amp;", ", ", "&amp;INDEX('Form Responses'!$I$1:$Q$200,4,$A42)&amp;", ")),ISNUMBER(SEARCH(", "&amp;$B42&amp;", ", ", "&amp;INDEX('Form Responses'!$R$1:$R$200,4)&amp;", "))),1,""))</f>
        <v/>
      </c>
      <c r="G42">
        <f>IF(Wizards!$A$5="","",IF(OR(ISNUMBER(SEARCH(", "&amp;$B42&amp;", ", ", "&amp;INDEX('Form Responses'!$I$1:$Q$200,5,$A42)&amp;", ")),ISNUMBER(SEARCH(", "&amp;$B42&amp;", ", ", "&amp;INDEX('Form Responses'!$R$1:$R$200,5)&amp;", "))),1,""))</f>
        <v/>
      </c>
      <c r="H42">
        <f>IF(Wizards!$A$6="","",IF(OR(ISNUMBER(SEARCH(", "&amp;$B42&amp;", ", ", "&amp;INDEX('Form Responses'!$I$1:$Q$200,6,$A42)&amp;", ")),ISNUMBER(SEARCH(", "&amp;$B42&amp;", ", ", "&amp;INDEX('Form Responses'!$R$1:$R$200,6)&amp;", "))),1,""))</f>
        <v/>
      </c>
      <c r="I42">
        <f>IF(Wizards!$A$7="","",IF(OR(ISNUMBER(SEARCH(", "&amp;$B42&amp;", ", ", "&amp;INDEX('Form Responses'!$I$1:$Q$200,7,$A42)&amp;", ")),ISNUMBER(SEARCH(", "&amp;$B42&amp;", ", ", "&amp;INDEX('Form Responses'!$R$1:$R$200,7)&amp;", "))),1,""))</f>
        <v/>
      </c>
      <c r="J42">
        <f>IF(Wizards!$A$8="","",IF(OR(ISNUMBER(SEARCH(", "&amp;$B42&amp;", ", ", "&amp;INDEX('Form Responses'!$I$1:$Q$200,8,$A42)&amp;", ")),ISNUMBER(SEARCH(", "&amp;$B42&amp;", ", ", "&amp;INDEX('Form Responses'!$R$1:$R$200,8)&amp;", "))),1,""))</f>
        <v/>
      </c>
      <c r="K42">
        <f>IF(Wizards!$A$9="","",IF(OR(ISNUMBER(SEARCH(", "&amp;$B42&amp;", ", ", "&amp;INDEX('Form Responses'!$I$1:$Q$200,9,$A42)&amp;", ")),ISNUMBER(SEARCH(", "&amp;$B42&amp;", ", ", "&amp;INDEX('Form Responses'!$R$1:$R$200,9)&amp;", "))),1,""))</f>
        <v/>
      </c>
      <c r="L42">
        <f>IF(Wizards!$A$10="","",IF(OR(ISNUMBER(SEARCH(", "&amp;$B42&amp;", ", ", "&amp;INDEX('Form Responses'!$I$1:$Q$200,10,$A42)&amp;", ")),ISNUMBER(SEARCH(", "&amp;$B42&amp;", ", ", "&amp;INDEX('Form Responses'!$R$1:$R$200,10)&amp;", "))),1,""))</f>
        <v/>
      </c>
      <c r="M42">
        <f>IF(Wizards!$A$11="","",IF(OR(ISNUMBER(SEARCH(", "&amp;$B42&amp;", ", ", "&amp;INDEX('Form Responses'!$I$1:$Q$200,11,$A42)&amp;", ")),ISNUMBER(SEARCH(", "&amp;$B42&amp;", ", ", "&amp;INDEX('Form Responses'!$R$1:$R$200,11)&amp;", "))),1,""))</f>
        <v/>
      </c>
      <c r="N42">
        <f>IF(Wizards!$A$12="","",IF(OR(ISNUMBER(SEARCH(", "&amp;$B42&amp;", ", ", "&amp;INDEX('Form Responses'!$I$1:$Q$200,12,$A42)&amp;", ")),ISNUMBER(SEARCH(", "&amp;$B42&amp;", ", ", "&amp;INDEX('Form Responses'!$R$1:$R$200,12)&amp;", "))),1,""))</f>
        <v/>
      </c>
      <c r="O42">
        <f>IF(Wizards!$A$13="","",IF(OR(ISNUMBER(SEARCH(", "&amp;$B42&amp;", ", ", "&amp;INDEX('Form Responses'!$I$1:$Q$200,13,$A42)&amp;", ")),ISNUMBER(SEARCH(", "&amp;$B42&amp;", ", ", "&amp;INDEX('Form Responses'!$R$1:$R$200,13)&amp;", "))),1,""))</f>
        <v/>
      </c>
      <c r="P42">
        <f>IF(Wizards!$A$14="","",IF(OR(ISNUMBER(SEARCH(", "&amp;$B42&amp;", ", ", "&amp;INDEX('Form Responses'!$I$1:$Q$200,14,$A42)&amp;", ")),ISNUMBER(SEARCH(", "&amp;$B42&amp;", ", ", "&amp;INDEX('Form Responses'!$R$1:$R$200,14)&amp;", "))),1,""))</f>
        <v/>
      </c>
      <c r="Q42">
        <f>IF(Wizards!$A$15="","",IF(OR(ISNUMBER(SEARCH(", "&amp;$B42&amp;", ", ", "&amp;INDEX('Form Responses'!$I$1:$Q$200,15,$A42)&amp;", ")),ISNUMBER(SEARCH(", "&amp;$B42&amp;", ", ", "&amp;INDEX('Form Responses'!$R$1:$R$200,15)&amp;", "))),1,""))</f>
        <v/>
      </c>
      <c r="R42">
        <f>IF(Wizards!$A$16="","",IF(OR(ISNUMBER(SEARCH(", "&amp;$B42&amp;", ", ", "&amp;INDEX('Form Responses'!$I$1:$Q$200,16,$A42)&amp;", ")),ISNUMBER(SEARCH(", "&amp;$B42&amp;", ", ", "&amp;INDEX('Form Responses'!$R$1:$R$200,16)&amp;", "))),1,""))</f>
        <v/>
      </c>
      <c r="S42">
        <f>IF(Wizards!$A$17="","",IF(OR(ISNUMBER(SEARCH(", "&amp;$B42&amp;", ", ", "&amp;INDEX('Form Responses'!$I$1:$Q$200,17,$A42)&amp;", ")),ISNUMBER(SEARCH(", "&amp;$B42&amp;", ", ", "&amp;INDEX('Form Responses'!$R$1:$R$200,17)&amp;", "))),1,""))</f>
        <v/>
      </c>
      <c r="T42">
        <f>IF(Wizards!$A$18="","",IF(OR(ISNUMBER(SEARCH(", "&amp;$B42&amp;", ", ", "&amp;INDEX('Form Responses'!$I$1:$Q$200,18,$A42)&amp;", ")),ISNUMBER(SEARCH(", "&amp;$B42&amp;", ", ", "&amp;INDEX('Form Responses'!$R$1:$R$200,18)&amp;", "))),1,""))</f>
        <v/>
      </c>
      <c r="U42">
        <f>IF(Wizards!$A$19="","",IF(OR(ISNUMBER(SEARCH(", "&amp;$B42&amp;", ", ", "&amp;INDEX('Form Responses'!$I$1:$Q$200,19,$A42)&amp;", ")),ISNUMBER(SEARCH(", "&amp;$B42&amp;", ", ", "&amp;INDEX('Form Responses'!$R$1:$R$200,19)&amp;", "))),1,""))</f>
        <v/>
      </c>
      <c r="V42">
        <f>IF(Wizards!$A$20="","",IF(OR(ISNUMBER(SEARCH(", "&amp;$B42&amp;", ", ", "&amp;INDEX('Form Responses'!$I$1:$Q$200,20,$A42)&amp;", ")),ISNUMBER(SEARCH(", "&amp;$B42&amp;", ", ", "&amp;INDEX('Form Responses'!$R$1:$R$200,20)&amp;", "))),1,""))</f>
        <v/>
      </c>
      <c r="W42">
        <f>IF(Wizards!$A$21="","",IF(OR(ISNUMBER(SEARCH(", "&amp;$B42&amp;", ", ", "&amp;INDEX('Form Responses'!$I$1:$Q$200,21,$A42)&amp;", ")),ISNUMBER(SEARCH(", "&amp;$B42&amp;", ", ", "&amp;INDEX('Form Responses'!$R$1:$R$200,21)&amp;", "))),1,""))</f>
        <v/>
      </c>
      <c r="X42">
        <f>IF(Wizards!$A$22="","",IF(OR(ISNUMBER(SEARCH(", "&amp;$B42&amp;", ", ", "&amp;INDEX('Form Responses'!$I$1:$Q$200,22,$A42)&amp;", ")),ISNUMBER(SEARCH(", "&amp;$B42&amp;", ", ", "&amp;INDEX('Form Responses'!$R$1:$R$200,22)&amp;", "))),1,""))</f>
        <v/>
      </c>
      <c r="Y42">
        <f>IF(Wizards!$A$23="","",IF(OR(ISNUMBER(SEARCH(", "&amp;$B42&amp;", ", ", "&amp;INDEX('Form Responses'!$I$1:$Q$200,23,$A42)&amp;", ")),ISNUMBER(SEARCH(", "&amp;$B42&amp;", ", ", "&amp;INDEX('Form Responses'!$R$1:$R$200,23)&amp;", "))),1,""))</f>
        <v/>
      </c>
      <c r="Z42">
        <f>IF(Wizards!$A$24="","",IF(OR(ISNUMBER(SEARCH(", "&amp;$B42&amp;", ", ", "&amp;INDEX('Form Responses'!$I$1:$Q$200,24,$A42)&amp;", ")),ISNUMBER(SEARCH(", "&amp;$B42&amp;", ", ", "&amp;INDEX('Form Responses'!$R$1:$R$200,24)&amp;", "))),1,""))</f>
        <v/>
      </c>
      <c r="AA42">
        <f>IF(Wizards!$A$25="","",IF(OR(ISNUMBER(SEARCH(", "&amp;$B42&amp;", ", ", "&amp;INDEX('Form Responses'!$I$1:$Q$200,25,$A42)&amp;", ")),ISNUMBER(SEARCH(", "&amp;$B42&amp;", ", ", "&amp;INDEX('Form Responses'!$R$1:$R$200,25)&amp;", "))),1,""))</f>
        <v/>
      </c>
      <c r="AB42">
        <f>IF(D42=1,", "&amp;D$1,"")</f>
        <v/>
      </c>
      <c r="AC42">
        <f>IF(E42=1,", "&amp;E$1,"")</f>
        <v/>
      </c>
      <c r="AD42">
        <f>IF(F42=1,", "&amp;F$1,"")</f>
        <v/>
      </c>
      <c r="AE42">
        <f>IF(G42=1,", "&amp;G$1,"")</f>
        <v/>
      </c>
      <c r="AF42">
        <f>IF(H42=1,", "&amp;H$1,"")</f>
        <v/>
      </c>
      <c r="AG42">
        <f>IF(I42=1,", "&amp;I$1,"")</f>
        <v/>
      </c>
      <c r="AH42">
        <f>IF(J42=1,", "&amp;J$1,"")</f>
        <v/>
      </c>
      <c r="AI42">
        <f>IF(K42=1,", "&amp;K$1,"")</f>
        <v/>
      </c>
      <c r="AJ42">
        <f>IF(L42=1,", "&amp;L$1,"")</f>
        <v/>
      </c>
      <c r="AK42">
        <f>IF(M42=1,", "&amp;M$1,"")</f>
        <v/>
      </c>
      <c r="AL42">
        <f>IF(N42=1,", "&amp;N$1,"")</f>
        <v/>
      </c>
      <c r="AM42">
        <f>IF(O42=1,", "&amp;O$1,"")</f>
        <v/>
      </c>
      <c r="AN42">
        <f>IF(P42=1,", "&amp;P$1,"")</f>
        <v/>
      </c>
      <c r="AO42">
        <f>IF(Q42=1,", "&amp;Q$1,"")</f>
        <v/>
      </c>
      <c r="AP42">
        <f>IF(R42=1,", "&amp;R$1,"")</f>
        <v/>
      </c>
      <c r="AQ42">
        <f>IF(S42=1,", "&amp;S$1,"")</f>
        <v/>
      </c>
      <c r="AR42">
        <f>IF(T42=1,", "&amp;T$1,"")</f>
        <v/>
      </c>
      <c r="AS42">
        <f>IF(U42=1,", "&amp;U$1,"")</f>
        <v/>
      </c>
      <c r="AT42">
        <f>IF(V42=1,", "&amp;V$1,"")</f>
        <v/>
      </c>
      <c r="AU42">
        <f>IF(W42=1,", "&amp;W$1,"")</f>
        <v/>
      </c>
      <c r="AV42">
        <f>IF(X42=1,", "&amp;X$1,"")</f>
        <v/>
      </c>
      <c r="AW42">
        <f>IF(Y42=1,", "&amp;Y$1,"")</f>
        <v/>
      </c>
      <c r="AX42">
        <f>IF(Z42=1,", "&amp;Z$1,"")</f>
        <v/>
      </c>
      <c r="AY42">
        <f>IF(AA42=1,", "&amp;AA$1,"")</f>
        <v/>
      </c>
      <c r="AZ42">
        <f>MID($AB42&amp;$AC42&amp;$AD42&amp;$AE42&amp;$AF42&amp;$AG42&amp;$AH42&amp;$AI42&amp;$AJ42&amp;$AK42&amp;$AL42&amp;$AM42&amp;$AN42&amp;$AO42&amp;$AP42&amp;$AQ42&amp;$AR42&amp;$AS42&amp;$AT42&amp;$AU42&amp;$AV42&amp;$AW42&amp;$AX42&amp;$AY42,3,32767)</f>
        <v/>
      </c>
      <c r="BA42">
        <f>COUNT($D42:$AA42)</f>
        <v/>
      </c>
    </row>
    <row r="43">
      <c r="A43" t="n">
        <v>2</v>
      </c>
      <c r="B43" t="inlineStr">
        <is>
          <t>Air Bubble</t>
        </is>
      </c>
      <c r="C43" t="inlineStr">
        <is>
          <t>Conjuration</t>
        </is>
      </c>
      <c r="D43">
        <f>IF(Wizards!$A$2="","",IF(OR(ISNUMBER(SEARCH(", "&amp;$B43&amp;", ", ", "&amp;INDEX('Form Responses'!$I$1:$Q$200,2,$A43)&amp;", ")),ISNUMBER(SEARCH(", "&amp;$B43&amp;", ", ", "&amp;INDEX('Form Responses'!$R$1:$R$200,2)&amp;", "))),1,""))</f>
        <v/>
      </c>
      <c r="E43">
        <f>IF(Wizards!$A$3="","",IF(OR(ISNUMBER(SEARCH(", "&amp;$B43&amp;", ", ", "&amp;INDEX('Form Responses'!$I$1:$Q$200,3,$A43)&amp;", ")),ISNUMBER(SEARCH(", "&amp;$B43&amp;", ", ", "&amp;INDEX('Form Responses'!$R$1:$R$200,3)&amp;", "))),1,""))</f>
        <v/>
      </c>
      <c r="F43">
        <f>IF(Wizards!$A$4="","",IF(OR(ISNUMBER(SEARCH(", "&amp;$B43&amp;", ", ", "&amp;INDEX('Form Responses'!$I$1:$Q$200,4,$A43)&amp;", ")),ISNUMBER(SEARCH(", "&amp;$B43&amp;", ", ", "&amp;INDEX('Form Responses'!$R$1:$R$200,4)&amp;", "))),1,""))</f>
        <v/>
      </c>
      <c r="G43">
        <f>IF(Wizards!$A$5="","",IF(OR(ISNUMBER(SEARCH(", "&amp;$B43&amp;", ", ", "&amp;INDEX('Form Responses'!$I$1:$Q$200,5,$A43)&amp;", ")),ISNUMBER(SEARCH(", "&amp;$B43&amp;", ", ", "&amp;INDEX('Form Responses'!$R$1:$R$200,5)&amp;", "))),1,""))</f>
        <v/>
      </c>
      <c r="H43">
        <f>IF(Wizards!$A$6="","",IF(OR(ISNUMBER(SEARCH(", "&amp;$B43&amp;", ", ", "&amp;INDEX('Form Responses'!$I$1:$Q$200,6,$A43)&amp;", ")),ISNUMBER(SEARCH(", "&amp;$B43&amp;", ", ", "&amp;INDEX('Form Responses'!$R$1:$R$200,6)&amp;", "))),1,""))</f>
        <v/>
      </c>
      <c r="I43">
        <f>IF(Wizards!$A$7="","",IF(OR(ISNUMBER(SEARCH(", "&amp;$B43&amp;", ", ", "&amp;INDEX('Form Responses'!$I$1:$Q$200,7,$A43)&amp;", ")),ISNUMBER(SEARCH(", "&amp;$B43&amp;", ", ", "&amp;INDEX('Form Responses'!$R$1:$R$200,7)&amp;", "))),1,""))</f>
        <v/>
      </c>
      <c r="J43">
        <f>IF(Wizards!$A$8="","",IF(OR(ISNUMBER(SEARCH(", "&amp;$B43&amp;", ", ", "&amp;INDEX('Form Responses'!$I$1:$Q$200,8,$A43)&amp;", ")),ISNUMBER(SEARCH(", "&amp;$B43&amp;", ", ", "&amp;INDEX('Form Responses'!$R$1:$R$200,8)&amp;", "))),1,""))</f>
        <v/>
      </c>
      <c r="K43">
        <f>IF(Wizards!$A$9="","",IF(OR(ISNUMBER(SEARCH(", "&amp;$B43&amp;", ", ", "&amp;INDEX('Form Responses'!$I$1:$Q$200,9,$A43)&amp;", ")),ISNUMBER(SEARCH(", "&amp;$B43&amp;", ", ", "&amp;INDEX('Form Responses'!$R$1:$R$200,9)&amp;", "))),1,""))</f>
        <v/>
      </c>
      <c r="L43">
        <f>IF(Wizards!$A$10="","",IF(OR(ISNUMBER(SEARCH(", "&amp;$B43&amp;", ", ", "&amp;INDEX('Form Responses'!$I$1:$Q$200,10,$A43)&amp;", ")),ISNUMBER(SEARCH(", "&amp;$B43&amp;", ", ", "&amp;INDEX('Form Responses'!$R$1:$R$200,10)&amp;", "))),1,""))</f>
        <v/>
      </c>
      <c r="M43">
        <f>IF(Wizards!$A$11="","",IF(OR(ISNUMBER(SEARCH(", "&amp;$B43&amp;", ", ", "&amp;INDEX('Form Responses'!$I$1:$Q$200,11,$A43)&amp;", ")),ISNUMBER(SEARCH(", "&amp;$B43&amp;", ", ", "&amp;INDEX('Form Responses'!$R$1:$R$200,11)&amp;", "))),1,""))</f>
        <v/>
      </c>
      <c r="N43">
        <f>IF(Wizards!$A$12="","",IF(OR(ISNUMBER(SEARCH(", "&amp;$B43&amp;", ", ", "&amp;INDEX('Form Responses'!$I$1:$Q$200,12,$A43)&amp;", ")),ISNUMBER(SEARCH(", "&amp;$B43&amp;", ", ", "&amp;INDEX('Form Responses'!$R$1:$R$200,12)&amp;", "))),1,""))</f>
        <v/>
      </c>
      <c r="O43">
        <f>IF(Wizards!$A$13="","",IF(OR(ISNUMBER(SEARCH(", "&amp;$B43&amp;", ", ", "&amp;INDEX('Form Responses'!$I$1:$Q$200,13,$A43)&amp;", ")),ISNUMBER(SEARCH(", "&amp;$B43&amp;", ", ", "&amp;INDEX('Form Responses'!$R$1:$R$200,13)&amp;", "))),1,""))</f>
        <v/>
      </c>
      <c r="P43">
        <f>IF(Wizards!$A$14="","",IF(OR(ISNUMBER(SEARCH(", "&amp;$B43&amp;", ", ", "&amp;INDEX('Form Responses'!$I$1:$Q$200,14,$A43)&amp;", ")),ISNUMBER(SEARCH(", "&amp;$B43&amp;", ", ", "&amp;INDEX('Form Responses'!$R$1:$R$200,14)&amp;", "))),1,""))</f>
        <v/>
      </c>
      <c r="Q43">
        <f>IF(Wizards!$A$15="","",IF(OR(ISNUMBER(SEARCH(", "&amp;$B43&amp;", ", ", "&amp;INDEX('Form Responses'!$I$1:$Q$200,15,$A43)&amp;", ")),ISNUMBER(SEARCH(", "&amp;$B43&amp;", ", ", "&amp;INDEX('Form Responses'!$R$1:$R$200,15)&amp;", "))),1,""))</f>
        <v/>
      </c>
      <c r="R43">
        <f>IF(Wizards!$A$16="","",IF(OR(ISNUMBER(SEARCH(", "&amp;$B43&amp;", ", ", "&amp;INDEX('Form Responses'!$I$1:$Q$200,16,$A43)&amp;", ")),ISNUMBER(SEARCH(", "&amp;$B43&amp;", ", ", "&amp;INDEX('Form Responses'!$R$1:$R$200,16)&amp;", "))),1,""))</f>
        <v/>
      </c>
      <c r="S43">
        <f>IF(Wizards!$A$17="","",IF(OR(ISNUMBER(SEARCH(", "&amp;$B43&amp;", ", ", "&amp;INDEX('Form Responses'!$I$1:$Q$200,17,$A43)&amp;", ")),ISNUMBER(SEARCH(", "&amp;$B43&amp;", ", ", "&amp;INDEX('Form Responses'!$R$1:$R$200,17)&amp;", "))),1,""))</f>
        <v/>
      </c>
      <c r="T43">
        <f>IF(Wizards!$A$18="","",IF(OR(ISNUMBER(SEARCH(", "&amp;$B43&amp;", ", ", "&amp;INDEX('Form Responses'!$I$1:$Q$200,18,$A43)&amp;", ")),ISNUMBER(SEARCH(", "&amp;$B43&amp;", ", ", "&amp;INDEX('Form Responses'!$R$1:$R$200,18)&amp;", "))),1,""))</f>
        <v/>
      </c>
      <c r="U43">
        <f>IF(Wizards!$A$19="","",IF(OR(ISNUMBER(SEARCH(", "&amp;$B43&amp;", ", ", "&amp;INDEX('Form Responses'!$I$1:$Q$200,19,$A43)&amp;", ")),ISNUMBER(SEARCH(", "&amp;$B43&amp;", ", ", "&amp;INDEX('Form Responses'!$R$1:$R$200,19)&amp;", "))),1,""))</f>
        <v/>
      </c>
      <c r="V43">
        <f>IF(Wizards!$A$20="","",IF(OR(ISNUMBER(SEARCH(", "&amp;$B43&amp;", ", ", "&amp;INDEX('Form Responses'!$I$1:$Q$200,20,$A43)&amp;", ")),ISNUMBER(SEARCH(", "&amp;$B43&amp;", ", ", "&amp;INDEX('Form Responses'!$R$1:$R$200,20)&amp;", "))),1,""))</f>
        <v/>
      </c>
      <c r="W43">
        <f>IF(Wizards!$A$21="","",IF(OR(ISNUMBER(SEARCH(", "&amp;$B43&amp;", ", ", "&amp;INDEX('Form Responses'!$I$1:$Q$200,21,$A43)&amp;", ")),ISNUMBER(SEARCH(", "&amp;$B43&amp;", ", ", "&amp;INDEX('Form Responses'!$R$1:$R$200,21)&amp;", "))),1,""))</f>
        <v/>
      </c>
      <c r="X43">
        <f>IF(Wizards!$A$22="","",IF(OR(ISNUMBER(SEARCH(", "&amp;$B43&amp;", ", ", "&amp;INDEX('Form Responses'!$I$1:$Q$200,22,$A43)&amp;", ")),ISNUMBER(SEARCH(", "&amp;$B43&amp;", ", ", "&amp;INDEX('Form Responses'!$R$1:$R$200,22)&amp;", "))),1,""))</f>
        <v/>
      </c>
      <c r="Y43">
        <f>IF(Wizards!$A$23="","",IF(OR(ISNUMBER(SEARCH(", "&amp;$B43&amp;", ", ", "&amp;INDEX('Form Responses'!$I$1:$Q$200,23,$A43)&amp;", ")),ISNUMBER(SEARCH(", "&amp;$B43&amp;", ", ", "&amp;INDEX('Form Responses'!$R$1:$R$200,23)&amp;", "))),1,""))</f>
        <v/>
      </c>
      <c r="Z43">
        <f>IF(Wizards!$A$24="","",IF(OR(ISNUMBER(SEARCH(", "&amp;$B43&amp;", ", ", "&amp;INDEX('Form Responses'!$I$1:$Q$200,24,$A43)&amp;", ")),ISNUMBER(SEARCH(", "&amp;$B43&amp;", ", ", "&amp;INDEX('Form Responses'!$R$1:$R$200,24)&amp;", "))),1,""))</f>
        <v/>
      </c>
      <c r="AA43">
        <f>IF(Wizards!$A$25="","",IF(OR(ISNUMBER(SEARCH(", "&amp;$B43&amp;", ", ", "&amp;INDEX('Form Responses'!$I$1:$Q$200,25,$A43)&amp;", ")),ISNUMBER(SEARCH(", "&amp;$B43&amp;", ", ", "&amp;INDEX('Form Responses'!$R$1:$R$200,25)&amp;", "))),1,""))</f>
        <v/>
      </c>
      <c r="AB43">
        <f>IF(D43=1,", "&amp;D$1,"")</f>
        <v/>
      </c>
      <c r="AC43">
        <f>IF(E43=1,", "&amp;E$1,"")</f>
        <v/>
      </c>
      <c r="AD43">
        <f>IF(F43=1,", "&amp;F$1,"")</f>
        <v/>
      </c>
      <c r="AE43">
        <f>IF(G43=1,", "&amp;G$1,"")</f>
        <v/>
      </c>
      <c r="AF43">
        <f>IF(H43=1,", "&amp;H$1,"")</f>
        <v/>
      </c>
      <c r="AG43">
        <f>IF(I43=1,", "&amp;I$1,"")</f>
        <v/>
      </c>
      <c r="AH43">
        <f>IF(J43=1,", "&amp;J$1,"")</f>
        <v/>
      </c>
      <c r="AI43">
        <f>IF(K43=1,", "&amp;K$1,"")</f>
        <v/>
      </c>
      <c r="AJ43">
        <f>IF(L43=1,", "&amp;L$1,"")</f>
        <v/>
      </c>
      <c r="AK43">
        <f>IF(M43=1,", "&amp;M$1,"")</f>
        <v/>
      </c>
      <c r="AL43">
        <f>IF(N43=1,", "&amp;N$1,"")</f>
        <v/>
      </c>
      <c r="AM43">
        <f>IF(O43=1,", "&amp;O$1,"")</f>
        <v/>
      </c>
      <c r="AN43">
        <f>IF(P43=1,", "&amp;P$1,"")</f>
        <v/>
      </c>
      <c r="AO43">
        <f>IF(Q43=1,", "&amp;Q$1,"")</f>
        <v/>
      </c>
      <c r="AP43">
        <f>IF(R43=1,", "&amp;R$1,"")</f>
        <v/>
      </c>
      <c r="AQ43">
        <f>IF(S43=1,", "&amp;S$1,"")</f>
        <v/>
      </c>
      <c r="AR43">
        <f>IF(T43=1,", "&amp;T$1,"")</f>
        <v/>
      </c>
      <c r="AS43">
        <f>IF(U43=1,", "&amp;U$1,"")</f>
        <v/>
      </c>
      <c r="AT43">
        <f>IF(V43=1,", "&amp;V$1,"")</f>
        <v/>
      </c>
      <c r="AU43">
        <f>IF(W43=1,", "&amp;W$1,"")</f>
        <v/>
      </c>
      <c r="AV43">
        <f>IF(X43=1,", "&amp;X$1,"")</f>
        <v/>
      </c>
      <c r="AW43">
        <f>IF(Y43=1,", "&amp;Y$1,"")</f>
        <v/>
      </c>
      <c r="AX43">
        <f>IF(Z43=1,", "&amp;Z$1,"")</f>
        <v/>
      </c>
      <c r="AY43">
        <f>IF(AA43=1,", "&amp;AA$1,"")</f>
        <v/>
      </c>
      <c r="AZ43">
        <f>MID($AB43&amp;$AC43&amp;$AD43&amp;$AE43&amp;$AF43&amp;$AG43&amp;$AH43&amp;$AI43&amp;$AJ43&amp;$AK43&amp;$AL43&amp;$AM43&amp;$AN43&amp;$AO43&amp;$AP43&amp;$AQ43&amp;$AR43&amp;$AS43&amp;$AT43&amp;$AU43&amp;$AV43&amp;$AW43&amp;$AX43&amp;$AY43,3,32767)</f>
        <v/>
      </c>
      <c r="BA43">
        <f>COUNT($D43:$AA43)</f>
        <v/>
      </c>
    </row>
    <row r="44">
      <c r="A44" t="n">
        <v>2</v>
      </c>
      <c r="B44" t="inlineStr">
        <is>
          <t>Alter Self</t>
        </is>
      </c>
      <c r="C44" t="inlineStr">
        <is>
          <t>Transmutation</t>
        </is>
      </c>
      <c r="D44">
        <f>IF(Wizards!$A$2="","",IF(OR(ISNUMBER(SEARCH(", "&amp;$B44&amp;", ", ", "&amp;INDEX('Form Responses'!$I$1:$Q$200,2,$A44)&amp;", ")),ISNUMBER(SEARCH(", "&amp;$B44&amp;", ", ", "&amp;INDEX('Form Responses'!$R$1:$R$200,2)&amp;", "))),1,""))</f>
        <v/>
      </c>
      <c r="E44">
        <f>IF(Wizards!$A$3="","",IF(OR(ISNUMBER(SEARCH(", "&amp;$B44&amp;", ", ", "&amp;INDEX('Form Responses'!$I$1:$Q$200,3,$A44)&amp;", ")),ISNUMBER(SEARCH(", "&amp;$B44&amp;", ", ", "&amp;INDEX('Form Responses'!$R$1:$R$200,3)&amp;", "))),1,""))</f>
        <v/>
      </c>
      <c r="F44">
        <f>IF(Wizards!$A$4="","",IF(OR(ISNUMBER(SEARCH(", "&amp;$B44&amp;", ", ", "&amp;INDEX('Form Responses'!$I$1:$Q$200,4,$A44)&amp;", ")),ISNUMBER(SEARCH(", "&amp;$B44&amp;", ", ", "&amp;INDEX('Form Responses'!$R$1:$R$200,4)&amp;", "))),1,""))</f>
        <v/>
      </c>
      <c r="G44">
        <f>IF(Wizards!$A$5="","",IF(OR(ISNUMBER(SEARCH(", "&amp;$B44&amp;", ", ", "&amp;INDEX('Form Responses'!$I$1:$Q$200,5,$A44)&amp;", ")),ISNUMBER(SEARCH(", "&amp;$B44&amp;", ", ", "&amp;INDEX('Form Responses'!$R$1:$R$200,5)&amp;", "))),1,""))</f>
        <v/>
      </c>
      <c r="H44">
        <f>IF(Wizards!$A$6="","",IF(OR(ISNUMBER(SEARCH(", "&amp;$B44&amp;", ", ", "&amp;INDEX('Form Responses'!$I$1:$Q$200,6,$A44)&amp;", ")),ISNUMBER(SEARCH(", "&amp;$B44&amp;", ", ", "&amp;INDEX('Form Responses'!$R$1:$R$200,6)&amp;", "))),1,""))</f>
        <v/>
      </c>
      <c r="I44">
        <f>IF(Wizards!$A$7="","",IF(OR(ISNUMBER(SEARCH(", "&amp;$B44&amp;", ", ", "&amp;INDEX('Form Responses'!$I$1:$Q$200,7,$A44)&amp;", ")),ISNUMBER(SEARCH(", "&amp;$B44&amp;", ", ", "&amp;INDEX('Form Responses'!$R$1:$R$200,7)&amp;", "))),1,""))</f>
        <v/>
      </c>
      <c r="J44">
        <f>IF(Wizards!$A$8="","",IF(OR(ISNUMBER(SEARCH(", "&amp;$B44&amp;", ", ", "&amp;INDEX('Form Responses'!$I$1:$Q$200,8,$A44)&amp;", ")),ISNUMBER(SEARCH(", "&amp;$B44&amp;", ", ", "&amp;INDEX('Form Responses'!$R$1:$R$200,8)&amp;", "))),1,""))</f>
        <v/>
      </c>
      <c r="K44">
        <f>IF(Wizards!$A$9="","",IF(OR(ISNUMBER(SEARCH(", "&amp;$B44&amp;", ", ", "&amp;INDEX('Form Responses'!$I$1:$Q$200,9,$A44)&amp;", ")),ISNUMBER(SEARCH(", "&amp;$B44&amp;", ", ", "&amp;INDEX('Form Responses'!$R$1:$R$200,9)&amp;", "))),1,""))</f>
        <v/>
      </c>
      <c r="L44">
        <f>IF(Wizards!$A$10="","",IF(OR(ISNUMBER(SEARCH(", "&amp;$B44&amp;", ", ", "&amp;INDEX('Form Responses'!$I$1:$Q$200,10,$A44)&amp;", ")),ISNUMBER(SEARCH(", "&amp;$B44&amp;", ", ", "&amp;INDEX('Form Responses'!$R$1:$R$200,10)&amp;", "))),1,""))</f>
        <v/>
      </c>
      <c r="M44">
        <f>IF(Wizards!$A$11="","",IF(OR(ISNUMBER(SEARCH(", "&amp;$B44&amp;", ", ", "&amp;INDEX('Form Responses'!$I$1:$Q$200,11,$A44)&amp;", ")),ISNUMBER(SEARCH(", "&amp;$B44&amp;", ", ", "&amp;INDEX('Form Responses'!$R$1:$R$200,11)&amp;", "))),1,""))</f>
        <v/>
      </c>
      <c r="N44">
        <f>IF(Wizards!$A$12="","",IF(OR(ISNUMBER(SEARCH(", "&amp;$B44&amp;", ", ", "&amp;INDEX('Form Responses'!$I$1:$Q$200,12,$A44)&amp;", ")),ISNUMBER(SEARCH(", "&amp;$B44&amp;", ", ", "&amp;INDEX('Form Responses'!$R$1:$R$200,12)&amp;", "))),1,""))</f>
        <v/>
      </c>
      <c r="O44">
        <f>IF(Wizards!$A$13="","",IF(OR(ISNUMBER(SEARCH(", "&amp;$B44&amp;", ", ", "&amp;INDEX('Form Responses'!$I$1:$Q$200,13,$A44)&amp;", ")),ISNUMBER(SEARCH(", "&amp;$B44&amp;", ", ", "&amp;INDEX('Form Responses'!$R$1:$R$200,13)&amp;", "))),1,""))</f>
        <v/>
      </c>
      <c r="P44">
        <f>IF(Wizards!$A$14="","",IF(OR(ISNUMBER(SEARCH(", "&amp;$B44&amp;", ", ", "&amp;INDEX('Form Responses'!$I$1:$Q$200,14,$A44)&amp;", ")),ISNUMBER(SEARCH(", "&amp;$B44&amp;", ", ", "&amp;INDEX('Form Responses'!$R$1:$R$200,14)&amp;", "))),1,""))</f>
        <v/>
      </c>
      <c r="Q44">
        <f>IF(Wizards!$A$15="","",IF(OR(ISNUMBER(SEARCH(", "&amp;$B44&amp;", ", ", "&amp;INDEX('Form Responses'!$I$1:$Q$200,15,$A44)&amp;", ")),ISNUMBER(SEARCH(", "&amp;$B44&amp;", ", ", "&amp;INDEX('Form Responses'!$R$1:$R$200,15)&amp;", "))),1,""))</f>
        <v/>
      </c>
      <c r="R44">
        <f>IF(Wizards!$A$16="","",IF(OR(ISNUMBER(SEARCH(", "&amp;$B44&amp;", ", ", "&amp;INDEX('Form Responses'!$I$1:$Q$200,16,$A44)&amp;", ")),ISNUMBER(SEARCH(", "&amp;$B44&amp;", ", ", "&amp;INDEX('Form Responses'!$R$1:$R$200,16)&amp;", "))),1,""))</f>
        <v/>
      </c>
      <c r="S44">
        <f>IF(Wizards!$A$17="","",IF(OR(ISNUMBER(SEARCH(", "&amp;$B44&amp;", ", ", "&amp;INDEX('Form Responses'!$I$1:$Q$200,17,$A44)&amp;", ")),ISNUMBER(SEARCH(", "&amp;$B44&amp;", ", ", "&amp;INDEX('Form Responses'!$R$1:$R$200,17)&amp;", "))),1,""))</f>
        <v/>
      </c>
      <c r="T44">
        <f>IF(Wizards!$A$18="","",IF(OR(ISNUMBER(SEARCH(", "&amp;$B44&amp;", ", ", "&amp;INDEX('Form Responses'!$I$1:$Q$200,18,$A44)&amp;", ")),ISNUMBER(SEARCH(", "&amp;$B44&amp;", ", ", "&amp;INDEX('Form Responses'!$R$1:$R$200,18)&amp;", "))),1,""))</f>
        <v/>
      </c>
      <c r="U44">
        <f>IF(Wizards!$A$19="","",IF(OR(ISNUMBER(SEARCH(", "&amp;$B44&amp;", ", ", "&amp;INDEX('Form Responses'!$I$1:$Q$200,19,$A44)&amp;", ")),ISNUMBER(SEARCH(", "&amp;$B44&amp;", ", ", "&amp;INDEX('Form Responses'!$R$1:$R$200,19)&amp;", "))),1,""))</f>
        <v/>
      </c>
      <c r="V44">
        <f>IF(Wizards!$A$20="","",IF(OR(ISNUMBER(SEARCH(", "&amp;$B44&amp;", ", ", "&amp;INDEX('Form Responses'!$I$1:$Q$200,20,$A44)&amp;", ")),ISNUMBER(SEARCH(", "&amp;$B44&amp;", ", ", "&amp;INDEX('Form Responses'!$R$1:$R$200,20)&amp;", "))),1,""))</f>
        <v/>
      </c>
      <c r="W44">
        <f>IF(Wizards!$A$21="","",IF(OR(ISNUMBER(SEARCH(", "&amp;$B44&amp;", ", ", "&amp;INDEX('Form Responses'!$I$1:$Q$200,21,$A44)&amp;", ")),ISNUMBER(SEARCH(", "&amp;$B44&amp;", ", ", "&amp;INDEX('Form Responses'!$R$1:$R$200,21)&amp;", "))),1,""))</f>
        <v/>
      </c>
      <c r="X44">
        <f>IF(Wizards!$A$22="","",IF(OR(ISNUMBER(SEARCH(", "&amp;$B44&amp;", ", ", "&amp;INDEX('Form Responses'!$I$1:$Q$200,22,$A44)&amp;", ")),ISNUMBER(SEARCH(", "&amp;$B44&amp;", ", ", "&amp;INDEX('Form Responses'!$R$1:$R$200,22)&amp;", "))),1,""))</f>
        <v/>
      </c>
      <c r="Y44">
        <f>IF(Wizards!$A$23="","",IF(OR(ISNUMBER(SEARCH(", "&amp;$B44&amp;", ", ", "&amp;INDEX('Form Responses'!$I$1:$Q$200,23,$A44)&amp;", ")),ISNUMBER(SEARCH(", "&amp;$B44&amp;", ", ", "&amp;INDEX('Form Responses'!$R$1:$R$200,23)&amp;", "))),1,""))</f>
        <v/>
      </c>
      <c r="Z44">
        <f>IF(Wizards!$A$24="","",IF(OR(ISNUMBER(SEARCH(", "&amp;$B44&amp;", ", ", "&amp;INDEX('Form Responses'!$I$1:$Q$200,24,$A44)&amp;", ")),ISNUMBER(SEARCH(", "&amp;$B44&amp;", ", ", "&amp;INDEX('Form Responses'!$R$1:$R$200,24)&amp;", "))),1,""))</f>
        <v/>
      </c>
      <c r="AA44">
        <f>IF(Wizards!$A$25="","",IF(OR(ISNUMBER(SEARCH(", "&amp;$B44&amp;", ", ", "&amp;INDEX('Form Responses'!$I$1:$Q$200,25,$A44)&amp;", ")),ISNUMBER(SEARCH(", "&amp;$B44&amp;", ", ", "&amp;INDEX('Form Responses'!$R$1:$R$200,25)&amp;", "))),1,""))</f>
        <v/>
      </c>
      <c r="AB44">
        <f>IF(D44=1,", "&amp;D$1,"")</f>
        <v/>
      </c>
      <c r="AC44">
        <f>IF(E44=1,", "&amp;E$1,"")</f>
        <v/>
      </c>
      <c r="AD44">
        <f>IF(F44=1,", "&amp;F$1,"")</f>
        <v/>
      </c>
      <c r="AE44">
        <f>IF(G44=1,", "&amp;G$1,"")</f>
        <v/>
      </c>
      <c r="AF44">
        <f>IF(H44=1,", "&amp;H$1,"")</f>
        <v/>
      </c>
      <c r="AG44">
        <f>IF(I44=1,", "&amp;I$1,"")</f>
        <v/>
      </c>
      <c r="AH44">
        <f>IF(J44=1,", "&amp;J$1,"")</f>
        <v/>
      </c>
      <c r="AI44">
        <f>IF(K44=1,", "&amp;K$1,"")</f>
        <v/>
      </c>
      <c r="AJ44">
        <f>IF(L44=1,", "&amp;L$1,"")</f>
        <v/>
      </c>
      <c r="AK44">
        <f>IF(M44=1,", "&amp;M$1,"")</f>
        <v/>
      </c>
      <c r="AL44">
        <f>IF(N44=1,", "&amp;N$1,"")</f>
        <v/>
      </c>
      <c r="AM44">
        <f>IF(O44=1,", "&amp;O$1,"")</f>
        <v/>
      </c>
      <c r="AN44">
        <f>IF(P44=1,", "&amp;P$1,"")</f>
        <v/>
      </c>
      <c r="AO44">
        <f>IF(Q44=1,", "&amp;Q$1,"")</f>
        <v/>
      </c>
      <c r="AP44">
        <f>IF(R44=1,", "&amp;R$1,"")</f>
        <v/>
      </c>
      <c r="AQ44">
        <f>IF(S44=1,", "&amp;S$1,"")</f>
        <v/>
      </c>
      <c r="AR44">
        <f>IF(T44=1,", "&amp;T$1,"")</f>
        <v/>
      </c>
      <c r="AS44">
        <f>IF(U44=1,", "&amp;U$1,"")</f>
        <v/>
      </c>
      <c r="AT44">
        <f>IF(V44=1,", "&amp;V$1,"")</f>
        <v/>
      </c>
      <c r="AU44">
        <f>IF(W44=1,", "&amp;W$1,"")</f>
        <v/>
      </c>
      <c r="AV44">
        <f>IF(X44=1,", "&amp;X$1,"")</f>
        <v/>
      </c>
      <c r="AW44">
        <f>IF(Y44=1,", "&amp;Y$1,"")</f>
        <v/>
      </c>
      <c r="AX44">
        <f>IF(Z44=1,", "&amp;Z$1,"")</f>
        <v/>
      </c>
      <c r="AY44">
        <f>IF(AA44=1,", "&amp;AA$1,"")</f>
        <v/>
      </c>
      <c r="AZ44">
        <f>MID($AB44&amp;$AC44&amp;$AD44&amp;$AE44&amp;$AF44&amp;$AG44&amp;$AH44&amp;$AI44&amp;$AJ44&amp;$AK44&amp;$AL44&amp;$AM44&amp;$AN44&amp;$AO44&amp;$AP44&amp;$AQ44&amp;$AR44&amp;$AS44&amp;$AT44&amp;$AU44&amp;$AV44&amp;$AW44&amp;$AX44&amp;$AY44,3,32767)</f>
        <v/>
      </c>
      <c r="BA44">
        <f>COUNT($D44:$AA44)</f>
        <v/>
      </c>
    </row>
    <row r="45">
      <c r="A45" t="n">
        <v>2</v>
      </c>
      <c r="B45" t="inlineStr">
        <is>
          <t>Arcane Lock</t>
        </is>
      </c>
      <c r="C45" t="inlineStr">
        <is>
          <t>Abjuration</t>
        </is>
      </c>
      <c r="D45">
        <f>IF(Wizards!$A$2="","",IF(OR(ISNUMBER(SEARCH(", "&amp;$B45&amp;", ", ", "&amp;INDEX('Form Responses'!$I$1:$Q$200,2,$A45)&amp;", ")),ISNUMBER(SEARCH(", "&amp;$B45&amp;", ", ", "&amp;INDEX('Form Responses'!$R$1:$R$200,2)&amp;", "))),1,""))</f>
        <v/>
      </c>
      <c r="E45">
        <f>IF(Wizards!$A$3="","",IF(OR(ISNUMBER(SEARCH(", "&amp;$B45&amp;", ", ", "&amp;INDEX('Form Responses'!$I$1:$Q$200,3,$A45)&amp;", ")),ISNUMBER(SEARCH(", "&amp;$B45&amp;", ", ", "&amp;INDEX('Form Responses'!$R$1:$R$200,3)&amp;", "))),1,""))</f>
        <v/>
      </c>
      <c r="F45">
        <f>IF(Wizards!$A$4="","",IF(OR(ISNUMBER(SEARCH(", "&amp;$B45&amp;", ", ", "&amp;INDEX('Form Responses'!$I$1:$Q$200,4,$A45)&amp;", ")),ISNUMBER(SEARCH(", "&amp;$B45&amp;", ", ", "&amp;INDEX('Form Responses'!$R$1:$R$200,4)&amp;", "))),1,""))</f>
        <v/>
      </c>
      <c r="G45">
        <f>IF(Wizards!$A$5="","",IF(OR(ISNUMBER(SEARCH(", "&amp;$B45&amp;", ", ", "&amp;INDEX('Form Responses'!$I$1:$Q$200,5,$A45)&amp;", ")),ISNUMBER(SEARCH(", "&amp;$B45&amp;", ", ", "&amp;INDEX('Form Responses'!$R$1:$R$200,5)&amp;", "))),1,""))</f>
        <v/>
      </c>
      <c r="H45">
        <f>IF(Wizards!$A$6="","",IF(OR(ISNUMBER(SEARCH(", "&amp;$B45&amp;", ", ", "&amp;INDEX('Form Responses'!$I$1:$Q$200,6,$A45)&amp;", ")),ISNUMBER(SEARCH(", "&amp;$B45&amp;", ", ", "&amp;INDEX('Form Responses'!$R$1:$R$200,6)&amp;", "))),1,""))</f>
        <v/>
      </c>
      <c r="I45">
        <f>IF(Wizards!$A$7="","",IF(OR(ISNUMBER(SEARCH(", "&amp;$B45&amp;", ", ", "&amp;INDEX('Form Responses'!$I$1:$Q$200,7,$A45)&amp;", ")),ISNUMBER(SEARCH(", "&amp;$B45&amp;", ", ", "&amp;INDEX('Form Responses'!$R$1:$R$200,7)&amp;", "))),1,""))</f>
        <v/>
      </c>
      <c r="J45">
        <f>IF(Wizards!$A$8="","",IF(OR(ISNUMBER(SEARCH(", "&amp;$B45&amp;", ", ", "&amp;INDEX('Form Responses'!$I$1:$Q$200,8,$A45)&amp;", ")),ISNUMBER(SEARCH(", "&amp;$B45&amp;", ", ", "&amp;INDEX('Form Responses'!$R$1:$R$200,8)&amp;", "))),1,""))</f>
        <v/>
      </c>
      <c r="K45">
        <f>IF(Wizards!$A$9="","",IF(OR(ISNUMBER(SEARCH(", "&amp;$B45&amp;", ", ", "&amp;INDEX('Form Responses'!$I$1:$Q$200,9,$A45)&amp;", ")),ISNUMBER(SEARCH(", "&amp;$B45&amp;", ", ", "&amp;INDEX('Form Responses'!$R$1:$R$200,9)&amp;", "))),1,""))</f>
        <v/>
      </c>
      <c r="L45">
        <f>IF(Wizards!$A$10="","",IF(OR(ISNUMBER(SEARCH(", "&amp;$B45&amp;", ", ", "&amp;INDEX('Form Responses'!$I$1:$Q$200,10,$A45)&amp;", ")),ISNUMBER(SEARCH(", "&amp;$B45&amp;", ", ", "&amp;INDEX('Form Responses'!$R$1:$R$200,10)&amp;", "))),1,""))</f>
        <v/>
      </c>
      <c r="M45">
        <f>IF(Wizards!$A$11="","",IF(OR(ISNUMBER(SEARCH(", "&amp;$B45&amp;", ", ", "&amp;INDEX('Form Responses'!$I$1:$Q$200,11,$A45)&amp;", ")),ISNUMBER(SEARCH(", "&amp;$B45&amp;", ", ", "&amp;INDEX('Form Responses'!$R$1:$R$200,11)&amp;", "))),1,""))</f>
        <v/>
      </c>
      <c r="N45">
        <f>IF(Wizards!$A$12="","",IF(OR(ISNUMBER(SEARCH(", "&amp;$B45&amp;", ", ", "&amp;INDEX('Form Responses'!$I$1:$Q$200,12,$A45)&amp;", ")),ISNUMBER(SEARCH(", "&amp;$B45&amp;", ", ", "&amp;INDEX('Form Responses'!$R$1:$R$200,12)&amp;", "))),1,""))</f>
        <v/>
      </c>
      <c r="O45">
        <f>IF(Wizards!$A$13="","",IF(OR(ISNUMBER(SEARCH(", "&amp;$B45&amp;", ", ", "&amp;INDEX('Form Responses'!$I$1:$Q$200,13,$A45)&amp;", ")),ISNUMBER(SEARCH(", "&amp;$B45&amp;", ", ", "&amp;INDEX('Form Responses'!$R$1:$R$200,13)&amp;", "))),1,""))</f>
        <v/>
      </c>
      <c r="P45">
        <f>IF(Wizards!$A$14="","",IF(OR(ISNUMBER(SEARCH(", "&amp;$B45&amp;", ", ", "&amp;INDEX('Form Responses'!$I$1:$Q$200,14,$A45)&amp;", ")),ISNUMBER(SEARCH(", "&amp;$B45&amp;", ", ", "&amp;INDEX('Form Responses'!$R$1:$R$200,14)&amp;", "))),1,""))</f>
        <v/>
      </c>
      <c r="Q45">
        <f>IF(Wizards!$A$15="","",IF(OR(ISNUMBER(SEARCH(", "&amp;$B45&amp;", ", ", "&amp;INDEX('Form Responses'!$I$1:$Q$200,15,$A45)&amp;", ")),ISNUMBER(SEARCH(", "&amp;$B45&amp;", ", ", "&amp;INDEX('Form Responses'!$R$1:$R$200,15)&amp;", "))),1,""))</f>
        <v/>
      </c>
      <c r="R45">
        <f>IF(Wizards!$A$16="","",IF(OR(ISNUMBER(SEARCH(", "&amp;$B45&amp;", ", ", "&amp;INDEX('Form Responses'!$I$1:$Q$200,16,$A45)&amp;", ")),ISNUMBER(SEARCH(", "&amp;$B45&amp;", ", ", "&amp;INDEX('Form Responses'!$R$1:$R$200,16)&amp;", "))),1,""))</f>
        <v/>
      </c>
      <c r="S45">
        <f>IF(Wizards!$A$17="","",IF(OR(ISNUMBER(SEARCH(", "&amp;$B45&amp;", ", ", "&amp;INDEX('Form Responses'!$I$1:$Q$200,17,$A45)&amp;", ")),ISNUMBER(SEARCH(", "&amp;$B45&amp;", ", ", "&amp;INDEX('Form Responses'!$R$1:$R$200,17)&amp;", "))),1,""))</f>
        <v/>
      </c>
      <c r="T45">
        <f>IF(Wizards!$A$18="","",IF(OR(ISNUMBER(SEARCH(", "&amp;$B45&amp;", ", ", "&amp;INDEX('Form Responses'!$I$1:$Q$200,18,$A45)&amp;", ")),ISNUMBER(SEARCH(", "&amp;$B45&amp;", ", ", "&amp;INDEX('Form Responses'!$R$1:$R$200,18)&amp;", "))),1,""))</f>
        <v/>
      </c>
      <c r="U45">
        <f>IF(Wizards!$A$19="","",IF(OR(ISNUMBER(SEARCH(", "&amp;$B45&amp;", ", ", "&amp;INDEX('Form Responses'!$I$1:$Q$200,19,$A45)&amp;", ")),ISNUMBER(SEARCH(", "&amp;$B45&amp;", ", ", "&amp;INDEX('Form Responses'!$R$1:$R$200,19)&amp;", "))),1,""))</f>
        <v/>
      </c>
      <c r="V45">
        <f>IF(Wizards!$A$20="","",IF(OR(ISNUMBER(SEARCH(", "&amp;$B45&amp;", ", ", "&amp;INDEX('Form Responses'!$I$1:$Q$200,20,$A45)&amp;", ")),ISNUMBER(SEARCH(", "&amp;$B45&amp;", ", ", "&amp;INDEX('Form Responses'!$R$1:$R$200,20)&amp;", "))),1,""))</f>
        <v/>
      </c>
      <c r="W45">
        <f>IF(Wizards!$A$21="","",IF(OR(ISNUMBER(SEARCH(", "&amp;$B45&amp;", ", ", "&amp;INDEX('Form Responses'!$I$1:$Q$200,21,$A45)&amp;", ")),ISNUMBER(SEARCH(", "&amp;$B45&amp;", ", ", "&amp;INDEX('Form Responses'!$R$1:$R$200,21)&amp;", "))),1,""))</f>
        <v/>
      </c>
      <c r="X45">
        <f>IF(Wizards!$A$22="","",IF(OR(ISNUMBER(SEARCH(", "&amp;$B45&amp;", ", ", "&amp;INDEX('Form Responses'!$I$1:$Q$200,22,$A45)&amp;", ")),ISNUMBER(SEARCH(", "&amp;$B45&amp;", ", ", "&amp;INDEX('Form Responses'!$R$1:$R$200,22)&amp;", "))),1,""))</f>
        <v/>
      </c>
      <c r="Y45">
        <f>IF(Wizards!$A$23="","",IF(OR(ISNUMBER(SEARCH(", "&amp;$B45&amp;", ", ", "&amp;INDEX('Form Responses'!$I$1:$Q$200,23,$A45)&amp;", ")),ISNUMBER(SEARCH(", "&amp;$B45&amp;", ", ", "&amp;INDEX('Form Responses'!$R$1:$R$200,23)&amp;", "))),1,""))</f>
        <v/>
      </c>
      <c r="Z45">
        <f>IF(Wizards!$A$24="","",IF(OR(ISNUMBER(SEARCH(", "&amp;$B45&amp;", ", ", "&amp;INDEX('Form Responses'!$I$1:$Q$200,24,$A45)&amp;", ")),ISNUMBER(SEARCH(", "&amp;$B45&amp;", ", ", "&amp;INDEX('Form Responses'!$R$1:$R$200,24)&amp;", "))),1,""))</f>
        <v/>
      </c>
      <c r="AA45">
        <f>IF(Wizards!$A$25="","",IF(OR(ISNUMBER(SEARCH(", "&amp;$B45&amp;", ", ", "&amp;INDEX('Form Responses'!$I$1:$Q$200,25,$A45)&amp;", ")),ISNUMBER(SEARCH(", "&amp;$B45&amp;", ", ", "&amp;INDEX('Form Responses'!$R$1:$R$200,25)&amp;", "))),1,""))</f>
        <v/>
      </c>
      <c r="AB45">
        <f>IF(D45=1,", "&amp;D$1,"")</f>
        <v/>
      </c>
      <c r="AC45">
        <f>IF(E45=1,", "&amp;E$1,"")</f>
        <v/>
      </c>
      <c r="AD45">
        <f>IF(F45=1,", "&amp;F$1,"")</f>
        <v/>
      </c>
      <c r="AE45">
        <f>IF(G45=1,", "&amp;G$1,"")</f>
        <v/>
      </c>
      <c r="AF45">
        <f>IF(H45=1,", "&amp;H$1,"")</f>
        <v/>
      </c>
      <c r="AG45">
        <f>IF(I45=1,", "&amp;I$1,"")</f>
        <v/>
      </c>
      <c r="AH45">
        <f>IF(J45=1,", "&amp;J$1,"")</f>
        <v/>
      </c>
      <c r="AI45">
        <f>IF(K45=1,", "&amp;K$1,"")</f>
        <v/>
      </c>
      <c r="AJ45">
        <f>IF(L45=1,", "&amp;L$1,"")</f>
        <v/>
      </c>
      <c r="AK45">
        <f>IF(M45=1,", "&amp;M$1,"")</f>
        <v/>
      </c>
      <c r="AL45">
        <f>IF(N45=1,", "&amp;N$1,"")</f>
        <v/>
      </c>
      <c r="AM45">
        <f>IF(O45=1,", "&amp;O$1,"")</f>
        <v/>
      </c>
      <c r="AN45">
        <f>IF(P45=1,", "&amp;P$1,"")</f>
        <v/>
      </c>
      <c r="AO45">
        <f>IF(Q45=1,", "&amp;Q$1,"")</f>
        <v/>
      </c>
      <c r="AP45">
        <f>IF(R45=1,", "&amp;R$1,"")</f>
        <v/>
      </c>
      <c r="AQ45">
        <f>IF(S45=1,", "&amp;S$1,"")</f>
        <v/>
      </c>
      <c r="AR45">
        <f>IF(T45=1,", "&amp;T$1,"")</f>
        <v/>
      </c>
      <c r="AS45">
        <f>IF(U45=1,", "&amp;U$1,"")</f>
        <v/>
      </c>
      <c r="AT45">
        <f>IF(V45=1,", "&amp;V$1,"")</f>
        <v/>
      </c>
      <c r="AU45">
        <f>IF(W45=1,", "&amp;W$1,"")</f>
        <v/>
      </c>
      <c r="AV45">
        <f>IF(X45=1,", "&amp;X$1,"")</f>
        <v/>
      </c>
      <c r="AW45">
        <f>IF(Y45=1,", "&amp;Y$1,"")</f>
        <v/>
      </c>
      <c r="AX45">
        <f>IF(Z45=1,", "&amp;Z$1,"")</f>
        <v/>
      </c>
      <c r="AY45">
        <f>IF(AA45=1,", "&amp;AA$1,"")</f>
        <v/>
      </c>
      <c r="AZ45">
        <f>MID($AB45&amp;$AC45&amp;$AD45&amp;$AE45&amp;$AF45&amp;$AG45&amp;$AH45&amp;$AI45&amp;$AJ45&amp;$AK45&amp;$AL45&amp;$AM45&amp;$AN45&amp;$AO45&amp;$AP45&amp;$AQ45&amp;$AR45&amp;$AS45&amp;$AT45&amp;$AU45&amp;$AV45&amp;$AW45&amp;$AX45&amp;$AY45,3,32767)</f>
        <v/>
      </c>
      <c r="BA45">
        <f>COUNT($D45:$AA45)</f>
        <v/>
      </c>
    </row>
    <row r="46">
      <c r="A46" t="n">
        <v>2</v>
      </c>
      <c r="B46" t="inlineStr">
        <is>
          <t>Arcane Vigor</t>
        </is>
      </c>
      <c r="C46" t="inlineStr">
        <is>
          <t>Abjuration</t>
        </is>
      </c>
      <c r="D46">
        <f>IF(Wizards!$A$2="","",IF(OR(ISNUMBER(SEARCH(", "&amp;$B46&amp;", ", ", "&amp;INDEX('Form Responses'!$I$1:$Q$200,2,$A46)&amp;", ")),ISNUMBER(SEARCH(", "&amp;$B46&amp;", ", ", "&amp;INDEX('Form Responses'!$R$1:$R$200,2)&amp;", "))),1,""))</f>
        <v/>
      </c>
      <c r="E46">
        <f>IF(Wizards!$A$3="","",IF(OR(ISNUMBER(SEARCH(", "&amp;$B46&amp;", ", ", "&amp;INDEX('Form Responses'!$I$1:$Q$200,3,$A46)&amp;", ")),ISNUMBER(SEARCH(", "&amp;$B46&amp;", ", ", "&amp;INDEX('Form Responses'!$R$1:$R$200,3)&amp;", "))),1,""))</f>
        <v/>
      </c>
      <c r="F46">
        <f>IF(Wizards!$A$4="","",IF(OR(ISNUMBER(SEARCH(", "&amp;$B46&amp;", ", ", "&amp;INDEX('Form Responses'!$I$1:$Q$200,4,$A46)&amp;", ")),ISNUMBER(SEARCH(", "&amp;$B46&amp;", ", ", "&amp;INDEX('Form Responses'!$R$1:$R$200,4)&amp;", "))),1,""))</f>
        <v/>
      </c>
      <c r="G46">
        <f>IF(Wizards!$A$5="","",IF(OR(ISNUMBER(SEARCH(", "&amp;$B46&amp;", ", ", "&amp;INDEX('Form Responses'!$I$1:$Q$200,5,$A46)&amp;", ")),ISNUMBER(SEARCH(", "&amp;$B46&amp;", ", ", "&amp;INDEX('Form Responses'!$R$1:$R$200,5)&amp;", "))),1,""))</f>
        <v/>
      </c>
      <c r="H46">
        <f>IF(Wizards!$A$6="","",IF(OR(ISNUMBER(SEARCH(", "&amp;$B46&amp;", ", ", "&amp;INDEX('Form Responses'!$I$1:$Q$200,6,$A46)&amp;", ")),ISNUMBER(SEARCH(", "&amp;$B46&amp;", ", ", "&amp;INDEX('Form Responses'!$R$1:$R$200,6)&amp;", "))),1,""))</f>
        <v/>
      </c>
      <c r="I46">
        <f>IF(Wizards!$A$7="","",IF(OR(ISNUMBER(SEARCH(", "&amp;$B46&amp;", ", ", "&amp;INDEX('Form Responses'!$I$1:$Q$200,7,$A46)&amp;", ")),ISNUMBER(SEARCH(", "&amp;$B46&amp;", ", ", "&amp;INDEX('Form Responses'!$R$1:$R$200,7)&amp;", "))),1,""))</f>
        <v/>
      </c>
      <c r="J46">
        <f>IF(Wizards!$A$8="","",IF(OR(ISNUMBER(SEARCH(", "&amp;$B46&amp;", ", ", "&amp;INDEX('Form Responses'!$I$1:$Q$200,8,$A46)&amp;", ")),ISNUMBER(SEARCH(", "&amp;$B46&amp;", ", ", "&amp;INDEX('Form Responses'!$R$1:$R$200,8)&amp;", "))),1,""))</f>
        <v/>
      </c>
      <c r="K46">
        <f>IF(Wizards!$A$9="","",IF(OR(ISNUMBER(SEARCH(", "&amp;$B46&amp;", ", ", "&amp;INDEX('Form Responses'!$I$1:$Q$200,9,$A46)&amp;", ")),ISNUMBER(SEARCH(", "&amp;$B46&amp;", ", ", "&amp;INDEX('Form Responses'!$R$1:$R$200,9)&amp;", "))),1,""))</f>
        <v/>
      </c>
      <c r="L46">
        <f>IF(Wizards!$A$10="","",IF(OR(ISNUMBER(SEARCH(", "&amp;$B46&amp;", ", ", "&amp;INDEX('Form Responses'!$I$1:$Q$200,10,$A46)&amp;", ")),ISNUMBER(SEARCH(", "&amp;$B46&amp;", ", ", "&amp;INDEX('Form Responses'!$R$1:$R$200,10)&amp;", "))),1,""))</f>
        <v/>
      </c>
      <c r="M46">
        <f>IF(Wizards!$A$11="","",IF(OR(ISNUMBER(SEARCH(", "&amp;$B46&amp;", ", ", "&amp;INDEX('Form Responses'!$I$1:$Q$200,11,$A46)&amp;", ")),ISNUMBER(SEARCH(", "&amp;$B46&amp;", ", ", "&amp;INDEX('Form Responses'!$R$1:$R$200,11)&amp;", "))),1,""))</f>
        <v/>
      </c>
      <c r="N46">
        <f>IF(Wizards!$A$12="","",IF(OR(ISNUMBER(SEARCH(", "&amp;$B46&amp;", ", ", "&amp;INDEX('Form Responses'!$I$1:$Q$200,12,$A46)&amp;", ")),ISNUMBER(SEARCH(", "&amp;$B46&amp;", ", ", "&amp;INDEX('Form Responses'!$R$1:$R$200,12)&amp;", "))),1,""))</f>
        <v/>
      </c>
      <c r="O46">
        <f>IF(Wizards!$A$13="","",IF(OR(ISNUMBER(SEARCH(", "&amp;$B46&amp;", ", ", "&amp;INDEX('Form Responses'!$I$1:$Q$200,13,$A46)&amp;", ")),ISNUMBER(SEARCH(", "&amp;$B46&amp;", ", ", "&amp;INDEX('Form Responses'!$R$1:$R$200,13)&amp;", "))),1,""))</f>
        <v/>
      </c>
      <c r="P46">
        <f>IF(Wizards!$A$14="","",IF(OR(ISNUMBER(SEARCH(", "&amp;$B46&amp;", ", ", "&amp;INDEX('Form Responses'!$I$1:$Q$200,14,$A46)&amp;", ")),ISNUMBER(SEARCH(", "&amp;$B46&amp;", ", ", "&amp;INDEX('Form Responses'!$R$1:$R$200,14)&amp;", "))),1,""))</f>
        <v/>
      </c>
      <c r="Q46">
        <f>IF(Wizards!$A$15="","",IF(OR(ISNUMBER(SEARCH(", "&amp;$B46&amp;", ", ", "&amp;INDEX('Form Responses'!$I$1:$Q$200,15,$A46)&amp;", ")),ISNUMBER(SEARCH(", "&amp;$B46&amp;", ", ", "&amp;INDEX('Form Responses'!$R$1:$R$200,15)&amp;", "))),1,""))</f>
        <v/>
      </c>
      <c r="R46">
        <f>IF(Wizards!$A$16="","",IF(OR(ISNUMBER(SEARCH(", "&amp;$B46&amp;", ", ", "&amp;INDEX('Form Responses'!$I$1:$Q$200,16,$A46)&amp;", ")),ISNUMBER(SEARCH(", "&amp;$B46&amp;", ", ", "&amp;INDEX('Form Responses'!$R$1:$R$200,16)&amp;", "))),1,""))</f>
        <v/>
      </c>
      <c r="S46">
        <f>IF(Wizards!$A$17="","",IF(OR(ISNUMBER(SEARCH(", "&amp;$B46&amp;", ", ", "&amp;INDEX('Form Responses'!$I$1:$Q$200,17,$A46)&amp;", ")),ISNUMBER(SEARCH(", "&amp;$B46&amp;", ", ", "&amp;INDEX('Form Responses'!$R$1:$R$200,17)&amp;", "))),1,""))</f>
        <v/>
      </c>
      <c r="T46">
        <f>IF(Wizards!$A$18="","",IF(OR(ISNUMBER(SEARCH(", "&amp;$B46&amp;", ", ", "&amp;INDEX('Form Responses'!$I$1:$Q$200,18,$A46)&amp;", ")),ISNUMBER(SEARCH(", "&amp;$B46&amp;", ", ", "&amp;INDEX('Form Responses'!$R$1:$R$200,18)&amp;", "))),1,""))</f>
        <v/>
      </c>
      <c r="U46">
        <f>IF(Wizards!$A$19="","",IF(OR(ISNUMBER(SEARCH(", "&amp;$B46&amp;", ", ", "&amp;INDEX('Form Responses'!$I$1:$Q$200,19,$A46)&amp;", ")),ISNUMBER(SEARCH(", "&amp;$B46&amp;", ", ", "&amp;INDEX('Form Responses'!$R$1:$R$200,19)&amp;", "))),1,""))</f>
        <v/>
      </c>
      <c r="V46">
        <f>IF(Wizards!$A$20="","",IF(OR(ISNUMBER(SEARCH(", "&amp;$B46&amp;", ", ", "&amp;INDEX('Form Responses'!$I$1:$Q$200,20,$A46)&amp;", ")),ISNUMBER(SEARCH(", "&amp;$B46&amp;", ", ", "&amp;INDEX('Form Responses'!$R$1:$R$200,20)&amp;", "))),1,""))</f>
        <v/>
      </c>
      <c r="W46">
        <f>IF(Wizards!$A$21="","",IF(OR(ISNUMBER(SEARCH(", "&amp;$B46&amp;", ", ", "&amp;INDEX('Form Responses'!$I$1:$Q$200,21,$A46)&amp;", ")),ISNUMBER(SEARCH(", "&amp;$B46&amp;", ", ", "&amp;INDEX('Form Responses'!$R$1:$R$200,21)&amp;", "))),1,""))</f>
        <v/>
      </c>
      <c r="X46">
        <f>IF(Wizards!$A$22="","",IF(OR(ISNUMBER(SEARCH(", "&amp;$B46&amp;", ", ", "&amp;INDEX('Form Responses'!$I$1:$Q$200,22,$A46)&amp;", ")),ISNUMBER(SEARCH(", "&amp;$B46&amp;", ", ", "&amp;INDEX('Form Responses'!$R$1:$R$200,22)&amp;", "))),1,""))</f>
        <v/>
      </c>
      <c r="Y46">
        <f>IF(Wizards!$A$23="","",IF(OR(ISNUMBER(SEARCH(", "&amp;$B46&amp;", ", ", "&amp;INDEX('Form Responses'!$I$1:$Q$200,23,$A46)&amp;", ")),ISNUMBER(SEARCH(", "&amp;$B46&amp;", ", ", "&amp;INDEX('Form Responses'!$R$1:$R$200,23)&amp;", "))),1,""))</f>
        <v/>
      </c>
      <c r="Z46">
        <f>IF(Wizards!$A$24="","",IF(OR(ISNUMBER(SEARCH(", "&amp;$B46&amp;", ", ", "&amp;INDEX('Form Responses'!$I$1:$Q$200,24,$A46)&amp;", ")),ISNUMBER(SEARCH(", "&amp;$B46&amp;", ", ", "&amp;INDEX('Form Responses'!$R$1:$R$200,24)&amp;", "))),1,""))</f>
        <v/>
      </c>
      <c r="AA46">
        <f>IF(Wizards!$A$25="","",IF(OR(ISNUMBER(SEARCH(", "&amp;$B46&amp;", ", ", "&amp;INDEX('Form Responses'!$I$1:$Q$200,25,$A46)&amp;", ")),ISNUMBER(SEARCH(", "&amp;$B46&amp;", ", ", "&amp;INDEX('Form Responses'!$R$1:$R$200,25)&amp;", "))),1,""))</f>
        <v/>
      </c>
      <c r="AB46">
        <f>IF(D46=1,", "&amp;D$1,"")</f>
        <v/>
      </c>
      <c r="AC46">
        <f>IF(E46=1,", "&amp;E$1,"")</f>
        <v/>
      </c>
      <c r="AD46">
        <f>IF(F46=1,", "&amp;F$1,"")</f>
        <v/>
      </c>
      <c r="AE46">
        <f>IF(G46=1,", "&amp;G$1,"")</f>
        <v/>
      </c>
      <c r="AF46">
        <f>IF(H46=1,", "&amp;H$1,"")</f>
        <v/>
      </c>
      <c r="AG46">
        <f>IF(I46=1,", "&amp;I$1,"")</f>
        <v/>
      </c>
      <c r="AH46">
        <f>IF(J46=1,", "&amp;J$1,"")</f>
        <v/>
      </c>
      <c r="AI46">
        <f>IF(K46=1,", "&amp;K$1,"")</f>
        <v/>
      </c>
      <c r="AJ46">
        <f>IF(L46=1,", "&amp;L$1,"")</f>
        <v/>
      </c>
      <c r="AK46">
        <f>IF(M46=1,", "&amp;M$1,"")</f>
        <v/>
      </c>
      <c r="AL46">
        <f>IF(N46=1,", "&amp;N$1,"")</f>
        <v/>
      </c>
      <c r="AM46">
        <f>IF(O46=1,", "&amp;O$1,"")</f>
        <v/>
      </c>
      <c r="AN46">
        <f>IF(P46=1,", "&amp;P$1,"")</f>
        <v/>
      </c>
      <c r="AO46">
        <f>IF(Q46=1,", "&amp;Q$1,"")</f>
        <v/>
      </c>
      <c r="AP46">
        <f>IF(R46=1,", "&amp;R$1,"")</f>
        <v/>
      </c>
      <c r="AQ46">
        <f>IF(S46=1,", "&amp;S$1,"")</f>
        <v/>
      </c>
      <c r="AR46">
        <f>IF(T46=1,", "&amp;T$1,"")</f>
        <v/>
      </c>
      <c r="AS46">
        <f>IF(U46=1,", "&amp;U$1,"")</f>
        <v/>
      </c>
      <c r="AT46">
        <f>IF(V46=1,", "&amp;V$1,"")</f>
        <v/>
      </c>
      <c r="AU46">
        <f>IF(W46=1,", "&amp;W$1,"")</f>
        <v/>
      </c>
      <c r="AV46">
        <f>IF(X46=1,", "&amp;X$1,"")</f>
        <v/>
      </c>
      <c r="AW46">
        <f>IF(Y46=1,", "&amp;Y$1,"")</f>
        <v/>
      </c>
      <c r="AX46">
        <f>IF(Z46=1,", "&amp;Z$1,"")</f>
        <v/>
      </c>
      <c r="AY46">
        <f>IF(AA46=1,", "&amp;AA$1,"")</f>
        <v/>
      </c>
      <c r="AZ46">
        <f>MID($AB46&amp;$AC46&amp;$AD46&amp;$AE46&amp;$AF46&amp;$AG46&amp;$AH46&amp;$AI46&amp;$AJ46&amp;$AK46&amp;$AL46&amp;$AM46&amp;$AN46&amp;$AO46&amp;$AP46&amp;$AQ46&amp;$AR46&amp;$AS46&amp;$AT46&amp;$AU46&amp;$AV46&amp;$AW46&amp;$AX46&amp;$AY46,3,32767)</f>
        <v/>
      </c>
      <c r="BA46">
        <f>COUNT($D46:$AA46)</f>
        <v/>
      </c>
    </row>
    <row r="47">
      <c r="A47" t="n">
        <v>2</v>
      </c>
      <c r="B47" t="inlineStr">
        <is>
          <t>Augury</t>
        </is>
      </c>
      <c r="C47" t="inlineStr">
        <is>
          <t>Divination</t>
        </is>
      </c>
      <c r="D47">
        <f>IF(Wizards!$A$2="","",IF(OR(ISNUMBER(SEARCH(", "&amp;$B47&amp;", ", ", "&amp;INDEX('Form Responses'!$I$1:$Q$200,2,$A47)&amp;", ")),ISNUMBER(SEARCH(", "&amp;$B47&amp;", ", ", "&amp;INDEX('Form Responses'!$R$1:$R$200,2)&amp;", "))),1,""))</f>
        <v/>
      </c>
      <c r="E47">
        <f>IF(Wizards!$A$3="","",IF(OR(ISNUMBER(SEARCH(", "&amp;$B47&amp;", ", ", "&amp;INDEX('Form Responses'!$I$1:$Q$200,3,$A47)&amp;", ")),ISNUMBER(SEARCH(", "&amp;$B47&amp;", ", ", "&amp;INDEX('Form Responses'!$R$1:$R$200,3)&amp;", "))),1,""))</f>
        <v/>
      </c>
      <c r="F47">
        <f>IF(Wizards!$A$4="","",IF(OR(ISNUMBER(SEARCH(", "&amp;$B47&amp;", ", ", "&amp;INDEX('Form Responses'!$I$1:$Q$200,4,$A47)&amp;", ")),ISNUMBER(SEARCH(", "&amp;$B47&amp;", ", ", "&amp;INDEX('Form Responses'!$R$1:$R$200,4)&amp;", "))),1,""))</f>
        <v/>
      </c>
      <c r="G47">
        <f>IF(Wizards!$A$5="","",IF(OR(ISNUMBER(SEARCH(", "&amp;$B47&amp;", ", ", "&amp;INDEX('Form Responses'!$I$1:$Q$200,5,$A47)&amp;", ")),ISNUMBER(SEARCH(", "&amp;$B47&amp;", ", ", "&amp;INDEX('Form Responses'!$R$1:$R$200,5)&amp;", "))),1,""))</f>
        <v/>
      </c>
      <c r="H47">
        <f>IF(Wizards!$A$6="","",IF(OR(ISNUMBER(SEARCH(", "&amp;$B47&amp;", ", ", "&amp;INDEX('Form Responses'!$I$1:$Q$200,6,$A47)&amp;", ")),ISNUMBER(SEARCH(", "&amp;$B47&amp;", ", ", "&amp;INDEX('Form Responses'!$R$1:$R$200,6)&amp;", "))),1,""))</f>
        <v/>
      </c>
      <c r="I47">
        <f>IF(Wizards!$A$7="","",IF(OR(ISNUMBER(SEARCH(", "&amp;$B47&amp;", ", ", "&amp;INDEX('Form Responses'!$I$1:$Q$200,7,$A47)&amp;", ")),ISNUMBER(SEARCH(", "&amp;$B47&amp;", ", ", "&amp;INDEX('Form Responses'!$R$1:$R$200,7)&amp;", "))),1,""))</f>
        <v/>
      </c>
      <c r="J47">
        <f>IF(Wizards!$A$8="","",IF(OR(ISNUMBER(SEARCH(", "&amp;$B47&amp;", ", ", "&amp;INDEX('Form Responses'!$I$1:$Q$200,8,$A47)&amp;", ")),ISNUMBER(SEARCH(", "&amp;$B47&amp;", ", ", "&amp;INDEX('Form Responses'!$R$1:$R$200,8)&amp;", "))),1,""))</f>
        <v/>
      </c>
      <c r="K47">
        <f>IF(Wizards!$A$9="","",IF(OR(ISNUMBER(SEARCH(", "&amp;$B47&amp;", ", ", "&amp;INDEX('Form Responses'!$I$1:$Q$200,9,$A47)&amp;", ")),ISNUMBER(SEARCH(", "&amp;$B47&amp;", ", ", "&amp;INDEX('Form Responses'!$R$1:$R$200,9)&amp;", "))),1,""))</f>
        <v/>
      </c>
      <c r="L47">
        <f>IF(Wizards!$A$10="","",IF(OR(ISNUMBER(SEARCH(", "&amp;$B47&amp;", ", ", "&amp;INDEX('Form Responses'!$I$1:$Q$200,10,$A47)&amp;", ")),ISNUMBER(SEARCH(", "&amp;$B47&amp;", ", ", "&amp;INDEX('Form Responses'!$R$1:$R$200,10)&amp;", "))),1,""))</f>
        <v/>
      </c>
      <c r="M47">
        <f>IF(Wizards!$A$11="","",IF(OR(ISNUMBER(SEARCH(", "&amp;$B47&amp;", ", ", "&amp;INDEX('Form Responses'!$I$1:$Q$200,11,$A47)&amp;", ")),ISNUMBER(SEARCH(", "&amp;$B47&amp;", ", ", "&amp;INDEX('Form Responses'!$R$1:$R$200,11)&amp;", "))),1,""))</f>
        <v/>
      </c>
      <c r="N47">
        <f>IF(Wizards!$A$12="","",IF(OR(ISNUMBER(SEARCH(", "&amp;$B47&amp;", ", ", "&amp;INDEX('Form Responses'!$I$1:$Q$200,12,$A47)&amp;", ")),ISNUMBER(SEARCH(", "&amp;$B47&amp;", ", ", "&amp;INDEX('Form Responses'!$R$1:$R$200,12)&amp;", "))),1,""))</f>
        <v/>
      </c>
      <c r="O47">
        <f>IF(Wizards!$A$13="","",IF(OR(ISNUMBER(SEARCH(", "&amp;$B47&amp;", ", ", "&amp;INDEX('Form Responses'!$I$1:$Q$200,13,$A47)&amp;", ")),ISNUMBER(SEARCH(", "&amp;$B47&amp;", ", ", "&amp;INDEX('Form Responses'!$R$1:$R$200,13)&amp;", "))),1,""))</f>
        <v/>
      </c>
      <c r="P47">
        <f>IF(Wizards!$A$14="","",IF(OR(ISNUMBER(SEARCH(", "&amp;$B47&amp;", ", ", "&amp;INDEX('Form Responses'!$I$1:$Q$200,14,$A47)&amp;", ")),ISNUMBER(SEARCH(", "&amp;$B47&amp;", ", ", "&amp;INDEX('Form Responses'!$R$1:$R$200,14)&amp;", "))),1,""))</f>
        <v/>
      </c>
      <c r="Q47">
        <f>IF(Wizards!$A$15="","",IF(OR(ISNUMBER(SEARCH(", "&amp;$B47&amp;", ", ", "&amp;INDEX('Form Responses'!$I$1:$Q$200,15,$A47)&amp;", ")),ISNUMBER(SEARCH(", "&amp;$B47&amp;", ", ", "&amp;INDEX('Form Responses'!$R$1:$R$200,15)&amp;", "))),1,""))</f>
        <v/>
      </c>
      <c r="R47">
        <f>IF(Wizards!$A$16="","",IF(OR(ISNUMBER(SEARCH(", "&amp;$B47&amp;", ", ", "&amp;INDEX('Form Responses'!$I$1:$Q$200,16,$A47)&amp;", ")),ISNUMBER(SEARCH(", "&amp;$B47&amp;", ", ", "&amp;INDEX('Form Responses'!$R$1:$R$200,16)&amp;", "))),1,""))</f>
        <v/>
      </c>
      <c r="S47">
        <f>IF(Wizards!$A$17="","",IF(OR(ISNUMBER(SEARCH(", "&amp;$B47&amp;", ", ", "&amp;INDEX('Form Responses'!$I$1:$Q$200,17,$A47)&amp;", ")),ISNUMBER(SEARCH(", "&amp;$B47&amp;", ", ", "&amp;INDEX('Form Responses'!$R$1:$R$200,17)&amp;", "))),1,""))</f>
        <v/>
      </c>
      <c r="T47">
        <f>IF(Wizards!$A$18="","",IF(OR(ISNUMBER(SEARCH(", "&amp;$B47&amp;", ", ", "&amp;INDEX('Form Responses'!$I$1:$Q$200,18,$A47)&amp;", ")),ISNUMBER(SEARCH(", "&amp;$B47&amp;", ", ", "&amp;INDEX('Form Responses'!$R$1:$R$200,18)&amp;", "))),1,""))</f>
        <v/>
      </c>
      <c r="U47">
        <f>IF(Wizards!$A$19="","",IF(OR(ISNUMBER(SEARCH(", "&amp;$B47&amp;", ", ", "&amp;INDEX('Form Responses'!$I$1:$Q$200,19,$A47)&amp;", ")),ISNUMBER(SEARCH(", "&amp;$B47&amp;", ", ", "&amp;INDEX('Form Responses'!$R$1:$R$200,19)&amp;", "))),1,""))</f>
        <v/>
      </c>
      <c r="V47">
        <f>IF(Wizards!$A$20="","",IF(OR(ISNUMBER(SEARCH(", "&amp;$B47&amp;", ", ", "&amp;INDEX('Form Responses'!$I$1:$Q$200,20,$A47)&amp;", ")),ISNUMBER(SEARCH(", "&amp;$B47&amp;", ", ", "&amp;INDEX('Form Responses'!$R$1:$R$200,20)&amp;", "))),1,""))</f>
        <v/>
      </c>
      <c r="W47">
        <f>IF(Wizards!$A$21="","",IF(OR(ISNUMBER(SEARCH(", "&amp;$B47&amp;", ", ", "&amp;INDEX('Form Responses'!$I$1:$Q$200,21,$A47)&amp;", ")),ISNUMBER(SEARCH(", "&amp;$B47&amp;", ", ", "&amp;INDEX('Form Responses'!$R$1:$R$200,21)&amp;", "))),1,""))</f>
        <v/>
      </c>
      <c r="X47">
        <f>IF(Wizards!$A$22="","",IF(OR(ISNUMBER(SEARCH(", "&amp;$B47&amp;", ", ", "&amp;INDEX('Form Responses'!$I$1:$Q$200,22,$A47)&amp;", ")),ISNUMBER(SEARCH(", "&amp;$B47&amp;", ", ", "&amp;INDEX('Form Responses'!$R$1:$R$200,22)&amp;", "))),1,""))</f>
        <v/>
      </c>
      <c r="Y47">
        <f>IF(Wizards!$A$23="","",IF(OR(ISNUMBER(SEARCH(", "&amp;$B47&amp;", ", ", "&amp;INDEX('Form Responses'!$I$1:$Q$200,23,$A47)&amp;", ")),ISNUMBER(SEARCH(", "&amp;$B47&amp;", ", ", "&amp;INDEX('Form Responses'!$R$1:$R$200,23)&amp;", "))),1,""))</f>
        <v/>
      </c>
      <c r="Z47">
        <f>IF(Wizards!$A$24="","",IF(OR(ISNUMBER(SEARCH(", "&amp;$B47&amp;", ", ", "&amp;INDEX('Form Responses'!$I$1:$Q$200,24,$A47)&amp;", ")),ISNUMBER(SEARCH(", "&amp;$B47&amp;", ", ", "&amp;INDEX('Form Responses'!$R$1:$R$200,24)&amp;", "))),1,""))</f>
        <v/>
      </c>
      <c r="AA47">
        <f>IF(Wizards!$A$25="","",IF(OR(ISNUMBER(SEARCH(", "&amp;$B47&amp;", ", ", "&amp;INDEX('Form Responses'!$I$1:$Q$200,25,$A47)&amp;", ")),ISNUMBER(SEARCH(", "&amp;$B47&amp;", ", ", "&amp;INDEX('Form Responses'!$R$1:$R$200,25)&amp;", "))),1,""))</f>
        <v/>
      </c>
      <c r="AB47">
        <f>IF(D47=1,", "&amp;D$1,"")</f>
        <v/>
      </c>
      <c r="AC47">
        <f>IF(E47=1,", "&amp;E$1,"")</f>
        <v/>
      </c>
      <c r="AD47">
        <f>IF(F47=1,", "&amp;F$1,"")</f>
        <v/>
      </c>
      <c r="AE47">
        <f>IF(G47=1,", "&amp;G$1,"")</f>
        <v/>
      </c>
      <c r="AF47">
        <f>IF(H47=1,", "&amp;H$1,"")</f>
        <v/>
      </c>
      <c r="AG47">
        <f>IF(I47=1,", "&amp;I$1,"")</f>
        <v/>
      </c>
      <c r="AH47">
        <f>IF(J47=1,", "&amp;J$1,"")</f>
        <v/>
      </c>
      <c r="AI47">
        <f>IF(K47=1,", "&amp;K$1,"")</f>
        <v/>
      </c>
      <c r="AJ47">
        <f>IF(L47=1,", "&amp;L$1,"")</f>
        <v/>
      </c>
      <c r="AK47">
        <f>IF(M47=1,", "&amp;M$1,"")</f>
        <v/>
      </c>
      <c r="AL47">
        <f>IF(N47=1,", "&amp;N$1,"")</f>
        <v/>
      </c>
      <c r="AM47">
        <f>IF(O47=1,", "&amp;O$1,"")</f>
        <v/>
      </c>
      <c r="AN47">
        <f>IF(P47=1,", "&amp;P$1,"")</f>
        <v/>
      </c>
      <c r="AO47">
        <f>IF(Q47=1,", "&amp;Q$1,"")</f>
        <v/>
      </c>
      <c r="AP47">
        <f>IF(R47=1,", "&amp;R$1,"")</f>
        <v/>
      </c>
      <c r="AQ47">
        <f>IF(S47=1,", "&amp;S$1,"")</f>
        <v/>
      </c>
      <c r="AR47">
        <f>IF(T47=1,", "&amp;T$1,"")</f>
        <v/>
      </c>
      <c r="AS47">
        <f>IF(U47=1,", "&amp;U$1,"")</f>
        <v/>
      </c>
      <c r="AT47">
        <f>IF(V47=1,", "&amp;V$1,"")</f>
        <v/>
      </c>
      <c r="AU47">
        <f>IF(W47=1,", "&amp;W$1,"")</f>
        <v/>
      </c>
      <c r="AV47">
        <f>IF(X47=1,", "&amp;X$1,"")</f>
        <v/>
      </c>
      <c r="AW47">
        <f>IF(Y47=1,", "&amp;Y$1,"")</f>
        <v/>
      </c>
      <c r="AX47">
        <f>IF(Z47=1,", "&amp;Z$1,"")</f>
        <v/>
      </c>
      <c r="AY47">
        <f>IF(AA47=1,", "&amp;AA$1,"")</f>
        <v/>
      </c>
      <c r="AZ47">
        <f>MID($AB47&amp;$AC47&amp;$AD47&amp;$AE47&amp;$AF47&amp;$AG47&amp;$AH47&amp;$AI47&amp;$AJ47&amp;$AK47&amp;$AL47&amp;$AM47&amp;$AN47&amp;$AO47&amp;$AP47&amp;$AQ47&amp;$AR47&amp;$AS47&amp;$AT47&amp;$AU47&amp;$AV47&amp;$AW47&amp;$AX47&amp;$AY47,3,32767)</f>
        <v/>
      </c>
      <c r="BA47">
        <f>COUNT($D47:$AA47)</f>
        <v/>
      </c>
    </row>
    <row r="48">
      <c r="A48" t="n">
        <v>2</v>
      </c>
      <c r="B48" t="inlineStr">
        <is>
          <t>Battle Familiar</t>
        </is>
      </c>
      <c r="C48" t="inlineStr">
        <is>
          <t>Conjuration</t>
        </is>
      </c>
      <c r="D48">
        <f>IF(Wizards!$A$2="","",IF(OR(ISNUMBER(SEARCH(", "&amp;$B48&amp;", ", ", "&amp;INDEX('Form Responses'!$I$1:$Q$200,2,$A48)&amp;", ")),ISNUMBER(SEARCH(", "&amp;$B48&amp;", ", ", "&amp;INDEX('Form Responses'!$R$1:$R$200,2)&amp;", "))),1,""))</f>
        <v/>
      </c>
      <c r="E48">
        <f>IF(Wizards!$A$3="","",IF(OR(ISNUMBER(SEARCH(", "&amp;$B48&amp;", ", ", "&amp;INDEX('Form Responses'!$I$1:$Q$200,3,$A48)&amp;", ")),ISNUMBER(SEARCH(", "&amp;$B48&amp;", ", ", "&amp;INDEX('Form Responses'!$R$1:$R$200,3)&amp;", "))),1,""))</f>
        <v/>
      </c>
      <c r="F48">
        <f>IF(Wizards!$A$4="","",IF(OR(ISNUMBER(SEARCH(", "&amp;$B48&amp;", ", ", "&amp;INDEX('Form Responses'!$I$1:$Q$200,4,$A48)&amp;", ")),ISNUMBER(SEARCH(", "&amp;$B48&amp;", ", ", "&amp;INDEX('Form Responses'!$R$1:$R$200,4)&amp;", "))),1,""))</f>
        <v/>
      </c>
      <c r="G48">
        <f>IF(Wizards!$A$5="","",IF(OR(ISNUMBER(SEARCH(", "&amp;$B48&amp;", ", ", "&amp;INDEX('Form Responses'!$I$1:$Q$200,5,$A48)&amp;", ")),ISNUMBER(SEARCH(", "&amp;$B48&amp;", ", ", "&amp;INDEX('Form Responses'!$R$1:$R$200,5)&amp;", "))),1,""))</f>
        <v/>
      </c>
      <c r="H48">
        <f>IF(Wizards!$A$6="","",IF(OR(ISNUMBER(SEARCH(", "&amp;$B48&amp;", ", ", "&amp;INDEX('Form Responses'!$I$1:$Q$200,6,$A48)&amp;", ")),ISNUMBER(SEARCH(", "&amp;$B48&amp;", ", ", "&amp;INDEX('Form Responses'!$R$1:$R$200,6)&amp;", "))),1,""))</f>
        <v/>
      </c>
      <c r="I48">
        <f>IF(Wizards!$A$7="","",IF(OR(ISNUMBER(SEARCH(", "&amp;$B48&amp;", ", ", "&amp;INDEX('Form Responses'!$I$1:$Q$200,7,$A48)&amp;", ")),ISNUMBER(SEARCH(", "&amp;$B48&amp;", ", ", "&amp;INDEX('Form Responses'!$R$1:$R$200,7)&amp;", "))),1,""))</f>
        <v/>
      </c>
      <c r="J48">
        <f>IF(Wizards!$A$8="","",IF(OR(ISNUMBER(SEARCH(", "&amp;$B48&amp;", ", ", "&amp;INDEX('Form Responses'!$I$1:$Q$200,8,$A48)&amp;", ")),ISNUMBER(SEARCH(", "&amp;$B48&amp;", ", ", "&amp;INDEX('Form Responses'!$R$1:$R$200,8)&amp;", "))),1,""))</f>
        <v/>
      </c>
      <c r="K48">
        <f>IF(Wizards!$A$9="","",IF(OR(ISNUMBER(SEARCH(", "&amp;$B48&amp;", ", ", "&amp;INDEX('Form Responses'!$I$1:$Q$200,9,$A48)&amp;", ")),ISNUMBER(SEARCH(", "&amp;$B48&amp;", ", ", "&amp;INDEX('Form Responses'!$R$1:$R$200,9)&amp;", "))),1,""))</f>
        <v/>
      </c>
      <c r="L48">
        <f>IF(Wizards!$A$10="","",IF(OR(ISNUMBER(SEARCH(", "&amp;$B48&amp;", ", ", "&amp;INDEX('Form Responses'!$I$1:$Q$200,10,$A48)&amp;", ")),ISNUMBER(SEARCH(", "&amp;$B48&amp;", ", ", "&amp;INDEX('Form Responses'!$R$1:$R$200,10)&amp;", "))),1,""))</f>
        <v/>
      </c>
      <c r="M48">
        <f>IF(Wizards!$A$11="","",IF(OR(ISNUMBER(SEARCH(", "&amp;$B48&amp;", ", ", "&amp;INDEX('Form Responses'!$I$1:$Q$200,11,$A48)&amp;", ")),ISNUMBER(SEARCH(", "&amp;$B48&amp;", ", ", "&amp;INDEX('Form Responses'!$R$1:$R$200,11)&amp;", "))),1,""))</f>
        <v/>
      </c>
      <c r="N48">
        <f>IF(Wizards!$A$12="","",IF(OR(ISNUMBER(SEARCH(", "&amp;$B48&amp;", ", ", "&amp;INDEX('Form Responses'!$I$1:$Q$200,12,$A48)&amp;", ")),ISNUMBER(SEARCH(", "&amp;$B48&amp;", ", ", "&amp;INDEX('Form Responses'!$R$1:$R$200,12)&amp;", "))),1,""))</f>
        <v/>
      </c>
      <c r="O48">
        <f>IF(Wizards!$A$13="","",IF(OR(ISNUMBER(SEARCH(", "&amp;$B48&amp;", ", ", "&amp;INDEX('Form Responses'!$I$1:$Q$200,13,$A48)&amp;", ")),ISNUMBER(SEARCH(", "&amp;$B48&amp;", ", ", "&amp;INDEX('Form Responses'!$R$1:$R$200,13)&amp;", "))),1,""))</f>
        <v/>
      </c>
      <c r="P48">
        <f>IF(Wizards!$A$14="","",IF(OR(ISNUMBER(SEARCH(", "&amp;$B48&amp;", ", ", "&amp;INDEX('Form Responses'!$I$1:$Q$200,14,$A48)&amp;", ")),ISNUMBER(SEARCH(", "&amp;$B48&amp;", ", ", "&amp;INDEX('Form Responses'!$R$1:$R$200,14)&amp;", "))),1,""))</f>
        <v/>
      </c>
      <c r="Q48">
        <f>IF(Wizards!$A$15="","",IF(OR(ISNUMBER(SEARCH(", "&amp;$B48&amp;", ", ", "&amp;INDEX('Form Responses'!$I$1:$Q$200,15,$A48)&amp;", ")),ISNUMBER(SEARCH(", "&amp;$B48&amp;", ", ", "&amp;INDEX('Form Responses'!$R$1:$R$200,15)&amp;", "))),1,""))</f>
        <v/>
      </c>
      <c r="R48">
        <f>IF(Wizards!$A$16="","",IF(OR(ISNUMBER(SEARCH(", "&amp;$B48&amp;", ", ", "&amp;INDEX('Form Responses'!$I$1:$Q$200,16,$A48)&amp;", ")),ISNUMBER(SEARCH(", "&amp;$B48&amp;", ", ", "&amp;INDEX('Form Responses'!$R$1:$R$200,16)&amp;", "))),1,""))</f>
        <v/>
      </c>
      <c r="S48">
        <f>IF(Wizards!$A$17="","",IF(OR(ISNUMBER(SEARCH(", "&amp;$B48&amp;", ", ", "&amp;INDEX('Form Responses'!$I$1:$Q$200,17,$A48)&amp;", ")),ISNUMBER(SEARCH(", "&amp;$B48&amp;", ", ", "&amp;INDEX('Form Responses'!$R$1:$R$200,17)&amp;", "))),1,""))</f>
        <v/>
      </c>
      <c r="T48">
        <f>IF(Wizards!$A$18="","",IF(OR(ISNUMBER(SEARCH(", "&amp;$B48&amp;", ", ", "&amp;INDEX('Form Responses'!$I$1:$Q$200,18,$A48)&amp;", ")),ISNUMBER(SEARCH(", "&amp;$B48&amp;", ", ", "&amp;INDEX('Form Responses'!$R$1:$R$200,18)&amp;", "))),1,""))</f>
        <v/>
      </c>
      <c r="U48">
        <f>IF(Wizards!$A$19="","",IF(OR(ISNUMBER(SEARCH(", "&amp;$B48&amp;", ", ", "&amp;INDEX('Form Responses'!$I$1:$Q$200,19,$A48)&amp;", ")),ISNUMBER(SEARCH(", "&amp;$B48&amp;", ", ", "&amp;INDEX('Form Responses'!$R$1:$R$200,19)&amp;", "))),1,""))</f>
        <v/>
      </c>
      <c r="V48">
        <f>IF(Wizards!$A$20="","",IF(OR(ISNUMBER(SEARCH(", "&amp;$B48&amp;", ", ", "&amp;INDEX('Form Responses'!$I$1:$Q$200,20,$A48)&amp;", ")),ISNUMBER(SEARCH(", "&amp;$B48&amp;", ", ", "&amp;INDEX('Form Responses'!$R$1:$R$200,20)&amp;", "))),1,""))</f>
        <v/>
      </c>
      <c r="W48">
        <f>IF(Wizards!$A$21="","",IF(OR(ISNUMBER(SEARCH(", "&amp;$B48&amp;", ", ", "&amp;INDEX('Form Responses'!$I$1:$Q$200,21,$A48)&amp;", ")),ISNUMBER(SEARCH(", "&amp;$B48&amp;", ", ", "&amp;INDEX('Form Responses'!$R$1:$R$200,21)&amp;", "))),1,""))</f>
        <v/>
      </c>
      <c r="X48">
        <f>IF(Wizards!$A$22="","",IF(OR(ISNUMBER(SEARCH(", "&amp;$B48&amp;", ", ", "&amp;INDEX('Form Responses'!$I$1:$Q$200,22,$A48)&amp;", ")),ISNUMBER(SEARCH(", "&amp;$B48&amp;", ", ", "&amp;INDEX('Form Responses'!$R$1:$R$200,22)&amp;", "))),1,""))</f>
        <v/>
      </c>
      <c r="Y48">
        <f>IF(Wizards!$A$23="","",IF(OR(ISNUMBER(SEARCH(", "&amp;$B48&amp;", ", ", "&amp;INDEX('Form Responses'!$I$1:$Q$200,23,$A48)&amp;", ")),ISNUMBER(SEARCH(", "&amp;$B48&amp;", ", ", "&amp;INDEX('Form Responses'!$R$1:$R$200,23)&amp;", "))),1,""))</f>
        <v/>
      </c>
      <c r="Z48">
        <f>IF(Wizards!$A$24="","",IF(OR(ISNUMBER(SEARCH(", "&amp;$B48&amp;", ", ", "&amp;INDEX('Form Responses'!$I$1:$Q$200,24,$A48)&amp;", ")),ISNUMBER(SEARCH(", "&amp;$B48&amp;", ", ", "&amp;INDEX('Form Responses'!$R$1:$R$200,24)&amp;", "))),1,""))</f>
        <v/>
      </c>
      <c r="AA48">
        <f>IF(Wizards!$A$25="","",IF(OR(ISNUMBER(SEARCH(", "&amp;$B48&amp;", ", ", "&amp;INDEX('Form Responses'!$I$1:$Q$200,25,$A48)&amp;", ")),ISNUMBER(SEARCH(", "&amp;$B48&amp;", ", ", "&amp;INDEX('Form Responses'!$R$1:$R$200,25)&amp;", "))),1,""))</f>
        <v/>
      </c>
      <c r="AB48">
        <f>IF(D48=1,", "&amp;D$1,"")</f>
        <v/>
      </c>
      <c r="AC48">
        <f>IF(E48=1,", "&amp;E$1,"")</f>
        <v/>
      </c>
      <c r="AD48">
        <f>IF(F48=1,", "&amp;F$1,"")</f>
        <v/>
      </c>
      <c r="AE48">
        <f>IF(G48=1,", "&amp;G$1,"")</f>
        <v/>
      </c>
      <c r="AF48">
        <f>IF(H48=1,", "&amp;H$1,"")</f>
        <v/>
      </c>
      <c r="AG48">
        <f>IF(I48=1,", "&amp;I$1,"")</f>
        <v/>
      </c>
      <c r="AH48">
        <f>IF(J48=1,", "&amp;J$1,"")</f>
        <v/>
      </c>
      <c r="AI48">
        <f>IF(K48=1,", "&amp;K$1,"")</f>
        <v/>
      </c>
      <c r="AJ48">
        <f>IF(L48=1,", "&amp;L$1,"")</f>
        <v/>
      </c>
      <c r="AK48">
        <f>IF(M48=1,", "&amp;M$1,"")</f>
        <v/>
      </c>
      <c r="AL48">
        <f>IF(N48=1,", "&amp;N$1,"")</f>
        <v/>
      </c>
      <c r="AM48">
        <f>IF(O48=1,", "&amp;O$1,"")</f>
        <v/>
      </c>
      <c r="AN48">
        <f>IF(P48=1,", "&amp;P$1,"")</f>
        <v/>
      </c>
      <c r="AO48">
        <f>IF(Q48=1,", "&amp;Q$1,"")</f>
        <v/>
      </c>
      <c r="AP48">
        <f>IF(R48=1,", "&amp;R$1,"")</f>
        <v/>
      </c>
      <c r="AQ48">
        <f>IF(S48=1,", "&amp;S$1,"")</f>
        <v/>
      </c>
      <c r="AR48">
        <f>IF(T48=1,", "&amp;T$1,"")</f>
        <v/>
      </c>
      <c r="AS48">
        <f>IF(U48=1,", "&amp;U$1,"")</f>
        <v/>
      </c>
      <c r="AT48">
        <f>IF(V48=1,", "&amp;V$1,"")</f>
        <v/>
      </c>
      <c r="AU48">
        <f>IF(W48=1,", "&amp;W$1,"")</f>
        <v/>
      </c>
      <c r="AV48">
        <f>IF(X48=1,", "&amp;X$1,"")</f>
        <v/>
      </c>
      <c r="AW48">
        <f>IF(Y48=1,", "&amp;Y$1,"")</f>
        <v/>
      </c>
      <c r="AX48">
        <f>IF(Z48=1,", "&amp;Z$1,"")</f>
        <v/>
      </c>
      <c r="AY48">
        <f>IF(AA48=1,", "&amp;AA$1,"")</f>
        <v/>
      </c>
      <c r="AZ48">
        <f>MID($AB48&amp;$AC48&amp;$AD48&amp;$AE48&amp;$AF48&amp;$AG48&amp;$AH48&amp;$AI48&amp;$AJ48&amp;$AK48&amp;$AL48&amp;$AM48&amp;$AN48&amp;$AO48&amp;$AP48&amp;$AQ48&amp;$AR48&amp;$AS48&amp;$AT48&amp;$AU48&amp;$AV48&amp;$AW48&amp;$AX48&amp;$AY48,3,32767)</f>
        <v/>
      </c>
      <c r="BA48">
        <f>COUNT($D48:$AA48)</f>
        <v/>
      </c>
    </row>
    <row r="49">
      <c r="A49" t="n">
        <v>2</v>
      </c>
      <c r="B49" t="inlineStr">
        <is>
          <t>Blindness/Deafness</t>
        </is>
      </c>
      <c r="C49" t="inlineStr">
        <is>
          <t>Transmutation</t>
        </is>
      </c>
      <c r="D49">
        <f>IF(Wizards!$A$2="","",IF(OR(ISNUMBER(SEARCH(", "&amp;$B49&amp;", ", ", "&amp;INDEX('Form Responses'!$I$1:$Q$200,2,$A49)&amp;", ")),ISNUMBER(SEARCH(", "&amp;$B49&amp;", ", ", "&amp;INDEX('Form Responses'!$R$1:$R$200,2)&amp;", "))),1,""))</f>
        <v/>
      </c>
      <c r="E49">
        <f>IF(Wizards!$A$3="","",IF(OR(ISNUMBER(SEARCH(", "&amp;$B49&amp;", ", ", "&amp;INDEX('Form Responses'!$I$1:$Q$200,3,$A49)&amp;", ")),ISNUMBER(SEARCH(", "&amp;$B49&amp;", ", ", "&amp;INDEX('Form Responses'!$R$1:$R$200,3)&amp;", "))),1,""))</f>
        <v/>
      </c>
      <c r="F49">
        <f>IF(Wizards!$A$4="","",IF(OR(ISNUMBER(SEARCH(", "&amp;$B49&amp;", ", ", "&amp;INDEX('Form Responses'!$I$1:$Q$200,4,$A49)&amp;", ")),ISNUMBER(SEARCH(", "&amp;$B49&amp;", ", ", "&amp;INDEX('Form Responses'!$R$1:$R$200,4)&amp;", "))),1,""))</f>
        <v/>
      </c>
      <c r="G49">
        <f>IF(Wizards!$A$5="","",IF(OR(ISNUMBER(SEARCH(", "&amp;$B49&amp;", ", ", "&amp;INDEX('Form Responses'!$I$1:$Q$200,5,$A49)&amp;", ")),ISNUMBER(SEARCH(", "&amp;$B49&amp;", ", ", "&amp;INDEX('Form Responses'!$R$1:$R$200,5)&amp;", "))),1,""))</f>
        <v/>
      </c>
      <c r="H49">
        <f>IF(Wizards!$A$6="","",IF(OR(ISNUMBER(SEARCH(", "&amp;$B49&amp;", ", ", "&amp;INDEX('Form Responses'!$I$1:$Q$200,6,$A49)&amp;", ")),ISNUMBER(SEARCH(", "&amp;$B49&amp;", ", ", "&amp;INDEX('Form Responses'!$R$1:$R$200,6)&amp;", "))),1,""))</f>
        <v/>
      </c>
      <c r="I49">
        <f>IF(Wizards!$A$7="","",IF(OR(ISNUMBER(SEARCH(", "&amp;$B49&amp;", ", ", "&amp;INDEX('Form Responses'!$I$1:$Q$200,7,$A49)&amp;", ")),ISNUMBER(SEARCH(", "&amp;$B49&amp;", ", ", "&amp;INDEX('Form Responses'!$R$1:$R$200,7)&amp;", "))),1,""))</f>
        <v/>
      </c>
      <c r="J49">
        <f>IF(Wizards!$A$8="","",IF(OR(ISNUMBER(SEARCH(", "&amp;$B49&amp;", ", ", "&amp;INDEX('Form Responses'!$I$1:$Q$200,8,$A49)&amp;", ")),ISNUMBER(SEARCH(", "&amp;$B49&amp;", ", ", "&amp;INDEX('Form Responses'!$R$1:$R$200,8)&amp;", "))),1,""))</f>
        <v/>
      </c>
      <c r="K49">
        <f>IF(Wizards!$A$9="","",IF(OR(ISNUMBER(SEARCH(", "&amp;$B49&amp;", ", ", "&amp;INDEX('Form Responses'!$I$1:$Q$200,9,$A49)&amp;", ")),ISNUMBER(SEARCH(", "&amp;$B49&amp;", ", ", "&amp;INDEX('Form Responses'!$R$1:$R$200,9)&amp;", "))),1,""))</f>
        <v/>
      </c>
      <c r="L49">
        <f>IF(Wizards!$A$10="","",IF(OR(ISNUMBER(SEARCH(", "&amp;$B49&amp;", ", ", "&amp;INDEX('Form Responses'!$I$1:$Q$200,10,$A49)&amp;", ")),ISNUMBER(SEARCH(", "&amp;$B49&amp;", ", ", "&amp;INDEX('Form Responses'!$R$1:$R$200,10)&amp;", "))),1,""))</f>
        <v/>
      </c>
      <c r="M49">
        <f>IF(Wizards!$A$11="","",IF(OR(ISNUMBER(SEARCH(", "&amp;$B49&amp;", ", ", "&amp;INDEX('Form Responses'!$I$1:$Q$200,11,$A49)&amp;", ")),ISNUMBER(SEARCH(", "&amp;$B49&amp;", ", ", "&amp;INDEX('Form Responses'!$R$1:$R$200,11)&amp;", "))),1,""))</f>
        <v/>
      </c>
      <c r="N49">
        <f>IF(Wizards!$A$12="","",IF(OR(ISNUMBER(SEARCH(", "&amp;$B49&amp;", ", ", "&amp;INDEX('Form Responses'!$I$1:$Q$200,12,$A49)&amp;", ")),ISNUMBER(SEARCH(", "&amp;$B49&amp;", ", ", "&amp;INDEX('Form Responses'!$R$1:$R$200,12)&amp;", "))),1,""))</f>
        <v/>
      </c>
      <c r="O49">
        <f>IF(Wizards!$A$13="","",IF(OR(ISNUMBER(SEARCH(", "&amp;$B49&amp;", ", ", "&amp;INDEX('Form Responses'!$I$1:$Q$200,13,$A49)&amp;", ")),ISNUMBER(SEARCH(", "&amp;$B49&amp;", ", ", "&amp;INDEX('Form Responses'!$R$1:$R$200,13)&amp;", "))),1,""))</f>
        <v/>
      </c>
      <c r="P49">
        <f>IF(Wizards!$A$14="","",IF(OR(ISNUMBER(SEARCH(", "&amp;$B49&amp;", ", ", "&amp;INDEX('Form Responses'!$I$1:$Q$200,14,$A49)&amp;", ")),ISNUMBER(SEARCH(", "&amp;$B49&amp;", ", ", "&amp;INDEX('Form Responses'!$R$1:$R$200,14)&amp;", "))),1,""))</f>
        <v/>
      </c>
      <c r="Q49">
        <f>IF(Wizards!$A$15="","",IF(OR(ISNUMBER(SEARCH(", "&amp;$B49&amp;", ", ", "&amp;INDEX('Form Responses'!$I$1:$Q$200,15,$A49)&amp;", ")),ISNUMBER(SEARCH(", "&amp;$B49&amp;", ", ", "&amp;INDEX('Form Responses'!$R$1:$R$200,15)&amp;", "))),1,""))</f>
        <v/>
      </c>
      <c r="R49">
        <f>IF(Wizards!$A$16="","",IF(OR(ISNUMBER(SEARCH(", "&amp;$B49&amp;", ", ", "&amp;INDEX('Form Responses'!$I$1:$Q$200,16,$A49)&amp;", ")),ISNUMBER(SEARCH(", "&amp;$B49&amp;", ", ", "&amp;INDEX('Form Responses'!$R$1:$R$200,16)&amp;", "))),1,""))</f>
        <v/>
      </c>
      <c r="S49">
        <f>IF(Wizards!$A$17="","",IF(OR(ISNUMBER(SEARCH(", "&amp;$B49&amp;", ", ", "&amp;INDEX('Form Responses'!$I$1:$Q$200,17,$A49)&amp;", ")),ISNUMBER(SEARCH(", "&amp;$B49&amp;", ", ", "&amp;INDEX('Form Responses'!$R$1:$R$200,17)&amp;", "))),1,""))</f>
        <v/>
      </c>
      <c r="T49">
        <f>IF(Wizards!$A$18="","",IF(OR(ISNUMBER(SEARCH(", "&amp;$B49&amp;", ", ", "&amp;INDEX('Form Responses'!$I$1:$Q$200,18,$A49)&amp;", ")),ISNUMBER(SEARCH(", "&amp;$B49&amp;", ", ", "&amp;INDEX('Form Responses'!$R$1:$R$200,18)&amp;", "))),1,""))</f>
        <v/>
      </c>
      <c r="U49">
        <f>IF(Wizards!$A$19="","",IF(OR(ISNUMBER(SEARCH(", "&amp;$B49&amp;", ", ", "&amp;INDEX('Form Responses'!$I$1:$Q$200,19,$A49)&amp;", ")),ISNUMBER(SEARCH(", "&amp;$B49&amp;", ", ", "&amp;INDEX('Form Responses'!$R$1:$R$200,19)&amp;", "))),1,""))</f>
        <v/>
      </c>
      <c r="V49">
        <f>IF(Wizards!$A$20="","",IF(OR(ISNUMBER(SEARCH(", "&amp;$B49&amp;", ", ", "&amp;INDEX('Form Responses'!$I$1:$Q$200,20,$A49)&amp;", ")),ISNUMBER(SEARCH(", "&amp;$B49&amp;", ", ", "&amp;INDEX('Form Responses'!$R$1:$R$200,20)&amp;", "))),1,""))</f>
        <v/>
      </c>
      <c r="W49">
        <f>IF(Wizards!$A$21="","",IF(OR(ISNUMBER(SEARCH(", "&amp;$B49&amp;", ", ", "&amp;INDEX('Form Responses'!$I$1:$Q$200,21,$A49)&amp;", ")),ISNUMBER(SEARCH(", "&amp;$B49&amp;", ", ", "&amp;INDEX('Form Responses'!$R$1:$R$200,21)&amp;", "))),1,""))</f>
        <v/>
      </c>
      <c r="X49">
        <f>IF(Wizards!$A$22="","",IF(OR(ISNUMBER(SEARCH(", "&amp;$B49&amp;", ", ", "&amp;INDEX('Form Responses'!$I$1:$Q$200,22,$A49)&amp;", ")),ISNUMBER(SEARCH(", "&amp;$B49&amp;", ", ", "&amp;INDEX('Form Responses'!$R$1:$R$200,22)&amp;", "))),1,""))</f>
        <v/>
      </c>
      <c r="Y49">
        <f>IF(Wizards!$A$23="","",IF(OR(ISNUMBER(SEARCH(", "&amp;$B49&amp;", ", ", "&amp;INDEX('Form Responses'!$I$1:$Q$200,23,$A49)&amp;", ")),ISNUMBER(SEARCH(", "&amp;$B49&amp;", ", ", "&amp;INDEX('Form Responses'!$R$1:$R$200,23)&amp;", "))),1,""))</f>
        <v/>
      </c>
      <c r="Z49">
        <f>IF(Wizards!$A$24="","",IF(OR(ISNUMBER(SEARCH(", "&amp;$B49&amp;", ", ", "&amp;INDEX('Form Responses'!$I$1:$Q$200,24,$A49)&amp;", ")),ISNUMBER(SEARCH(", "&amp;$B49&amp;", ", ", "&amp;INDEX('Form Responses'!$R$1:$R$200,24)&amp;", "))),1,""))</f>
        <v/>
      </c>
      <c r="AA49">
        <f>IF(Wizards!$A$25="","",IF(OR(ISNUMBER(SEARCH(", "&amp;$B49&amp;", ", ", "&amp;INDEX('Form Responses'!$I$1:$Q$200,25,$A49)&amp;", ")),ISNUMBER(SEARCH(", "&amp;$B49&amp;", ", ", "&amp;INDEX('Form Responses'!$R$1:$R$200,25)&amp;", "))),1,""))</f>
        <v/>
      </c>
      <c r="AB49">
        <f>IF(D49=1,", "&amp;D$1,"")</f>
        <v/>
      </c>
      <c r="AC49">
        <f>IF(E49=1,", "&amp;E$1,"")</f>
        <v/>
      </c>
      <c r="AD49">
        <f>IF(F49=1,", "&amp;F$1,"")</f>
        <v/>
      </c>
      <c r="AE49">
        <f>IF(G49=1,", "&amp;G$1,"")</f>
        <v/>
      </c>
      <c r="AF49">
        <f>IF(H49=1,", "&amp;H$1,"")</f>
        <v/>
      </c>
      <c r="AG49">
        <f>IF(I49=1,", "&amp;I$1,"")</f>
        <v/>
      </c>
      <c r="AH49">
        <f>IF(J49=1,", "&amp;J$1,"")</f>
        <v/>
      </c>
      <c r="AI49">
        <f>IF(K49=1,", "&amp;K$1,"")</f>
        <v/>
      </c>
      <c r="AJ49">
        <f>IF(L49=1,", "&amp;L$1,"")</f>
        <v/>
      </c>
      <c r="AK49">
        <f>IF(M49=1,", "&amp;M$1,"")</f>
        <v/>
      </c>
      <c r="AL49">
        <f>IF(N49=1,", "&amp;N$1,"")</f>
        <v/>
      </c>
      <c r="AM49">
        <f>IF(O49=1,", "&amp;O$1,"")</f>
        <v/>
      </c>
      <c r="AN49">
        <f>IF(P49=1,", "&amp;P$1,"")</f>
        <v/>
      </c>
      <c r="AO49">
        <f>IF(Q49=1,", "&amp;Q$1,"")</f>
        <v/>
      </c>
      <c r="AP49">
        <f>IF(R49=1,", "&amp;R$1,"")</f>
        <v/>
      </c>
      <c r="AQ49">
        <f>IF(S49=1,", "&amp;S$1,"")</f>
        <v/>
      </c>
      <c r="AR49">
        <f>IF(T49=1,", "&amp;T$1,"")</f>
        <v/>
      </c>
      <c r="AS49">
        <f>IF(U49=1,", "&amp;U$1,"")</f>
        <v/>
      </c>
      <c r="AT49">
        <f>IF(V49=1,", "&amp;V$1,"")</f>
        <v/>
      </c>
      <c r="AU49">
        <f>IF(W49=1,", "&amp;W$1,"")</f>
        <v/>
      </c>
      <c r="AV49">
        <f>IF(X49=1,", "&amp;X$1,"")</f>
        <v/>
      </c>
      <c r="AW49">
        <f>IF(Y49=1,", "&amp;Y$1,"")</f>
        <v/>
      </c>
      <c r="AX49">
        <f>IF(Z49=1,", "&amp;Z$1,"")</f>
        <v/>
      </c>
      <c r="AY49">
        <f>IF(AA49=1,", "&amp;AA$1,"")</f>
        <v/>
      </c>
      <c r="AZ49">
        <f>MID($AB49&amp;$AC49&amp;$AD49&amp;$AE49&amp;$AF49&amp;$AG49&amp;$AH49&amp;$AI49&amp;$AJ49&amp;$AK49&amp;$AL49&amp;$AM49&amp;$AN49&amp;$AO49&amp;$AP49&amp;$AQ49&amp;$AR49&amp;$AS49&amp;$AT49&amp;$AU49&amp;$AV49&amp;$AW49&amp;$AX49&amp;$AY49,3,32767)</f>
        <v/>
      </c>
      <c r="BA49">
        <f>COUNT($D49:$AA49)</f>
        <v/>
      </c>
    </row>
    <row r="50">
      <c r="A50" t="n">
        <v>2</v>
      </c>
      <c r="B50" t="inlineStr">
        <is>
          <t>Blur</t>
        </is>
      </c>
      <c r="C50" t="inlineStr">
        <is>
          <t>Illusion</t>
        </is>
      </c>
      <c r="D50">
        <f>IF(Wizards!$A$2="","",IF(OR(ISNUMBER(SEARCH(", "&amp;$B50&amp;", ", ", "&amp;INDEX('Form Responses'!$I$1:$Q$200,2,$A50)&amp;", ")),ISNUMBER(SEARCH(", "&amp;$B50&amp;", ", ", "&amp;INDEX('Form Responses'!$R$1:$R$200,2)&amp;", "))),1,""))</f>
        <v/>
      </c>
      <c r="E50">
        <f>IF(Wizards!$A$3="","",IF(OR(ISNUMBER(SEARCH(", "&amp;$B50&amp;", ", ", "&amp;INDEX('Form Responses'!$I$1:$Q$200,3,$A50)&amp;", ")),ISNUMBER(SEARCH(", "&amp;$B50&amp;", ", ", "&amp;INDEX('Form Responses'!$R$1:$R$200,3)&amp;", "))),1,""))</f>
        <v/>
      </c>
      <c r="F50">
        <f>IF(Wizards!$A$4="","",IF(OR(ISNUMBER(SEARCH(", "&amp;$B50&amp;", ", ", "&amp;INDEX('Form Responses'!$I$1:$Q$200,4,$A50)&amp;", ")),ISNUMBER(SEARCH(", "&amp;$B50&amp;", ", ", "&amp;INDEX('Form Responses'!$R$1:$R$200,4)&amp;", "))),1,""))</f>
        <v/>
      </c>
      <c r="G50">
        <f>IF(Wizards!$A$5="","",IF(OR(ISNUMBER(SEARCH(", "&amp;$B50&amp;", ", ", "&amp;INDEX('Form Responses'!$I$1:$Q$200,5,$A50)&amp;", ")),ISNUMBER(SEARCH(", "&amp;$B50&amp;", ", ", "&amp;INDEX('Form Responses'!$R$1:$R$200,5)&amp;", "))),1,""))</f>
        <v/>
      </c>
      <c r="H50">
        <f>IF(Wizards!$A$6="","",IF(OR(ISNUMBER(SEARCH(", "&amp;$B50&amp;", ", ", "&amp;INDEX('Form Responses'!$I$1:$Q$200,6,$A50)&amp;", ")),ISNUMBER(SEARCH(", "&amp;$B50&amp;", ", ", "&amp;INDEX('Form Responses'!$R$1:$R$200,6)&amp;", "))),1,""))</f>
        <v/>
      </c>
      <c r="I50">
        <f>IF(Wizards!$A$7="","",IF(OR(ISNUMBER(SEARCH(", "&amp;$B50&amp;", ", ", "&amp;INDEX('Form Responses'!$I$1:$Q$200,7,$A50)&amp;", ")),ISNUMBER(SEARCH(", "&amp;$B50&amp;", ", ", "&amp;INDEX('Form Responses'!$R$1:$R$200,7)&amp;", "))),1,""))</f>
        <v/>
      </c>
      <c r="J50">
        <f>IF(Wizards!$A$8="","",IF(OR(ISNUMBER(SEARCH(", "&amp;$B50&amp;", ", ", "&amp;INDEX('Form Responses'!$I$1:$Q$200,8,$A50)&amp;", ")),ISNUMBER(SEARCH(", "&amp;$B50&amp;", ", ", "&amp;INDEX('Form Responses'!$R$1:$R$200,8)&amp;", "))),1,""))</f>
        <v/>
      </c>
      <c r="K50">
        <f>IF(Wizards!$A$9="","",IF(OR(ISNUMBER(SEARCH(", "&amp;$B50&amp;", ", ", "&amp;INDEX('Form Responses'!$I$1:$Q$200,9,$A50)&amp;", ")),ISNUMBER(SEARCH(", "&amp;$B50&amp;", ", ", "&amp;INDEX('Form Responses'!$R$1:$R$200,9)&amp;", "))),1,""))</f>
        <v/>
      </c>
      <c r="L50">
        <f>IF(Wizards!$A$10="","",IF(OR(ISNUMBER(SEARCH(", "&amp;$B50&amp;", ", ", "&amp;INDEX('Form Responses'!$I$1:$Q$200,10,$A50)&amp;", ")),ISNUMBER(SEARCH(", "&amp;$B50&amp;", ", ", "&amp;INDEX('Form Responses'!$R$1:$R$200,10)&amp;", "))),1,""))</f>
        <v/>
      </c>
      <c r="M50">
        <f>IF(Wizards!$A$11="","",IF(OR(ISNUMBER(SEARCH(", "&amp;$B50&amp;", ", ", "&amp;INDEX('Form Responses'!$I$1:$Q$200,11,$A50)&amp;", ")),ISNUMBER(SEARCH(", "&amp;$B50&amp;", ", ", "&amp;INDEX('Form Responses'!$R$1:$R$200,11)&amp;", "))),1,""))</f>
        <v/>
      </c>
      <c r="N50">
        <f>IF(Wizards!$A$12="","",IF(OR(ISNUMBER(SEARCH(", "&amp;$B50&amp;", ", ", "&amp;INDEX('Form Responses'!$I$1:$Q$200,12,$A50)&amp;", ")),ISNUMBER(SEARCH(", "&amp;$B50&amp;", ", ", "&amp;INDEX('Form Responses'!$R$1:$R$200,12)&amp;", "))),1,""))</f>
        <v/>
      </c>
      <c r="O50">
        <f>IF(Wizards!$A$13="","",IF(OR(ISNUMBER(SEARCH(", "&amp;$B50&amp;", ", ", "&amp;INDEX('Form Responses'!$I$1:$Q$200,13,$A50)&amp;", ")),ISNUMBER(SEARCH(", "&amp;$B50&amp;", ", ", "&amp;INDEX('Form Responses'!$R$1:$R$200,13)&amp;", "))),1,""))</f>
        <v/>
      </c>
      <c r="P50">
        <f>IF(Wizards!$A$14="","",IF(OR(ISNUMBER(SEARCH(", "&amp;$B50&amp;", ", ", "&amp;INDEX('Form Responses'!$I$1:$Q$200,14,$A50)&amp;", ")),ISNUMBER(SEARCH(", "&amp;$B50&amp;", ", ", "&amp;INDEX('Form Responses'!$R$1:$R$200,14)&amp;", "))),1,""))</f>
        <v/>
      </c>
      <c r="Q50">
        <f>IF(Wizards!$A$15="","",IF(OR(ISNUMBER(SEARCH(", "&amp;$B50&amp;", ", ", "&amp;INDEX('Form Responses'!$I$1:$Q$200,15,$A50)&amp;", ")),ISNUMBER(SEARCH(", "&amp;$B50&amp;", ", ", "&amp;INDEX('Form Responses'!$R$1:$R$200,15)&amp;", "))),1,""))</f>
        <v/>
      </c>
      <c r="R50">
        <f>IF(Wizards!$A$16="","",IF(OR(ISNUMBER(SEARCH(", "&amp;$B50&amp;", ", ", "&amp;INDEX('Form Responses'!$I$1:$Q$200,16,$A50)&amp;", ")),ISNUMBER(SEARCH(", "&amp;$B50&amp;", ", ", "&amp;INDEX('Form Responses'!$R$1:$R$200,16)&amp;", "))),1,""))</f>
        <v/>
      </c>
      <c r="S50">
        <f>IF(Wizards!$A$17="","",IF(OR(ISNUMBER(SEARCH(", "&amp;$B50&amp;", ", ", "&amp;INDEX('Form Responses'!$I$1:$Q$200,17,$A50)&amp;", ")),ISNUMBER(SEARCH(", "&amp;$B50&amp;", ", ", "&amp;INDEX('Form Responses'!$R$1:$R$200,17)&amp;", "))),1,""))</f>
        <v/>
      </c>
      <c r="T50">
        <f>IF(Wizards!$A$18="","",IF(OR(ISNUMBER(SEARCH(", "&amp;$B50&amp;", ", ", "&amp;INDEX('Form Responses'!$I$1:$Q$200,18,$A50)&amp;", ")),ISNUMBER(SEARCH(", "&amp;$B50&amp;", ", ", "&amp;INDEX('Form Responses'!$R$1:$R$200,18)&amp;", "))),1,""))</f>
        <v/>
      </c>
      <c r="U50">
        <f>IF(Wizards!$A$19="","",IF(OR(ISNUMBER(SEARCH(", "&amp;$B50&amp;", ", ", "&amp;INDEX('Form Responses'!$I$1:$Q$200,19,$A50)&amp;", ")),ISNUMBER(SEARCH(", "&amp;$B50&amp;", ", ", "&amp;INDEX('Form Responses'!$R$1:$R$200,19)&amp;", "))),1,""))</f>
        <v/>
      </c>
      <c r="V50">
        <f>IF(Wizards!$A$20="","",IF(OR(ISNUMBER(SEARCH(", "&amp;$B50&amp;", ", ", "&amp;INDEX('Form Responses'!$I$1:$Q$200,20,$A50)&amp;", ")),ISNUMBER(SEARCH(", "&amp;$B50&amp;", ", ", "&amp;INDEX('Form Responses'!$R$1:$R$200,20)&amp;", "))),1,""))</f>
        <v/>
      </c>
      <c r="W50">
        <f>IF(Wizards!$A$21="","",IF(OR(ISNUMBER(SEARCH(", "&amp;$B50&amp;", ", ", "&amp;INDEX('Form Responses'!$I$1:$Q$200,21,$A50)&amp;", ")),ISNUMBER(SEARCH(", "&amp;$B50&amp;", ", ", "&amp;INDEX('Form Responses'!$R$1:$R$200,21)&amp;", "))),1,""))</f>
        <v/>
      </c>
      <c r="X50">
        <f>IF(Wizards!$A$22="","",IF(OR(ISNUMBER(SEARCH(", "&amp;$B50&amp;", ", ", "&amp;INDEX('Form Responses'!$I$1:$Q$200,22,$A50)&amp;", ")),ISNUMBER(SEARCH(", "&amp;$B50&amp;", ", ", "&amp;INDEX('Form Responses'!$R$1:$R$200,22)&amp;", "))),1,""))</f>
        <v/>
      </c>
      <c r="Y50">
        <f>IF(Wizards!$A$23="","",IF(OR(ISNUMBER(SEARCH(", "&amp;$B50&amp;", ", ", "&amp;INDEX('Form Responses'!$I$1:$Q$200,23,$A50)&amp;", ")),ISNUMBER(SEARCH(", "&amp;$B50&amp;", ", ", "&amp;INDEX('Form Responses'!$R$1:$R$200,23)&amp;", "))),1,""))</f>
        <v/>
      </c>
      <c r="Z50">
        <f>IF(Wizards!$A$24="","",IF(OR(ISNUMBER(SEARCH(", "&amp;$B50&amp;", ", ", "&amp;INDEX('Form Responses'!$I$1:$Q$200,24,$A50)&amp;", ")),ISNUMBER(SEARCH(", "&amp;$B50&amp;", ", ", "&amp;INDEX('Form Responses'!$R$1:$R$200,24)&amp;", "))),1,""))</f>
        <v/>
      </c>
      <c r="AA50">
        <f>IF(Wizards!$A$25="","",IF(OR(ISNUMBER(SEARCH(", "&amp;$B50&amp;", ", ", "&amp;INDEX('Form Responses'!$I$1:$Q$200,25,$A50)&amp;", ")),ISNUMBER(SEARCH(", "&amp;$B50&amp;", ", ", "&amp;INDEX('Form Responses'!$R$1:$R$200,25)&amp;", "))),1,""))</f>
        <v/>
      </c>
      <c r="AB50">
        <f>IF(D50=1,", "&amp;D$1,"")</f>
        <v/>
      </c>
      <c r="AC50">
        <f>IF(E50=1,", "&amp;E$1,"")</f>
        <v/>
      </c>
      <c r="AD50">
        <f>IF(F50=1,", "&amp;F$1,"")</f>
        <v/>
      </c>
      <c r="AE50">
        <f>IF(G50=1,", "&amp;G$1,"")</f>
        <v/>
      </c>
      <c r="AF50">
        <f>IF(H50=1,", "&amp;H$1,"")</f>
        <v/>
      </c>
      <c r="AG50">
        <f>IF(I50=1,", "&amp;I$1,"")</f>
        <v/>
      </c>
      <c r="AH50">
        <f>IF(J50=1,", "&amp;J$1,"")</f>
        <v/>
      </c>
      <c r="AI50">
        <f>IF(K50=1,", "&amp;K$1,"")</f>
        <v/>
      </c>
      <c r="AJ50">
        <f>IF(L50=1,", "&amp;L$1,"")</f>
        <v/>
      </c>
      <c r="AK50">
        <f>IF(M50=1,", "&amp;M$1,"")</f>
        <v/>
      </c>
      <c r="AL50">
        <f>IF(N50=1,", "&amp;N$1,"")</f>
        <v/>
      </c>
      <c r="AM50">
        <f>IF(O50=1,", "&amp;O$1,"")</f>
        <v/>
      </c>
      <c r="AN50">
        <f>IF(P50=1,", "&amp;P$1,"")</f>
        <v/>
      </c>
      <c r="AO50">
        <f>IF(Q50=1,", "&amp;Q$1,"")</f>
        <v/>
      </c>
      <c r="AP50">
        <f>IF(R50=1,", "&amp;R$1,"")</f>
        <v/>
      </c>
      <c r="AQ50">
        <f>IF(S50=1,", "&amp;S$1,"")</f>
        <v/>
      </c>
      <c r="AR50">
        <f>IF(T50=1,", "&amp;T$1,"")</f>
        <v/>
      </c>
      <c r="AS50">
        <f>IF(U50=1,", "&amp;U$1,"")</f>
        <v/>
      </c>
      <c r="AT50">
        <f>IF(V50=1,", "&amp;V$1,"")</f>
        <v/>
      </c>
      <c r="AU50">
        <f>IF(W50=1,", "&amp;W$1,"")</f>
        <v/>
      </c>
      <c r="AV50">
        <f>IF(X50=1,", "&amp;X$1,"")</f>
        <v/>
      </c>
      <c r="AW50">
        <f>IF(Y50=1,", "&amp;Y$1,"")</f>
        <v/>
      </c>
      <c r="AX50">
        <f>IF(Z50=1,", "&amp;Z$1,"")</f>
        <v/>
      </c>
      <c r="AY50">
        <f>IF(AA50=1,", "&amp;AA$1,"")</f>
        <v/>
      </c>
      <c r="AZ50">
        <f>MID($AB50&amp;$AC50&amp;$AD50&amp;$AE50&amp;$AF50&amp;$AG50&amp;$AH50&amp;$AI50&amp;$AJ50&amp;$AK50&amp;$AL50&amp;$AM50&amp;$AN50&amp;$AO50&amp;$AP50&amp;$AQ50&amp;$AR50&amp;$AS50&amp;$AT50&amp;$AU50&amp;$AV50&amp;$AW50&amp;$AX50&amp;$AY50,3,32767)</f>
        <v/>
      </c>
      <c r="BA50">
        <f>COUNT($D50:$AA50)</f>
        <v/>
      </c>
    </row>
    <row r="51">
      <c r="A51" t="n">
        <v>2</v>
      </c>
      <c r="B51" t="inlineStr">
        <is>
          <t>Cloud of Daggers</t>
        </is>
      </c>
      <c r="C51" t="inlineStr">
        <is>
          <t>Conjuration</t>
        </is>
      </c>
      <c r="D51">
        <f>IF(Wizards!$A$2="","",IF(OR(ISNUMBER(SEARCH(", "&amp;$B51&amp;", ", ", "&amp;INDEX('Form Responses'!$I$1:$Q$200,2,$A51)&amp;", ")),ISNUMBER(SEARCH(", "&amp;$B51&amp;", ", ", "&amp;INDEX('Form Responses'!$R$1:$R$200,2)&amp;", "))),1,""))</f>
        <v/>
      </c>
      <c r="E51">
        <f>IF(Wizards!$A$3="","",IF(OR(ISNUMBER(SEARCH(", "&amp;$B51&amp;", ", ", "&amp;INDEX('Form Responses'!$I$1:$Q$200,3,$A51)&amp;", ")),ISNUMBER(SEARCH(", "&amp;$B51&amp;", ", ", "&amp;INDEX('Form Responses'!$R$1:$R$200,3)&amp;", "))),1,""))</f>
        <v/>
      </c>
      <c r="F51">
        <f>IF(Wizards!$A$4="","",IF(OR(ISNUMBER(SEARCH(", "&amp;$B51&amp;", ", ", "&amp;INDEX('Form Responses'!$I$1:$Q$200,4,$A51)&amp;", ")),ISNUMBER(SEARCH(", "&amp;$B51&amp;", ", ", "&amp;INDEX('Form Responses'!$R$1:$R$200,4)&amp;", "))),1,""))</f>
        <v/>
      </c>
      <c r="G51">
        <f>IF(Wizards!$A$5="","",IF(OR(ISNUMBER(SEARCH(", "&amp;$B51&amp;", ", ", "&amp;INDEX('Form Responses'!$I$1:$Q$200,5,$A51)&amp;", ")),ISNUMBER(SEARCH(", "&amp;$B51&amp;", ", ", "&amp;INDEX('Form Responses'!$R$1:$R$200,5)&amp;", "))),1,""))</f>
        <v/>
      </c>
      <c r="H51">
        <f>IF(Wizards!$A$6="","",IF(OR(ISNUMBER(SEARCH(", "&amp;$B51&amp;", ", ", "&amp;INDEX('Form Responses'!$I$1:$Q$200,6,$A51)&amp;", ")),ISNUMBER(SEARCH(", "&amp;$B51&amp;", ", ", "&amp;INDEX('Form Responses'!$R$1:$R$200,6)&amp;", "))),1,""))</f>
        <v/>
      </c>
      <c r="I51">
        <f>IF(Wizards!$A$7="","",IF(OR(ISNUMBER(SEARCH(", "&amp;$B51&amp;", ", ", "&amp;INDEX('Form Responses'!$I$1:$Q$200,7,$A51)&amp;", ")),ISNUMBER(SEARCH(", "&amp;$B51&amp;", ", ", "&amp;INDEX('Form Responses'!$R$1:$R$200,7)&amp;", "))),1,""))</f>
        <v/>
      </c>
      <c r="J51">
        <f>IF(Wizards!$A$8="","",IF(OR(ISNUMBER(SEARCH(", "&amp;$B51&amp;", ", ", "&amp;INDEX('Form Responses'!$I$1:$Q$200,8,$A51)&amp;", ")),ISNUMBER(SEARCH(", "&amp;$B51&amp;", ", ", "&amp;INDEX('Form Responses'!$R$1:$R$200,8)&amp;", "))),1,""))</f>
        <v/>
      </c>
      <c r="K51">
        <f>IF(Wizards!$A$9="","",IF(OR(ISNUMBER(SEARCH(", "&amp;$B51&amp;", ", ", "&amp;INDEX('Form Responses'!$I$1:$Q$200,9,$A51)&amp;", ")),ISNUMBER(SEARCH(", "&amp;$B51&amp;", ", ", "&amp;INDEX('Form Responses'!$R$1:$R$200,9)&amp;", "))),1,""))</f>
        <v/>
      </c>
      <c r="L51">
        <f>IF(Wizards!$A$10="","",IF(OR(ISNUMBER(SEARCH(", "&amp;$B51&amp;", ", ", "&amp;INDEX('Form Responses'!$I$1:$Q$200,10,$A51)&amp;", ")),ISNUMBER(SEARCH(", "&amp;$B51&amp;", ", ", "&amp;INDEX('Form Responses'!$R$1:$R$200,10)&amp;", "))),1,""))</f>
        <v/>
      </c>
      <c r="M51">
        <f>IF(Wizards!$A$11="","",IF(OR(ISNUMBER(SEARCH(", "&amp;$B51&amp;", ", ", "&amp;INDEX('Form Responses'!$I$1:$Q$200,11,$A51)&amp;", ")),ISNUMBER(SEARCH(", "&amp;$B51&amp;", ", ", "&amp;INDEX('Form Responses'!$R$1:$R$200,11)&amp;", "))),1,""))</f>
        <v/>
      </c>
      <c r="N51">
        <f>IF(Wizards!$A$12="","",IF(OR(ISNUMBER(SEARCH(", "&amp;$B51&amp;", ", ", "&amp;INDEX('Form Responses'!$I$1:$Q$200,12,$A51)&amp;", ")),ISNUMBER(SEARCH(", "&amp;$B51&amp;", ", ", "&amp;INDEX('Form Responses'!$R$1:$R$200,12)&amp;", "))),1,""))</f>
        <v/>
      </c>
      <c r="O51">
        <f>IF(Wizards!$A$13="","",IF(OR(ISNUMBER(SEARCH(", "&amp;$B51&amp;", ", ", "&amp;INDEX('Form Responses'!$I$1:$Q$200,13,$A51)&amp;", ")),ISNUMBER(SEARCH(", "&amp;$B51&amp;", ", ", "&amp;INDEX('Form Responses'!$R$1:$R$200,13)&amp;", "))),1,""))</f>
        <v/>
      </c>
      <c r="P51">
        <f>IF(Wizards!$A$14="","",IF(OR(ISNUMBER(SEARCH(", "&amp;$B51&amp;", ", ", "&amp;INDEX('Form Responses'!$I$1:$Q$200,14,$A51)&amp;", ")),ISNUMBER(SEARCH(", "&amp;$B51&amp;", ", ", "&amp;INDEX('Form Responses'!$R$1:$R$200,14)&amp;", "))),1,""))</f>
        <v/>
      </c>
      <c r="Q51">
        <f>IF(Wizards!$A$15="","",IF(OR(ISNUMBER(SEARCH(", "&amp;$B51&amp;", ", ", "&amp;INDEX('Form Responses'!$I$1:$Q$200,15,$A51)&amp;", ")),ISNUMBER(SEARCH(", "&amp;$B51&amp;", ", ", "&amp;INDEX('Form Responses'!$R$1:$R$200,15)&amp;", "))),1,""))</f>
        <v/>
      </c>
      <c r="R51">
        <f>IF(Wizards!$A$16="","",IF(OR(ISNUMBER(SEARCH(", "&amp;$B51&amp;", ", ", "&amp;INDEX('Form Responses'!$I$1:$Q$200,16,$A51)&amp;", ")),ISNUMBER(SEARCH(", "&amp;$B51&amp;", ", ", "&amp;INDEX('Form Responses'!$R$1:$R$200,16)&amp;", "))),1,""))</f>
        <v/>
      </c>
      <c r="S51">
        <f>IF(Wizards!$A$17="","",IF(OR(ISNUMBER(SEARCH(", "&amp;$B51&amp;", ", ", "&amp;INDEX('Form Responses'!$I$1:$Q$200,17,$A51)&amp;", ")),ISNUMBER(SEARCH(", "&amp;$B51&amp;", ", ", "&amp;INDEX('Form Responses'!$R$1:$R$200,17)&amp;", "))),1,""))</f>
        <v/>
      </c>
      <c r="T51">
        <f>IF(Wizards!$A$18="","",IF(OR(ISNUMBER(SEARCH(", "&amp;$B51&amp;", ", ", "&amp;INDEX('Form Responses'!$I$1:$Q$200,18,$A51)&amp;", ")),ISNUMBER(SEARCH(", "&amp;$B51&amp;", ", ", "&amp;INDEX('Form Responses'!$R$1:$R$200,18)&amp;", "))),1,""))</f>
        <v/>
      </c>
      <c r="U51">
        <f>IF(Wizards!$A$19="","",IF(OR(ISNUMBER(SEARCH(", "&amp;$B51&amp;", ", ", "&amp;INDEX('Form Responses'!$I$1:$Q$200,19,$A51)&amp;", ")),ISNUMBER(SEARCH(", "&amp;$B51&amp;", ", ", "&amp;INDEX('Form Responses'!$R$1:$R$200,19)&amp;", "))),1,""))</f>
        <v/>
      </c>
      <c r="V51">
        <f>IF(Wizards!$A$20="","",IF(OR(ISNUMBER(SEARCH(", "&amp;$B51&amp;", ", ", "&amp;INDEX('Form Responses'!$I$1:$Q$200,20,$A51)&amp;", ")),ISNUMBER(SEARCH(", "&amp;$B51&amp;", ", ", "&amp;INDEX('Form Responses'!$R$1:$R$200,20)&amp;", "))),1,""))</f>
        <v/>
      </c>
      <c r="W51">
        <f>IF(Wizards!$A$21="","",IF(OR(ISNUMBER(SEARCH(", "&amp;$B51&amp;", ", ", "&amp;INDEX('Form Responses'!$I$1:$Q$200,21,$A51)&amp;", ")),ISNUMBER(SEARCH(", "&amp;$B51&amp;", ", ", "&amp;INDEX('Form Responses'!$R$1:$R$200,21)&amp;", "))),1,""))</f>
        <v/>
      </c>
      <c r="X51">
        <f>IF(Wizards!$A$22="","",IF(OR(ISNUMBER(SEARCH(", "&amp;$B51&amp;", ", ", "&amp;INDEX('Form Responses'!$I$1:$Q$200,22,$A51)&amp;", ")),ISNUMBER(SEARCH(", "&amp;$B51&amp;", ", ", "&amp;INDEX('Form Responses'!$R$1:$R$200,22)&amp;", "))),1,""))</f>
        <v/>
      </c>
      <c r="Y51">
        <f>IF(Wizards!$A$23="","",IF(OR(ISNUMBER(SEARCH(", "&amp;$B51&amp;", ", ", "&amp;INDEX('Form Responses'!$I$1:$Q$200,23,$A51)&amp;", ")),ISNUMBER(SEARCH(", "&amp;$B51&amp;", ", ", "&amp;INDEX('Form Responses'!$R$1:$R$200,23)&amp;", "))),1,""))</f>
        <v/>
      </c>
      <c r="Z51">
        <f>IF(Wizards!$A$24="","",IF(OR(ISNUMBER(SEARCH(", "&amp;$B51&amp;", ", ", "&amp;INDEX('Form Responses'!$I$1:$Q$200,24,$A51)&amp;", ")),ISNUMBER(SEARCH(", "&amp;$B51&amp;", ", ", "&amp;INDEX('Form Responses'!$R$1:$R$200,24)&amp;", "))),1,""))</f>
        <v/>
      </c>
      <c r="AA51">
        <f>IF(Wizards!$A$25="","",IF(OR(ISNUMBER(SEARCH(", "&amp;$B51&amp;", ", ", "&amp;INDEX('Form Responses'!$I$1:$Q$200,25,$A51)&amp;", ")),ISNUMBER(SEARCH(", "&amp;$B51&amp;", ", ", "&amp;INDEX('Form Responses'!$R$1:$R$200,25)&amp;", "))),1,""))</f>
        <v/>
      </c>
      <c r="AB51">
        <f>IF(D51=1,", "&amp;D$1,"")</f>
        <v/>
      </c>
      <c r="AC51">
        <f>IF(E51=1,", "&amp;E$1,"")</f>
        <v/>
      </c>
      <c r="AD51">
        <f>IF(F51=1,", "&amp;F$1,"")</f>
        <v/>
      </c>
      <c r="AE51">
        <f>IF(G51=1,", "&amp;G$1,"")</f>
        <v/>
      </c>
      <c r="AF51">
        <f>IF(H51=1,", "&amp;H$1,"")</f>
        <v/>
      </c>
      <c r="AG51">
        <f>IF(I51=1,", "&amp;I$1,"")</f>
        <v/>
      </c>
      <c r="AH51">
        <f>IF(J51=1,", "&amp;J$1,"")</f>
        <v/>
      </c>
      <c r="AI51">
        <f>IF(K51=1,", "&amp;K$1,"")</f>
        <v/>
      </c>
      <c r="AJ51">
        <f>IF(L51=1,", "&amp;L$1,"")</f>
        <v/>
      </c>
      <c r="AK51">
        <f>IF(M51=1,", "&amp;M$1,"")</f>
        <v/>
      </c>
      <c r="AL51">
        <f>IF(N51=1,", "&amp;N$1,"")</f>
        <v/>
      </c>
      <c r="AM51">
        <f>IF(O51=1,", "&amp;O$1,"")</f>
        <v/>
      </c>
      <c r="AN51">
        <f>IF(P51=1,", "&amp;P$1,"")</f>
        <v/>
      </c>
      <c r="AO51">
        <f>IF(Q51=1,", "&amp;Q$1,"")</f>
        <v/>
      </c>
      <c r="AP51">
        <f>IF(R51=1,", "&amp;R$1,"")</f>
        <v/>
      </c>
      <c r="AQ51">
        <f>IF(S51=1,", "&amp;S$1,"")</f>
        <v/>
      </c>
      <c r="AR51">
        <f>IF(T51=1,", "&amp;T$1,"")</f>
        <v/>
      </c>
      <c r="AS51">
        <f>IF(U51=1,", "&amp;U$1,"")</f>
        <v/>
      </c>
      <c r="AT51">
        <f>IF(V51=1,", "&amp;V$1,"")</f>
        <v/>
      </c>
      <c r="AU51">
        <f>IF(W51=1,", "&amp;W$1,"")</f>
        <v/>
      </c>
      <c r="AV51">
        <f>IF(X51=1,", "&amp;X$1,"")</f>
        <v/>
      </c>
      <c r="AW51">
        <f>IF(Y51=1,", "&amp;Y$1,"")</f>
        <v/>
      </c>
      <c r="AX51">
        <f>IF(Z51=1,", "&amp;Z$1,"")</f>
        <v/>
      </c>
      <c r="AY51">
        <f>IF(AA51=1,", "&amp;AA$1,"")</f>
        <v/>
      </c>
      <c r="AZ51">
        <f>MID($AB51&amp;$AC51&amp;$AD51&amp;$AE51&amp;$AF51&amp;$AG51&amp;$AH51&amp;$AI51&amp;$AJ51&amp;$AK51&amp;$AL51&amp;$AM51&amp;$AN51&amp;$AO51&amp;$AP51&amp;$AQ51&amp;$AR51&amp;$AS51&amp;$AT51&amp;$AU51&amp;$AV51&amp;$AW51&amp;$AX51&amp;$AY51,3,32767)</f>
        <v/>
      </c>
      <c r="BA51">
        <f>COUNT($D51:$AA51)</f>
        <v/>
      </c>
    </row>
    <row r="52">
      <c r="A52" t="n">
        <v>2</v>
      </c>
      <c r="B52" t="inlineStr">
        <is>
          <t>Continual Flame</t>
        </is>
      </c>
      <c r="C52" t="inlineStr">
        <is>
          <t>Evocation</t>
        </is>
      </c>
      <c r="D52">
        <f>IF(Wizards!$A$2="","",IF(OR(ISNUMBER(SEARCH(", "&amp;$B52&amp;", ", ", "&amp;INDEX('Form Responses'!$I$1:$Q$200,2,$A52)&amp;", ")),ISNUMBER(SEARCH(", "&amp;$B52&amp;", ", ", "&amp;INDEX('Form Responses'!$R$1:$R$200,2)&amp;", "))),1,""))</f>
        <v/>
      </c>
      <c r="E52">
        <f>IF(Wizards!$A$3="","",IF(OR(ISNUMBER(SEARCH(", "&amp;$B52&amp;", ", ", "&amp;INDEX('Form Responses'!$I$1:$Q$200,3,$A52)&amp;", ")),ISNUMBER(SEARCH(", "&amp;$B52&amp;", ", ", "&amp;INDEX('Form Responses'!$R$1:$R$200,3)&amp;", "))),1,""))</f>
        <v/>
      </c>
      <c r="F52">
        <f>IF(Wizards!$A$4="","",IF(OR(ISNUMBER(SEARCH(", "&amp;$B52&amp;", ", ", "&amp;INDEX('Form Responses'!$I$1:$Q$200,4,$A52)&amp;", ")),ISNUMBER(SEARCH(", "&amp;$B52&amp;", ", ", "&amp;INDEX('Form Responses'!$R$1:$R$200,4)&amp;", "))),1,""))</f>
        <v/>
      </c>
      <c r="G52">
        <f>IF(Wizards!$A$5="","",IF(OR(ISNUMBER(SEARCH(", "&amp;$B52&amp;", ", ", "&amp;INDEX('Form Responses'!$I$1:$Q$200,5,$A52)&amp;", ")),ISNUMBER(SEARCH(", "&amp;$B52&amp;", ", ", "&amp;INDEX('Form Responses'!$R$1:$R$200,5)&amp;", "))),1,""))</f>
        <v/>
      </c>
      <c r="H52">
        <f>IF(Wizards!$A$6="","",IF(OR(ISNUMBER(SEARCH(", "&amp;$B52&amp;", ", ", "&amp;INDEX('Form Responses'!$I$1:$Q$200,6,$A52)&amp;", ")),ISNUMBER(SEARCH(", "&amp;$B52&amp;", ", ", "&amp;INDEX('Form Responses'!$R$1:$R$200,6)&amp;", "))),1,""))</f>
        <v/>
      </c>
      <c r="I52">
        <f>IF(Wizards!$A$7="","",IF(OR(ISNUMBER(SEARCH(", "&amp;$B52&amp;", ", ", "&amp;INDEX('Form Responses'!$I$1:$Q$200,7,$A52)&amp;", ")),ISNUMBER(SEARCH(", "&amp;$B52&amp;", ", ", "&amp;INDEX('Form Responses'!$R$1:$R$200,7)&amp;", "))),1,""))</f>
        <v/>
      </c>
      <c r="J52">
        <f>IF(Wizards!$A$8="","",IF(OR(ISNUMBER(SEARCH(", "&amp;$B52&amp;", ", ", "&amp;INDEX('Form Responses'!$I$1:$Q$200,8,$A52)&amp;", ")),ISNUMBER(SEARCH(", "&amp;$B52&amp;", ", ", "&amp;INDEX('Form Responses'!$R$1:$R$200,8)&amp;", "))),1,""))</f>
        <v/>
      </c>
      <c r="K52">
        <f>IF(Wizards!$A$9="","",IF(OR(ISNUMBER(SEARCH(", "&amp;$B52&amp;", ", ", "&amp;INDEX('Form Responses'!$I$1:$Q$200,9,$A52)&amp;", ")),ISNUMBER(SEARCH(", "&amp;$B52&amp;", ", ", "&amp;INDEX('Form Responses'!$R$1:$R$200,9)&amp;", "))),1,""))</f>
        <v/>
      </c>
      <c r="L52">
        <f>IF(Wizards!$A$10="","",IF(OR(ISNUMBER(SEARCH(", "&amp;$B52&amp;", ", ", "&amp;INDEX('Form Responses'!$I$1:$Q$200,10,$A52)&amp;", ")),ISNUMBER(SEARCH(", "&amp;$B52&amp;", ", ", "&amp;INDEX('Form Responses'!$R$1:$R$200,10)&amp;", "))),1,""))</f>
        <v/>
      </c>
      <c r="M52">
        <f>IF(Wizards!$A$11="","",IF(OR(ISNUMBER(SEARCH(", "&amp;$B52&amp;", ", ", "&amp;INDEX('Form Responses'!$I$1:$Q$200,11,$A52)&amp;", ")),ISNUMBER(SEARCH(", "&amp;$B52&amp;", ", ", "&amp;INDEX('Form Responses'!$R$1:$R$200,11)&amp;", "))),1,""))</f>
        <v/>
      </c>
      <c r="N52">
        <f>IF(Wizards!$A$12="","",IF(OR(ISNUMBER(SEARCH(", "&amp;$B52&amp;", ", ", "&amp;INDEX('Form Responses'!$I$1:$Q$200,12,$A52)&amp;", ")),ISNUMBER(SEARCH(", "&amp;$B52&amp;", ", ", "&amp;INDEX('Form Responses'!$R$1:$R$200,12)&amp;", "))),1,""))</f>
        <v/>
      </c>
      <c r="O52">
        <f>IF(Wizards!$A$13="","",IF(OR(ISNUMBER(SEARCH(", "&amp;$B52&amp;", ", ", "&amp;INDEX('Form Responses'!$I$1:$Q$200,13,$A52)&amp;", ")),ISNUMBER(SEARCH(", "&amp;$B52&amp;", ", ", "&amp;INDEX('Form Responses'!$R$1:$R$200,13)&amp;", "))),1,""))</f>
        <v/>
      </c>
      <c r="P52">
        <f>IF(Wizards!$A$14="","",IF(OR(ISNUMBER(SEARCH(", "&amp;$B52&amp;", ", ", "&amp;INDEX('Form Responses'!$I$1:$Q$200,14,$A52)&amp;", ")),ISNUMBER(SEARCH(", "&amp;$B52&amp;", ", ", "&amp;INDEX('Form Responses'!$R$1:$R$200,14)&amp;", "))),1,""))</f>
        <v/>
      </c>
      <c r="Q52">
        <f>IF(Wizards!$A$15="","",IF(OR(ISNUMBER(SEARCH(", "&amp;$B52&amp;", ", ", "&amp;INDEX('Form Responses'!$I$1:$Q$200,15,$A52)&amp;", ")),ISNUMBER(SEARCH(", "&amp;$B52&amp;", ", ", "&amp;INDEX('Form Responses'!$R$1:$R$200,15)&amp;", "))),1,""))</f>
        <v/>
      </c>
      <c r="R52">
        <f>IF(Wizards!$A$16="","",IF(OR(ISNUMBER(SEARCH(", "&amp;$B52&amp;", ", ", "&amp;INDEX('Form Responses'!$I$1:$Q$200,16,$A52)&amp;", ")),ISNUMBER(SEARCH(", "&amp;$B52&amp;", ", ", "&amp;INDEX('Form Responses'!$R$1:$R$200,16)&amp;", "))),1,""))</f>
        <v/>
      </c>
      <c r="S52">
        <f>IF(Wizards!$A$17="","",IF(OR(ISNUMBER(SEARCH(", "&amp;$B52&amp;", ", ", "&amp;INDEX('Form Responses'!$I$1:$Q$200,17,$A52)&amp;", ")),ISNUMBER(SEARCH(", "&amp;$B52&amp;", ", ", "&amp;INDEX('Form Responses'!$R$1:$R$200,17)&amp;", "))),1,""))</f>
        <v/>
      </c>
      <c r="T52">
        <f>IF(Wizards!$A$18="","",IF(OR(ISNUMBER(SEARCH(", "&amp;$B52&amp;", ", ", "&amp;INDEX('Form Responses'!$I$1:$Q$200,18,$A52)&amp;", ")),ISNUMBER(SEARCH(", "&amp;$B52&amp;", ", ", "&amp;INDEX('Form Responses'!$R$1:$R$200,18)&amp;", "))),1,""))</f>
        <v/>
      </c>
      <c r="U52">
        <f>IF(Wizards!$A$19="","",IF(OR(ISNUMBER(SEARCH(", "&amp;$B52&amp;", ", ", "&amp;INDEX('Form Responses'!$I$1:$Q$200,19,$A52)&amp;", ")),ISNUMBER(SEARCH(", "&amp;$B52&amp;", ", ", "&amp;INDEX('Form Responses'!$R$1:$R$200,19)&amp;", "))),1,""))</f>
        <v/>
      </c>
      <c r="V52">
        <f>IF(Wizards!$A$20="","",IF(OR(ISNUMBER(SEARCH(", "&amp;$B52&amp;", ", ", "&amp;INDEX('Form Responses'!$I$1:$Q$200,20,$A52)&amp;", ")),ISNUMBER(SEARCH(", "&amp;$B52&amp;", ", ", "&amp;INDEX('Form Responses'!$R$1:$R$200,20)&amp;", "))),1,""))</f>
        <v/>
      </c>
      <c r="W52">
        <f>IF(Wizards!$A$21="","",IF(OR(ISNUMBER(SEARCH(", "&amp;$B52&amp;", ", ", "&amp;INDEX('Form Responses'!$I$1:$Q$200,21,$A52)&amp;", ")),ISNUMBER(SEARCH(", "&amp;$B52&amp;", ", ", "&amp;INDEX('Form Responses'!$R$1:$R$200,21)&amp;", "))),1,""))</f>
        <v/>
      </c>
      <c r="X52">
        <f>IF(Wizards!$A$22="","",IF(OR(ISNUMBER(SEARCH(", "&amp;$B52&amp;", ", ", "&amp;INDEX('Form Responses'!$I$1:$Q$200,22,$A52)&amp;", ")),ISNUMBER(SEARCH(", "&amp;$B52&amp;", ", ", "&amp;INDEX('Form Responses'!$R$1:$R$200,22)&amp;", "))),1,""))</f>
        <v/>
      </c>
      <c r="Y52">
        <f>IF(Wizards!$A$23="","",IF(OR(ISNUMBER(SEARCH(", "&amp;$B52&amp;", ", ", "&amp;INDEX('Form Responses'!$I$1:$Q$200,23,$A52)&amp;", ")),ISNUMBER(SEARCH(", "&amp;$B52&amp;", ", ", "&amp;INDEX('Form Responses'!$R$1:$R$200,23)&amp;", "))),1,""))</f>
        <v/>
      </c>
      <c r="Z52">
        <f>IF(Wizards!$A$24="","",IF(OR(ISNUMBER(SEARCH(", "&amp;$B52&amp;", ", ", "&amp;INDEX('Form Responses'!$I$1:$Q$200,24,$A52)&amp;", ")),ISNUMBER(SEARCH(", "&amp;$B52&amp;", ", ", "&amp;INDEX('Form Responses'!$R$1:$R$200,24)&amp;", "))),1,""))</f>
        <v/>
      </c>
      <c r="AA52">
        <f>IF(Wizards!$A$25="","",IF(OR(ISNUMBER(SEARCH(", "&amp;$B52&amp;", ", ", "&amp;INDEX('Form Responses'!$I$1:$Q$200,25,$A52)&amp;", ")),ISNUMBER(SEARCH(", "&amp;$B52&amp;", ", ", "&amp;INDEX('Form Responses'!$R$1:$R$200,25)&amp;", "))),1,""))</f>
        <v/>
      </c>
      <c r="AB52">
        <f>IF(D52=1,", "&amp;D$1,"")</f>
        <v/>
      </c>
      <c r="AC52">
        <f>IF(E52=1,", "&amp;E$1,"")</f>
        <v/>
      </c>
      <c r="AD52">
        <f>IF(F52=1,", "&amp;F$1,"")</f>
        <v/>
      </c>
      <c r="AE52">
        <f>IF(G52=1,", "&amp;G$1,"")</f>
        <v/>
      </c>
      <c r="AF52">
        <f>IF(H52=1,", "&amp;H$1,"")</f>
        <v/>
      </c>
      <c r="AG52">
        <f>IF(I52=1,", "&amp;I$1,"")</f>
        <v/>
      </c>
      <c r="AH52">
        <f>IF(J52=1,", "&amp;J$1,"")</f>
        <v/>
      </c>
      <c r="AI52">
        <f>IF(K52=1,", "&amp;K$1,"")</f>
        <v/>
      </c>
      <c r="AJ52">
        <f>IF(L52=1,", "&amp;L$1,"")</f>
        <v/>
      </c>
      <c r="AK52">
        <f>IF(M52=1,", "&amp;M$1,"")</f>
        <v/>
      </c>
      <c r="AL52">
        <f>IF(N52=1,", "&amp;N$1,"")</f>
        <v/>
      </c>
      <c r="AM52">
        <f>IF(O52=1,", "&amp;O$1,"")</f>
        <v/>
      </c>
      <c r="AN52">
        <f>IF(P52=1,", "&amp;P$1,"")</f>
        <v/>
      </c>
      <c r="AO52">
        <f>IF(Q52=1,", "&amp;Q$1,"")</f>
        <v/>
      </c>
      <c r="AP52">
        <f>IF(R52=1,", "&amp;R$1,"")</f>
        <v/>
      </c>
      <c r="AQ52">
        <f>IF(S52=1,", "&amp;S$1,"")</f>
        <v/>
      </c>
      <c r="AR52">
        <f>IF(T52=1,", "&amp;T$1,"")</f>
        <v/>
      </c>
      <c r="AS52">
        <f>IF(U52=1,", "&amp;U$1,"")</f>
        <v/>
      </c>
      <c r="AT52">
        <f>IF(V52=1,", "&amp;V$1,"")</f>
        <v/>
      </c>
      <c r="AU52">
        <f>IF(W52=1,", "&amp;W$1,"")</f>
        <v/>
      </c>
      <c r="AV52">
        <f>IF(X52=1,", "&amp;X$1,"")</f>
        <v/>
      </c>
      <c r="AW52">
        <f>IF(Y52=1,", "&amp;Y$1,"")</f>
        <v/>
      </c>
      <c r="AX52">
        <f>IF(Z52=1,", "&amp;Z$1,"")</f>
        <v/>
      </c>
      <c r="AY52">
        <f>IF(AA52=1,", "&amp;AA$1,"")</f>
        <v/>
      </c>
      <c r="AZ52">
        <f>MID($AB52&amp;$AC52&amp;$AD52&amp;$AE52&amp;$AF52&amp;$AG52&amp;$AH52&amp;$AI52&amp;$AJ52&amp;$AK52&amp;$AL52&amp;$AM52&amp;$AN52&amp;$AO52&amp;$AP52&amp;$AQ52&amp;$AR52&amp;$AS52&amp;$AT52&amp;$AU52&amp;$AV52&amp;$AW52&amp;$AX52&amp;$AY52,3,32767)</f>
        <v/>
      </c>
      <c r="BA52">
        <f>COUNT($D52:$AA52)</f>
        <v/>
      </c>
    </row>
    <row r="53">
      <c r="A53" t="n">
        <v>2</v>
      </c>
      <c r="B53" t="inlineStr">
        <is>
          <t>Crown of Madness</t>
        </is>
      </c>
      <c r="C53" t="inlineStr">
        <is>
          <t>Enchantment</t>
        </is>
      </c>
      <c r="D53">
        <f>IF(Wizards!$A$2="","",IF(OR(ISNUMBER(SEARCH(", "&amp;$B53&amp;", ", ", "&amp;INDEX('Form Responses'!$I$1:$Q$200,2,$A53)&amp;", ")),ISNUMBER(SEARCH(", "&amp;$B53&amp;", ", ", "&amp;INDEX('Form Responses'!$R$1:$R$200,2)&amp;", "))),1,""))</f>
        <v/>
      </c>
      <c r="E53">
        <f>IF(Wizards!$A$3="","",IF(OR(ISNUMBER(SEARCH(", "&amp;$B53&amp;", ", ", "&amp;INDEX('Form Responses'!$I$1:$Q$200,3,$A53)&amp;", ")),ISNUMBER(SEARCH(", "&amp;$B53&amp;", ", ", "&amp;INDEX('Form Responses'!$R$1:$R$200,3)&amp;", "))),1,""))</f>
        <v/>
      </c>
      <c r="F53">
        <f>IF(Wizards!$A$4="","",IF(OR(ISNUMBER(SEARCH(", "&amp;$B53&amp;", ", ", "&amp;INDEX('Form Responses'!$I$1:$Q$200,4,$A53)&amp;", ")),ISNUMBER(SEARCH(", "&amp;$B53&amp;", ", ", "&amp;INDEX('Form Responses'!$R$1:$R$200,4)&amp;", "))),1,""))</f>
        <v/>
      </c>
      <c r="G53">
        <f>IF(Wizards!$A$5="","",IF(OR(ISNUMBER(SEARCH(", "&amp;$B53&amp;", ", ", "&amp;INDEX('Form Responses'!$I$1:$Q$200,5,$A53)&amp;", ")),ISNUMBER(SEARCH(", "&amp;$B53&amp;", ", ", "&amp;INDEX('Form Responses'!$R$1:$R$200,5)&amp;", "))),1,""))</f>
        <v/>
      </c>
      <c r="H53">
        <f>IF(Wizards!$A$6="","",IF(OR(ISNUMBER(SEARCH(", "&amp;$B53&amp;", ", ", "&amp;INDEX('Form Responses'!$I$1:$Q$200,6,$A53)&amp;", ")),ISNUMBER(SEARCH(", "&amp;$B53&amp;", ", ", "&amp;INDEX('Form Responses'!$R$1:$R$200,6)&amp;", "))),1,""))</f>
        <v/>
      </c>
      <c r="I53">
        <f>IF(Wizards!$A$7="","",IF(OR(ISNUMBER(SEARCH(", "&amp;$B53&amp;", ", ", "&amp;INDEX('Form Responses'!$I$1:$Q$200,7,$A53)&amp;", ")),ISNUMBER(SEARCH(", "&amp;$B53&amp;", ", ", "&amp;INDEX('Form Responses'!$R$1:$R$200,7)&amp;", "))),1,""))</f>
        <v/>
      </c>
      <c r="J53">
        <f>IF(Wizards!$A$8="","",IF(OR(ISNUMBER(SEARCH(", "&amp;$B53&amp;", ", ", "&amp;INDEX('Form Responses'!$I$1:$Q$200,8,$A53)&amp;", ")),ISNUMBER(SEARCH(", "&amp;$B53&amp;", ", ", "&amp;INDEX('Form Responses'!$R$1:$R$200,8)&amp;", "))),1,""))</f>
        <v/>
      </c>
      <c r="K53">
        <f>IF(Wizards!$A$9="","",IF(OR(ISNUMBER(SEARCH(", "&amp;$B53&amp;", ", ", "&amp;INDEX('Form Responses'!$I$1:$Q$200,9,$A53)&amp;", ")),ISNUMBER(SEARCH(", "&amp;$B53&amp;", ", ", "&amp;INDEX('Form Responses'!$R$1:$R$200,9)&amp;", "))),1,""))</f>
        <v/>
      </c>
      <c r="L53">
        <f>IF(Wizards!$A$10="","",IF(OR(ISNUMBER(SEARCH(", "&amp;$B53&amp;", ", ", "&amp;INDEX('Form Responses'!$I$1:$Q$200,10,$A53)&amp;", ")),ISNUMBER(SEARCH(", "&amp;$B53&amp;", ", ", "&amp;INDEX('Form Responses'!$R$1:$R$200,10)&amp;", "))),1,""))</f>
        <v/>
      </c>
      <c r="M53">
        <f>IF(Wizards!$A$11="","",IF(OR(ISNUMBER(SEARCH(", "&amp;$B53&amp;", ", ", "&amp;INDEX('Form Responses'!$I$1:$Q$200,11,$A53)&amp;", ")),ISNUMBER(SEARCH(", "&amp;$B53&amp;", ", ", "&amp;INDEX('Form Responses'!$R$1:$R$200,11)&amp;", "))),1,""))</f>
        <v/>
      </c>
      <c r="N53">
        <f>IF(Wizards!$A$12="","",IF(OR(ISNUMBER(SEARCH(", "&amp;$B53&amp;", ", ", "&amp;INDEX('Form Responses'!$I$1:$Q$200,12,$A53)&amp;", ")),ISNUMBER(SEARCH(", "&amp;$B53&amp;", ", ", "&amp;INDEX('Form Responses'!$R$1:$R$200,12)&amp;", "))),1,""))</f>
        <v/>
      </c>
      <c r="O53">
        <f>IF(Wizards!$A$13="","",IF(OR(ISNUMBER(SEARCH(", "&amp;$B53&amp;", ", ", "&amp;INDEX('Form Responses'!$I$1:$Q$200,13,$A53)&amp;", ")),ISNUMBER(SEARCH(", "&amp;$B53&amp;", ", ", "&amp;INDEX('Form Responses'!$R$1:$R$200,13)&amp;", "))),1,""))</f>
        <v/>
      </c>
      <c r="P53">
        <f>IF(Wizards!$A$14="","",IF(OR(ISNUMBER(SEARCH(", "&amp;$B53&amp;", ", ", "&amp;INDEX('Form Responses'!$I$1:$Q$200,14,$A53)&amp;", ")),ISNUMBER(SEARCH(", "&amp;$B53&amp;", ", ", "&amp;INDEX('Form Responses'!$R$1:$R$200,14)&amp;", "))),1,""))</f>
        <v/>
      </c>
      <c r="Q53">
        <f>IF(Wizards!$A$15="","",IF(OR(ISNUMBER(SEARCH(", "&amp;$B53&amp;", ", ", "&amp;INDEX('Form Responses'!$I$1:$Q$200,15,$A53)&amp;", ")),ISNUMBER(SEARCH(", "&amp;$B53&amp;", ", ", "&amp;INDEX('Form Responses'!$R$1:$R$200,15)&amp;", "))),1,""))</f>
        <v/>
      </c>
      <c r="R53">
        <f>IF(Wizards!$A$16="","",IF(OR(ISNUMBER(SEARCH(", "&amp;$B53&amp;", ", ", "&amp;INDEX('Form Responses'!$I$1:$Q$200,16,$A53)&amp;", ")),ISNUMBER(SEARCH(", "&amp;$B53&amp;", ", ", "&amp;INDEX('Form Responses'!$R$1:$R$200,16)&amp;", "))),1,""))</f>
        <v/>
      </c>
      <c r="S53">
        <f>IF(Wizards!$A$17="","",IF(OR(ISNUMBER(SEARCH(", "&amp;$B53&amp;", ", ", "&amp;INDEX('Form Responses'!$I$1:$Q$200,17,$A53)&amp;", ")),ISNUMBER(SEARCH(", "&amp;$B53&amp;", ", ", "&amp;INDEX('Form Responses'!$R$1:$R$200,17)&amp;", "))),1,""))</f>
        <v/>
      </c>
      <c r="T53">
        <f>IF(Wizards!$A$18="","",IF(OR(ISNUMBER(SEARCH(", "&amp;$B53&amp;", ", ", "&amp;INDEX('Form Responses'!$I$1:$Q$200,18,$A53)&amp;", ")),ISNUMBER(SEARCH(", "&amp;$B53&amp;", ", ", "&amp;INDEX('Form Responses'!$R$1:$R$200,18)&amp;", "))),1,""))</f>
        <v/>
      </c>
      <c r="U53">
        <f>IF(Wizards!$A$19="","",IF(OR(ISNUMBER(SEARCH(", "&amp;$B53&amp;", ", ", "&amp;INDEX('Form Responses'!$I$1:$Q$200,19,$A53)&amp;", ")),ISNUMBER(SEARCH(", "&amp;$B53&amp;", ", ", "&amp;INDEX('Form Responses'!$R$1:$R$200,19)&amp;", "))),1,""))</f>
        <v/>
      </c>
      <c r="V53">
        <f>IF(Wizards!$A$20="","",IF(OR(ISNUMBER(SEARCH(", "&amp;$B53&amp;", ", ", "&amp;INDEX('Form Responses'!$I$1:$Q$200,20,$A53)&amp;", ")),ISNUMBER(SEARCH(", "&amp;$B53&amp;", ", ", "&amp;INDEX('Form Responses'!$R$1:$R$200,20)&amp;", "))),1,""))</f>
        <v/>
      </c>
      <c r="W53">
        <f>IF(Wizards!$A$21="","",IF(OR(ISNUMBER(SEARCH(", "&amp;$B53&amp;", ", ", "&amp;INDEX('Form Responses'!$I$1:$Q$200,21,$A53)&amp;", ")),ISNUMBER(SEARCH(", "&amp;$B53&amp;", ", ", "&amp;INDEX('Form Responses'!$R$1:$R$200,21)&amp;", "))),1,""))</f>
        <v/>
      </c>
      <c r="X53">
        <f>IF(Wizards!$A$22="","",IF(OR(ISNUMBER(SEARCH(", "&amp;$B53&amp;", ", ", "&amp;INDEX('Form Responses'!$I$1:$Q$200,22,$A53)&amp;", ")),ISNUMBER(SEARCH(", "&amp;$B53&amp;", ", ", "&amp;INDEX('Form Responses'!$R$1:$R$200,22)&amp;", "))),1,""))</f>
        <v/>
      </c>
      <c r="Y53">
        <f>IF(Wizards!$A$23="","",IF(OR(ISNUMBER(SEARCH(", "&amp;$B53&amp;", ", ", "&amp;INDEX('Form Responses'!$I$1:$Q$200,23,$A53)&amp;", ")),ISNUMBER(SEARCH(", "&amp;$B53&amp;", ", ", "&amp;INDEX('Form Responses'!$R$1:$R$200,23)&amp;", "))),1,""))</f>
        <v/>
      </c>
      <c r="Z53">
        <f>IF(Wizards!$A$24="","",IF(OR(ISNUMBER(SEARCH(", "&amp;$B53&amp;", ", ", "&amp;INDEX('Form Responses'!$I$1:$Q$200,24,$A53)&amp;", ")),ISNUMBER(SEARCH(", "&amp;$B53&amp;", ", ", "&amp;INDEX('Form Responses'!$R$1:$R$200,24)&amp;", "))),1,""))</f>
        <v/>
      </c>
      <c r="AA53">
        <f>IF(Wizards!$A$25="","",IF(OR(ISNUMBER(SEARCH(", "&amp;$B53&amp;", ", ", "&amp;INDEX('Form Responses'!$I$1:$Q$200,25,$A53)&amp;", ")),ISNUMBER(SEARCH(", "&amp;$B53&amp;", ", ", "&amp;INDEX('Form Responses'!$R$1:$R$200,25)&amp;", "))),1,""))</f>
        <v/>
      </c>
      <c r="AB53">
        <f>IF(D53=1,", "&amp;D$1,"")</f>
        <v/>
      </c>
      <c r="AC53">
        <f>IF(E53=1,", "&amp;E$1,"")</f>
        <v/>
      </c>
      <c r="AD53">
        <f>IF(F53=1,", "&amp;F$1,"")</f>
        <v/>
      </c>
      <c r="AE53">
        <f>IF(G53=1,", "&amp;G$1,"")</f>
        <v/>
      </c>
      <c r="AF53">
        <f>IF(H53=1,", "&amp;H$1,"")</f>
        <v/>
      </c>
      <c r="AG53">
        <f>IF(I53=1,", "&amp;I$1,"")</f>
        <v/>
      </c>
      <c r="AH53">
        <f>IF(J53=1,", "&amp;J$1,"")</f>
        <v/>
      </c>
      <c r="AI53">
        <f>IF(K53=1,", "&amp;K$1,"")</f>
        <v/>
      </c>
      <c r="AJ53">
        <f>IF(L53=1,", "&amp;L$1,"")</f>
        <v/>
      </c>
      <c r="AK53">
        <f>IF(M53=1,", "&amp;M$1,"")</f>
        <v/>
      </c>
      <c r="AL53">
        <f>IF(N53=1,", "&amp;N$1,"")</f>
        <v/>
      </c>
      <c r="AM53">
        <f>IF(O53=1,", "&amp;O$1,"")</f>
        <v/>
      </c>
      <c r="AN53">
        <f>IF(P53=1,", "&amp;P$1,"")</f>
        <v/>
      </c>
      <c r="AO53">
        <f>IF(Q53=1,", "&amp;Q$1,"")</f>
        <v/>
      </c>
      <c r="AP53">
        <f>IF(R53=1,", "&amp;R$1,"")</f>
        <v/>
      </c>
      <c r="AQ53">
        <f>IF(S53=1,", "&amp;S$1,"")</f>
        <v/>
      </c>
      <c r="AR53">
        <f>IF(T53=1,", "&amp;T$1,"")</f>
        <v/>
      </c>
      <c r="AS53">
        <f>IF(U53=1,", "&amp;U$1,"")</f>
        <v/>
      </c>
      <c r="AT53">
        <f>IF(V53=1,", "&amp;V$1,"")</f>
        <v/>
      </c>
      <c r="AU53">
        <f>IF(W53=1,", "&amp;W$1,"")</f>
        <v/>
      </c>
      <c r="AV53">
        <f>IF(X53=1,", "&amp;X$1,"")</f>
        <v/>
      </c>
      <c r="AW53">
        <f>IF(Y53=1,", "&amp;Y$1,"")</f>
        <v/>
      </c>
      <c r="AX53">
        <f>IF(Z53=1,", "&amp;Z$1,"")</f>
        <v/>
      </c>
      <c r="AY53">
        <f>IF(AA53=1,", "&amp;AA$1,"")</f>
        <v/>
      </c>
      <c r="AZ53">
        <f>MID($AB53&amp;$AC53&amp;$AD53&amp;$AE53&amp;$AF53&amp;$AG53&amp;$AH53&amp;$AI53&amp;$AJ53&amp;$AK53&amp;$AL53&amp;$AM53&amp;$AN53&amp;$AO53&amp;$AP53&amp;$AQ53&amp;$AR53&amp;$AS53&amp;$AT53&amp;$AU53&amp;$AV53&amp;$AW53&amp;$AX53&amp;$AY53,3,32767)</f>
        <v/>
      </c>
      <c r="BA53">
        <f>COUNT($D53:$AA53)</f>
        <v/>
      </c>
    </row>
    <row r="54">
      <c r="A54" t="n">
        <v>2</v>
      </c>
      <c r="B54" t="inlineStr">
        <is>
          <t>Darkness</t>
        </is>
      </c>
      <c r="C54" t="inlineStr">
        <is>
          <t>Evocation</t>
        </is>
      </c>
      <c r="D54">
        <f>IF(Wizards!$A$2="","",IF(OR(ISNUMBER(SEARCH(", "&amp;$B54&amp;", ", ", "&amp;INDEX('Form Responses'!$I$1:$Q$200,2,$A54)&amp;", ")),ISNUMBER(SEARCH(", "&amp;$B54&amp;", ", ", "&amp;INDEX('Form Responses'!$R$1:$R$200,2)&amp;", "))),1,""))</f>
        <v/>
      </c>
      <c r="E54">
        <f>IF(Wizards!$A$3="","",IF(OR(ISNUMBER(SEARCH(", "&amp;$B54&amp;", ", ", "&amp;INDEX('Form Responses'!$I$1:$Q$200,3,$A54)&amp;", ")),ISNUMBER(SEARCH(", "&amp;$B54&amp;", ", ", "&amp;INDEX('Form Responses'!$R$1:$R$200,3)&amp;", "))),1,""))</f>
        <v/>
      </c>
      <c r="F54">
        <f>IF(Wizards!$A$4="","",IF(OR(ISNUMBER(SEARCH(", "&amp;$B54&amp;", ", ", "&amp;INDEX('Form Responses'!$I$1:$Q$200,4,$A54)&amp;", ")),ISNUMBER(SEARCH(", "&amp;$B54&amp;", ", ", "&amp;INDEX('Form Responses'!$R$1:$R$200,4)&amp;", "))),1,""))</f>
        <v/>
      </c>
      <c r="G54">
        <f>IF(Wizards!$A$5="","",IF(OR(ISNUMBER(SEARCH(", "&amp;$B54&amp;", ", ", "&amp;INDEX('Form Responses'!$I$1:$Q$200,5,$A54)&amp;", ")),ISNUMBER(SEARCH(", "&amp;$B54&amp;", ", ", "&amp;INDEX('Form Responses'!$R$1:$R$200,5)&amp;", "))),1,""))</f>
        <v/>
      </c>
      <c r="H54">
        <f>IF(Wizards!$A$6="","",IF(OR(ISNUMBER(SEARCH(", "&amp;$B54&amp;", ", ", "&amp;INDEX('Form Responses'!$I$1:$Q$200,6,$A54)&amp;", ")),ISNUMBER(SEARCH(", "&amp;$B54&amp;", ", ", "&amp;INDEX('Form Responses'!$R$1:$R$200,6)&amp;", "))),1,""))</f>
        <v/>
      </c>
      <c r="I54">
        <f>IF(Wizards!$A$7="","",IF(OR(ISNUMBER(SEARCH(", "&amp;$B54&amp;", ", ", "&amp;INDEX('Form Responses'!$I$1:$Q$200,7,$A54)&amp;", ")),ISNUMBER(SEARCH(", "&amp;$B54&amp;", ", ", "&amp;INDEX('Form Responses'!$R$1:$R$200,7)&amp;", "))),1,""))</f>
        <v/>
      </c>
      <c r="J54">
        <f>IF(Wizards!$A$8="","",IF(OR(ISNUMBER(SEARCH(", "&amp;$B54&amp;", ", ", "&amp;INDEX('Form Responses'!$I$1:$Q$200,8,$A54)&amp;", ")),ISNUMBER(SEARCH(", "&amp;$B54&amp;", ", ", "&amp;INDEX('Form Responses'!$R$1:$R$200,8)&amp;", "))),1,""))</f>
        <v/>
      </c>
      <c r="K54">
        <f>IF(Wizards!$A$9="","",IF(OR(ISNUMBER(SEARCH(", "&amp;$B54&amp;", ", ", "&amp;INDEX('Form Responses'!$I$1:$Q$200,9,$A54)&amp;", ")),ISNUMBER(SEARCH(", "&amp;$B54&amp;", ", ", "&amp;INDEX('Form Responses'!$R$1:$R$200,9)&amp;", "))),1,""))</f>
        <v/>
      </c>
      <c r="L54">
        <f>IF(Wizards!$A$10="","",IF(OR(ISNUMBER(SEARCH(", "&amp;$B54&amp;", ", ", "&amp;INDEX('Form Responses'!$I$1:$Q$200,10,$A54)&amp;", ")),ISNUMBER(SEARCH(", "&amp;$B54&amp;", ", ", "&amp;INDEX('Form Responses'!$R$1:$R$200,10)&amp;", "))),1,""))</f>
        <v/>
      </c>
      <c r="M54">
        <f>IF(Wizards!$A$11="","",IF(OR(ISNUMBER(SEARCH(", "&amp;$B54&amp;", ", ", "&amp;INDEX('Form Responses'!$I$1:$Q$200,11,$A54)&amp;", ")),ISNUMBER(SEARCH(", "&amp;$B54&amp;", ", ", "&amp;INDEX('Form Responses'!$R$1:$R$200,11)&amp;", "))),1,""))</f>
        <v/>
      </c>
      <c r="N54">
        <f>IF(Wizards!$A$12="","",IF(OR(ISNUMBER(SEARCH(", "&amp;$B54&amp;", ", ", "&amp;INDEX('Form Responses'!$I$1:$Q$200,12,$A54)&amp;", ")),ISNUMBER(SEARCH(", "&amp;$B54&amp;", ", ", "&amp;INDEX('Form Responses'!$R$1:$R$200,12)&amp;", "))),1,""))</f>
        <v/>
      </c>
      <c r="O54">
        <f>IF(Wizards!$A$13="","",IF(OR(ISNUMBER(SEARCH(", "&amp;$B54&amp;", ", ", "&amp;INDEX('Form Responses'!$I$1:$Q$200,13,$A54)&amp;", ")),ISNUMBER(SEARCH(", "&amp;$B54&amp;", ", ", "&amp;INDEX('Form Responses'!$R$1:$R$200,13)&amp;", "))),1,""))</f>
        <v/>
      </c>
      <c r="P54">
        <f>IF(Wizards!$A$14="","",IF(OR(ISNUMBER(SEARCH(", "&amp;$B54&amp;", ", ", "&amp;INDEX('Form Responses'!$I$1:$Q$200,14,$A54)&amp;", ")),ISNUMBER(SEARCH(", "&amp;$B54&amp;", ", ", "&amp;INDEX('Form Responses'!$R$1:$R$200,14)&amp;", "))),1,""))</f>
        <v/>
      </c>
      <c r="Q54">
        <f>IF(Wizards!$A$15="","",IF(OR(ISNUMBER(SEARCH(", "&amp;$B54&amp;", ", ", "&amp;INDEX('Form Responses'!$I$1:$Q$200,15,$A54)&amp;", ")),ISNUMBER(SEARCH(", "&amp;$B54&amp;", ", ", "&amp;INDEX('Form Responses'!$R$1:$R$200,15)&amp;", "))),1,""))</f>
        <v/>
      </c>
      <c r="R54">
        <f>IF(Wizards!$A$16="","",IF(OR(ISNUMBER(SEARCH(", "&amp;$B54&amp;", ", ", "&amp;INDEX('Form Responses'!$I$1:$Q$200,16,$A54)&amp;", ")),ISNUMBER(SEARCH(", "&amp;$B54&amp;", ", ", "&amp;INDEX('Form Responses'!$R$1:$R$200,16)&amp;", "))),1,""))</f>
        <v/>
      </c>
      <c r="S54">
        <f>IF(Wizards!$A$17="","",IF(OR(ISNUMBER(SEARCH(", "&amp;$B54&amp;", ", ", "&amp;INDEX('Form Responses'!$I$1:$Q$200,17,$A54)&amp;", ")),ISNUMBER(SEARCH(", "&amp;$B54&amp;", ", ", "&amp;INDEX('Form Responses'!$R$1:$R$200,17)&amp;", "))),1,""))</f>
        <v/>
      </c>
      <c r="T54">
        <f>IF(Wizards!$A$18="","",IF(OR(ISNUMBER(SEARCH(", "&amp;$B54&amp;", ", ", "&amp;INDEX('Form Responses'!$I$1:$Q$200,18,$A54)&amp;", ")),ISNUMBER(SEARCH(", "&amp;$B54&amp;", ", ", "&amp;INDEX('Form Responses'!$R$1:$R$200,18)&amp;", "))),1,""))</f>
        <v/>
      </c>
      <c r="U54">
        <f>IF(Wizards!$A$19="","",IF(OR(ISNUMBER(SEARCH(", "&amp;$B54&amp;", ", ", "&amp;INDEX('Form Responses'!$I$1:$Q$200,19,$A54)&amp;", ")),ISNUMBER(SEARCH(", "&amp;$B54&amp;", ", ", "&amp;INDEX('Form Responses'!$R$1:$R$200,19)&amp;", "))),1,""))</f>
        <v/>
      </c>
      <c r="V54">
        <f>IF(Wizards!$A$20="","",IF(OR(ISNUMBER(SEARCH(", "&amp;$B54&amp;", ", ", "&amp;INDEX('Form Responses'!$I$1:$Q$200,20,$A54)&amp;", ")),ISNUMBER(SEARCH(", "&amp;$B54&amp;", ", ", "&amp;INDEX('Form Responses'!$R$1:$R$200,20)&amp;", "))),1,""))</f>
        <v/>
      </c>
      <c r="W54">
        <f>IF(Wizards!$A$21="","",IF(OR(ISNUMBER(SEARCH(", "&amp;$B54&amp;", ", ", "&amp;INDEX('Form Responses'!$I$1:$Q$200,21,$A54)&amp;", ")),ISNUMBER(SEARCH(", "&amp;$B54&amp;", ", ", "&amp;INDEX('Form Responses'!$R$1:$R$200,21)&amp;", "))),1,""))</f>
        <v/>
      </c>
      <c r="X54">
        <f>IF(Wizards!$A$22="","",IF(OR(ISNUMBER(SEARCH(", "&amp;$B54&amp;", ", ", "&amp;INDEX('Form Responses'!$I$1:$Q$200,22,$A54)&amp;", ")),ISNUMBER(SEARCH(", "&amp;$B54&amp;", ", ", "&amp;INDEX('Form Responses'!$R$1:$R$200,22)&amp;", "))),1,""))</f>
        <v/>
      </c>
      <c r="Y54">
        <f>IF(Wizards!$A$23="","",IF(OR(ISNUMBER(SEARCH(", "&amp;$B54&amp;", ", ", "&amp;INDEX('Form Responses'!$I$1:$Q$200,23,$A54)&amp;", ")),ISNUMBER(SEARCH(", "&amp;$B54&amp;", ", ", "&amp;INDEX('Form Responses'!$R$1:$R$200,23)&amp;", "))),1,""))</f>
        <v/>
      </c>
      <c r="Z54">
        <f>IF(Wizards!$A$24="","",IF(OR(ISNUMBER(SEARCH(", "&amp;$B54&amp;", ", ", "&amp;INDEX('Form Responses'!$I$1:$Q$200,24,$A54)&amp;", ")),ISNUMBER(SEARCH(", "&amp;$B54&amp;", ", ", "&amp;INDEX('Form Responses'!$R$1:$R$200,24)&amp;", "))),1,""))</f>
        <v/>
      </c>
      <c r="AA54">
        <f>IF(Wizards!$A$25="","",IF(OR(ISNUMBER(SEARCH(", "&amp;$B54&amp;", ", ", "&amp;INDEX('Form Responses'!$I$1:$Q$200,25,$A54)&amp;", ")),ISNUMBER(SEARCH(", "&amp;$B54&amp;", ", ", "&amp;INDEX('Form Responses'!$R$1:$R$200,25)&amp;", "))),1,""))</f>
        <v/>
      </c>
      <c r="AB54">
        <f>IF(D54=1,", "&amp;D$1,"")</f>
        <v/>
      </c>
      <c r="AC54">
        <f>IF(E54=1,", "&amp;E$1,"")</f>
        <v/>
      </c>
      <c r="AD54">
        <f>IF(F54=1,", "&amp;F$1,"")</f>
        <v/>
      </c>
      <c r="AE54">
        <f>IF(G54=1,", "&amp;G$1,"")</f>
        <v/>
      </c>
      <c r="AF54">
        <f>IF(H54=1,", "&amp;H$1,"")</f>
        <v/>
      </c>
      <c r="AG54">
        <f>IF(I54=1,", "&amp;I$1,"")</f>
        <v/>
      </c>
      <c r="AH54">
        <f>IF(J54=1,", "&amp;J$1,"")</f>
        <v/>
      </c>
      <c r="AI54">
        <f>IF(K54=1,", "&amp;K$1,"")</f>
        <v/>
      </c>
      <c r="AJ54">
        <f>IF(L54=1,", "&amp;L$1,"")</f>
        <v/>
      </c>
      <c r="AK54">
        <f>IF(M54=1,", "&amp;M$1,"")</f>
        <v/>
      </c>
      <c r="AL54">
        <f>IF(N54=1,", "&amp;N$1,"")</f>
        <v/>
      </c>
      <c r="AM54">
        <f>IF(O54=1,", "&amp;O$1,"")</f>
        <v/>
      </c>
      <c r="AN54">
        <f>IF(P54=1,", "&amp;P$1,"")</f>
        <v/>
      </c>
      <c r="AO54">
        <f>IF(Q54=1,", "&amp;Q$1,"")</f>
        <v/>
      </c>
      <c r="AP54">
        <f>IF(R54=1,", "&amp;R$1,"")</f>
        <v/>
      </c>
      <c r="AQ54">
        <f>IF(S54=1,", "&amp;S$1,"")</f>
        <v/>
      </c>
      <c r="AR54">
        <f>IF(T54=1,", "&amp;T$1,"")</f>
        <v/>
      </c>
      <c r="AS54">
        <f>IF(U54=1,", "&amp;U$1,"")</f>
        <v/>
      </c>
      <c r="AT54">
        <f>IF(V54=1,", "&amp;V$1,"")</f>
        <v/>
      </c>
      <c r="AU54">
        <f>IF(W54=1,", "&amp;W$1,"")</f>
        <v/>
      </c>
      <c r="AV54">
        <f>IF(X54=1,", "&amp;X$1,"")</f>
        <v/>
      </c>
      <c r="AW54">
        <f>IF(Y54=1,", "&amp;Y$1,"")</f>
        <v/>
      </c>
      <c r="AX54">
        <f>IF(Z54=1,", "&amp;Z$1,"")</f>
        <v/>
      </c>
      <c r="AY54">
        <f>IF(AA54=1,", "&amp;AA$1,"")</f>
        <v/>
      </c>
      <c r="AZ54">
        <f>MID($AB54&amp;$AC54&amp;$AD54&amp;$AE54&amp;$AF54&amp;$AG54&amp;$AH54&amp;$AI54&amp;$AJ54&amp;$AK54&amp;$AL54&amp;$AM54&amp;$AN54&amp;$AO54&amp;$AP54&amp;$AQ54&amp;$AR54&amp;$AS54&amp;$AT54&amp;$AU54&amp;$AV54&amp;$AW54&amp;$AX54&amp;$AY54,3,32767)</f>
        <v/>
      </c>
      <c r="BA54">
        <f>COUNT($D54:$AA54)</f>
        <v/>
      </c>
    </row>
    <row r="55">
      <c r="A55" t="n">
        <v>2</v>
      </c>
      <c r="B55" t="inlineStr">
        <is>
          <t>Darkvision</t>
        </is>
      </c>
      <c r="C55" t="inlineStr">
        <is>
          <t>Transmutation</t>
        </is>
      </c>
      <c r="D55">
        <f>IF(Wizards!$A$2="","",IF(OR(ISNUMBER(SEARCH(", "&amp;$B55&amp;", ", ", "&amp;INDEX('Form Responses'!$I$1:$Q$200,2,$A55)&amp;", ")),ISNUMBER(SEARCH(", "&amp;$B55&amp;", ", ", "&amp;INDEX('Form Responses'!$R$1:$R$200,2)&amp;", "))),1,""))</f>
        <v/>
      </c>
      <c r="E55">
        <f>IF(Wizards!$A$3="","",IF(OR(ISNUMBER(SEARCH(", "&amp;$B55&amp;", ", ", "&amp;INDEX('Form Responses'!$I$1:$Q$200,3,$A55)&amp;", ")),ISNUMBER(SEARCH(", "&amp;$B55&amp;", ", ", "&amp;INDEX('Form Responses'!$R$1:$R$200,3)&amp;", "))),1,""))</f>
        <v/>
      </c>
      <c r="F55">
        <f>IF(Wizards!$A$4="","",IF(OR(ISNUMBER(SEARCH(", "&amp;$B55&amp;", ", ", "&amp;INDEX('Form Responses'!$I$1:$Q$200,4,$A55)&amp;", ")),ISNUMBER(SEARCH(", "&amp;$B55&amp;", ", ", "&amp;INDEX('Form Responses'!$R$1:$R$200,4)&amp;", "))),1,""))</f>
        <v/>
      </c>
      <c r="G55">
        <f>IF(Wizards!$A$5="","",IF(OR(ISNUMBER(SEARCH(", "&amp;$B55&amp;", ", ", "&amp;INDEX('Form Responses'!$I$1:$Q$200,5,$A55)&amp;", ")),ISNUMBER(SEARCH(", "&amp;$B55&amp;", ", ", "&amp;INDEX('Form Responses'!$R$1:$R$200,5)&amp;", "))),1,""))</f>
        <v/>
      </c>
      <c r="H55">
        <f>IF(Wizards!$A$6="","",IF(OR(ISNUMBER(SEARCH(", "&amp;$B55&amp;", ", ", "&amp;INDEX('Form Responses'!$I$1:$Q$200,6,$A55)&amp;", ")),ISNUMBER(SEARCH(", "&amp;$B55&amp;", ", ", "&amp;INDEX('Form Responses'!$R$1:$R$200,6)&amp;", "))),1,""))</f>
        <v/>
      </c>
      <c r="I55">
        <f>IF(Wizards!$A$7="","",IF(OR(ISNUMBER(SEARCH(", "&amp;$B55&amp;", ", ", "&amp;INDEX('Form Responses'!$I$1:$Q$200,7,$A55)&amp;", ")),ISNUMBER(SEARCH(", "&amp;$B55&amp;", ", ", "&amp;INDEX('Form Responses'!$R$1:$R$200,7)&amp;", "))),1,""))</f>
        <v/>
      </c>
      <c r="J55">
        <f>IF(Wizards!$A$8="","",IF(OR(ISNUMBER(SEARCH(", "&amp;$B55&amp;", ", ", "&amp;INDEX('Form Responses'!$I$1:$Q$200,8,$A55)&amp;", ")),ISNUMBER(SEARCH(", "&amp;$B55&amp;", ", ", "&amp;INDEX('Form Responses'!$R$1:$R$200,8)&amp;", "))),1,""))</f>
        <v/>
      </c>
      <c r="K55">
        <f>IF(Wizards!$A$9="","",IF(OR(ISNUMBER(SEARCH(", "&amp;$B55&amp;", ", ", "&amp;INDEX('Form Responses'!$I$1:$Q$200,9,$A55)&amp;", ")),ISNUMBER(SEARCH(", "&amp;$B55&amp;", ", ", "&amp;INDEX('Form Responses'!$R$1:$R$200,9)&amp;", "))),1,""))</f>
        <v/>
      </c>
      <c r="L55">
        <f>IF(Wizards!$A$10="","",IF(OR(ISNUMBER(SEARCH(", "&amp;$B55&amp;", ", ", "&amp;INDEX('Form Responses'!$I$1:$Q$200,10,$A55)&amp;", ")),ISNUMBER(SEARCH(", "&amp;$B55&amp;", ", ", "&amp;INDEX('Form Responses'!$R$1:$R$200,10)&amp;", "))),1,""))</f>
        <v/>
      </c>
      <c r="M55">
        <f>IF(Wizards!$A$11="","",IF(OR(ISNUMBER(SEARCH(", "&amp;$B55&amp;", ", ", "&amp;INDEX('Form Responses'!$I$1:$Q$200,11,$A55)&amp;", ")),ISNUMBER(SEARCH(", "&amp;$B55&amp;", ", ", "&amp;INDEX('Form Responses'!$R$1:$R$200,11)&amp;", "))),1,""))</f>
        <v/>
      </c>
      <c r="N55">
        <f>IF(Wizards!$A$12="","",IF(OR(ISNUMBER(SEARCH(", "&amp;$B55&amp;", ", ", "&amp;INDEX('Form Responses'!$I$1:$Q$200,12,$A55)&amp;", ")),ISNUMBER(SEARCH(", "&amp;$B55&amp;", ", ", "&amp;INDEX('Form Responses'!$R$1:$R$200,12)&amp;", "))),1,""))</f>
        <v/>
      </c>
      <c r="O55">
        <f>IF(Wizards!$A$13="","",IF(OR(ISNUMBER(SEARCH(", "&amp;$B55&amp;", ", ", "&amp;INDEX('Form Responses'!$I$1:$Q$200,13,$A55)&amp;", ")),ISNUMBER(SEARCH(", "&amp;$B55&amp;", ", ", "&amp;INDEX('Form Responses'!$R$1:$R$200,13)&amp;", "))),1,""))</f>
        <v/>
      </c>
      <c r="P55">
        <f>IF(Wizards!$A$14="","",IF(OR(ISNUMBER(SEARCH(", "&amp;$B55&amp;", ", ", "&amp;INDEX('Form Responses'!$I$1:$Q$200,14,$A55)&amp;", ")),ISNUMBER(SEARCH(", "&amp;$B55&amp;", ", ", "&amp;INDEX('Form Responses'!$R$1:$R$200,14)&amp;", "))),1,""))</f>
        <v/>
      </c>
      <c r="Q55">
        <f>IF(Wizards!$A$15="","",IF(OR(ISNUMBER(SEARCH(", "&amp;$B55&amp;", ", ", "&amp;INDEX('Form Responses'!$I$1:$Q$200,15,$A55)&amp;", ")),ISNUMBER(SEARCH(", "&amp;$B55&amp;", ", ", "&amp;INDEX('Form Responses'!$R$1:$R$200,15)&amp;", "))),1,""))</f>
        <v/>
      </c>
      <c r="R55">
        <f>IF(Wizards!$A$16="","",IF(OR(ISNUMBER(SEARCH(", "&amp;$B55&amp;", ", ", "&amp;INDEX('Form Responses'!$I$1:$Q$200,16,$A55)&amp;", ")),ISNUMBER(SEARCH(", "&amp;$B55&amp;", ", ", "&amp;INDEX('Form Responses'!$R$1:$R$200,16)&amp;", "))),1,""))</f>
        <v/>
      </c>
      <c r="S55">
        <f>IF(Wizards!$A$17="","",IF(OR(ISNUMBER(SEARCH(", "&amp;$B55&amp;", ", ", "&amp;INDEX('Form Responses'!$I$1:$Q$200,17,$A55)&amp;", ")),ISNUMBER(SEARCH(", "&amp;$B55&amp;", ", ", "&amp;INDEX('Form Responses'!$R$1:$R$200,17)&amp;", "))),1,""))</f>
        <v/>
      </c>
      <c r="T55">
        <f>IF(Wizards!$A$18="","",IF(OR(ISNUMBER(SEARCH(", "&amp;$B55&amp;", ", ", "&amp;INDEX('Form Responses'!$I$1:$Q$200,18,$A55)&amp;", ")),ISNUMBER(SEARCH(", "&amp;$B55&amp;", ", ", "&amp;INDEX('Form Responses'!$R$1:$R$200,18)&amp;", "))),1,""))</f>
        <v/>
      </c>
      <c r="U55">
        <f>IF(Wizards!$A$19="","",IF(OR(ISNUMBER(SEARCH(", "&amp;$B55&amp;", ", ", "&amp;INDEX('Form Responses'!$I$1:$Q$200,19,$A55)&amp;", ")),ISNUMBER(SEARCH(", "&amp;$B55&amp;", ", ", "&amp;INDEX('Form Responses'!$R$1:$R$200,19)&amp;", "))),1,""))</f>
        <v/>
      </c>
      <c r="V55">
        <f>IF(Wizards!$A$20="","",IF(OR(ISNUMBER(SEARCH(", "&amp;$B55&amp;", ", ", "&amp;INDEX('Form Responses'!$I$1:$Q$200,20,$A55)&amp;", ")),ISNUMBER(SEARCH(", "&amp;$B55&amp;", ", ", "&amp;INDEX('Form Responses'!$R$1:$R$200,20)&amp;", "))),1,""))</f>
        <v/>
      </c>
      <c r="W55">
        <f>IF(Wizards!$A$21="","",IF(OR(ISNUMBER(SEARCH(", "&amp;$B55&amp;", ", ", "&amp;INDEX('Form Responses'!$I$1:$Q$200,21,$A55)&amp;", ")),ISNUMBER(SEARCH(", "&amp;$B55&amp;", ", ", "&amp;INDEX('Form Responses'!$R$1:$R$200,21)&amp;", "))),1,""))</f>
        <v/>
      </c>
      <c r="X55">
        <f>IF(Wizards!$A$22="","",IF(OR(ISNUMBER(SEARCH(", "&amp;$B55&amp;", ", ", "&amp;INDEX('Form Responses'!$I$1:$Q$200,22,$A55)&amp;", ")),ISNUMBER(SEARCH(", "&amp;$B55&amp;", ", ", "&amp;INDEX('Form Responses'!$R$1:$R$200,22)&amp;", "))),1,""))</f>
        <v/>
      </c>
      <c r="Y55">
        <f>IF(Wizards!$A$23="","",IF(OR(ISNUMBER(SEARCH(", "&amp;$B55&amp;", ", ", "&amp;INDEX('Form Responses'!$I$1:$Q$200,23,$A55)&amp;", ")),ISNUMBER(SEARCH(", "&amp;$B55&amp;", ", ", "&amp;INDEX('Form Responses'!$R$1:$R$200,23)&amp;", "))),1,""))</f>
        <v/>
      </c>
      <c r="Z55">
        <f>IF(Wizards!$A$24="","",IF(OR(ISNUMBER(SEARCH(", "&amp;$B55&amp;", ", ", "&amp;INDEX('Form Responses'!$I$1:$Q$200,24,$A55)&amp;", ")),ISNUMBER(SEARCH(", "&amp;$B55&amp;", ", ", "&amp;INDEX('Form Responses'!$R$1:$R$200,24)&amp;", "))),1,""))</f>
        <v/>
      </c>
      <c r="AA55">
        <f>IF(Wizards!$A$25="","",IF(OR(ISNUMBER(SEARCH(", "&amp;$B55&amp;", ", ", "&amp;INDEX('Form Responses'!$I$1:$Q$200,25,$A55)&amp;", ")),ISNUMBER(SEARCH(", "&amp;$B55&amp;", ", ", "&amp;INDEX('Form Responses'!$R$1:$R$200,25)&amp;", "))),1,""))</f>
        <v/>
      </c>
      <c r="AB55">
        <f>IF(D55=1,", "&amp;D$1,"")</f>
        <v/>
      </c>
      <c r="AC55">
        <f>IF(E55=1,", "&amp;E$1,"")</f>
        <v/>
      </c>
      <c r="AD55">
        <f>IF(F55=1,", "&amp;F$1,"")</f>
        <v/>
      </c>
      <c r="AE55">
        <f>IF(G55=1,", "&amp;G$1,"")</f>
        <v/>
      </c>
      <c r="AF55">
        <f>IF(H55=1,", "&amp;H$1,"")</f>
        <v/>
      </c>
      <c r="AG55">
        <f>IF(I55=1,", "&amp;I$1,"")</f>
        <v/>
      </c>
      <c r="AH55">
        <f>IF(J55=1,", "&amp;J$1,"")</f>
        <v/>
      </c>
      <c r="AI55">
        <f>IF(K55=1,", "&amp;K$1,"")</f>
        <v/>
      </c>
      <c r="AJ55">
        <f>IF(L55=1,", "&amp;L$1,"")</f>
        <v/>
      </c>
      <c r="AK55">
        <f>IF(M55=1,", "&amp;M$1,"")</f>
        <v/>
      </c>
      <c r="AL55">
        <f>IF(N55=1,", "&amp;N$1,"")</f>
        <v/>
      </c>
      <c r="AM55">
        <f>IF(O55=1,", "&amp;O$1,"")</f>
        <v/>
      </c>
      <c r="AN55">
        <f>IF(P55=1,", "&amp;P$1,"")</f>
        <v/>
      </c>
      <c r="AO55">
        <f>IF(Q55=1,", "&amp;Q$1,"")</f>
        <v/>
      </c>
      <c r="AP55">
        <f>IF(R55=1,", "&amp;R$1,"")</f>
        <v/>
      </c>
      <c r="AQ55">
        <f>IF(S55=1,", "&amp;S$1,"")</f>
        <v/>
      </c>
      <c r="AR55">
        <f>IF(T55=1,", "&amp;T$1,"")</f>
        <v/>
      </c>
      <c r="AS55">
        <f>IF(U55=1,", "&amp;U$1,"")</f>
        <v/>
      </c>
      <c r="AT55">
        <f>IF(V55=1,", "&amp;V$1,"")</f>
        <v/>
      </c>
      <c r="AU55">
        <f>IF(W55=1,", "&amp;W$1,"")</f>
        <v/>
      </c>
      <c r="AV55">
        <f>IF(X55=1,", "&amp;X$1,"")</f>
        <v/>
      </c>
      <c r="AW55">
        <f>IF(Y55=1,", "&amp;Y$1,"")</f>
        <v/>
      </c>
      <c r="AX55">
        <f>IF(Z55=1,", "&amp;Z$1,"")</f>
        <v/>
      </c>
      <c r="AY55">
        <f>IF(AA55=1,", "&amp;AA$1,"")</f>
        <v/>
      </c>
      <c r="AZ55">
        <f>MID($AB55&amp;$AC55&amp;$AD55&amp;$AE55&amp;$AF55&amp;$AG55&amp;$AH55&amp;$AI55&amp;$AJ55&amp;$AK55&amp;$AL55&amp;$AM55&amp;$AN55&amp;$AO55&amp;$AP55&amp;$AQ55&amp;$AR55&amp;$AS55&amp;$AT55&amp;$AU55&amp;$AV55&amp;$AW55&amp;$AX55&amp;$AY55,3,32767)</f>
        <v/>
      </c>
      <c r="BA55">
        <f>COUNT($D55:$AA55)</f>
        <v/>
      </c>
    </row>
    <row r="56">
      <c r="A56" t="n">
        <v>2</v>
      </c>
      <c r="B56" t="inlineStr">
        <is>
          <t>Death Armor</t>
        </is>
      </c>
      <c r="C56" t="inlineStr">
        <is>
          <t>Necromancy</t>
        </is>
      </c>
      <c r="D56">
        <f>IF(Wizards!$A$2="","",IF(OR(ISNUMBER(SEARCH(", "&amp;$B56&amp;", ", ", "&amp;INDEX('Form Responses'!$I$1:$Q$200,2,$A56)&amp;", ")),ISNUMBER(SEARCH(", "&amp;$B56&amp;", ", ", "&amp;INDEX('Form Responses'!$R$1:$R$200,2)&amp;", "))),1,""))</f>
        <v/>
      </c>
      <c r="E56">
        <f>IF(Wizards!$A$3="","",IF(OR(ISNUMBER(SEARCH(", "&amp;$B56&amp;", ", ", "&amp;INDEX('Form Responses'!$I$1:$Q$200,3,$A56)&amp;", ")),ISNUMBER(SEARCH(", "&amp;$B56&amp;", ", ", "&amp;INDEX('Form Responses'!$R$1:$R$200,3)&amp;", "))),1,""))</f>
        <v/>
      </c>
      <c r="F56">
        <f>IF(Wizards!$A$4="","",IF(OR(ISNUMBER(SEARCH(", "&amp;$B56&amp;", ", ", "&amp;INDEX('Form Responses'!$I$1:$Q$200,4,$A56)&amp;", ")),ISNUMBER(SEARCH(", "&amp;$B56&amp;", ", ", "&amp;INDEX('Form Responses'!$R$1:$R$200,4)&amp;", "))),1,""))</f>
        <v/>
      </c>
      <c r="G56">
        <f>IF(Wizards!$A$5="","",IF(OR(ISNUMBER(SEARCH(", "&amp;$B56&amp;", ", ", "&amp;INDEX('Form Responses'!$I$1:$Q$200,5,$A56)&amp;", ")),ISNUMBER(SEARCH(", "&amp;$B56&amp;", ", ", "&amp;INDEX('Form Responses'!$R$1:$R$200,5)&amp;", "))),1,""))</f>
        <v/>
      </c>
      <c r="H56">
        <f>IF(Wizards!$A$6="","",IF(OR(ISNUMBER(SEARCH(", "&amp;$B56&amp;", ", ", "&amp;INDEX('Form Responses'!$I$1:$Q$200,6,$A56)&amp;", ")),ISNUMBER(SEARCH(", "&amp;$B56&amp;", ", ", "&amp;INDEX('Form Responses'!$R$1:$R$200,6)&amp;", "))),1,""))</f>
        <v/>
      </c>
      <c r="I56">
        <f>IF(Wizards!$A$7="","",IF(OR(ISNUMBER(SEARCH(", "&amp;$B56&amp;", ", ", "&amp;INDEX('Form Responses'!$I$1:$Q$200,7,$A56)&amp;", ")),ISNUMBER(SEARCH(", "&amp;$B56&amp;", ", ", "&amp;INDEX('Form Responses'!$R$1:$R$200,7)&amp;", "))),1,""))</f>
        <v/>
      </c>
      <c r="J56">
        <f>IF(Wizards!$A$8="","",IF(OR(ISNUMBER(SEARCH(", "&amp;$B56&amp;", ", ", "&amp;INDEX('Form Responses'!$I$1:$Q$200,8,$A56)&amp;", ")),ISNUMBER(SEARCH(", "&amp;$B56&amp;", ", ", "&amp;INDEX('Form Responses'!$R$1:$R$200,8)&amp;", "))),1,""))</f>
        <v/>
      </c>
      <c r="K56">
        <f>IF(Wizards!$A$9="","",IF(OR(ISNUMBER(SEARCH(", "&amp;$B56&amp;", ", ", "&amp;INDEX('Form Responses'!$I$1:$Q$200,9,$A56)&amp;", ")),ISNUMBER(SEARCH(", "&amp;$B56&amp;", ", ", "&amp;INDEX('Form Responses'!$R$1:$R$200,9)&amp;", "))),1,""))</f>
        <v/>
      </c>
      <c r="L56">
        <f>IF(Wizards!$A$10="","",IF(OR(ISNUMBER(SEARCH(", "&amp;$B56&amp;", ", ", "&amp;INDEX('Form Responses'!$I$1:$Q$200,10,$A56)&amp;", ")),ISNUMBER(SEARCH(", "&amp;$B56&amp;", ", ", "&amp;INDEX('Form Responses'!$R$1:$R$200,10)&amp;", "))),1,""))</f>
        <v/>
      </c>
      <c r="M56">
        <f>IF(Wizards!$A$11="","",IF(OR(ISNUMBER(SEARCH(", "&amp;$B56&amp;", ", ", "&amp;INDEX('Form Responses'!$I$1:$Q$200,11,$A56)&amp;", ")),ISNUMBER(SEARCH(", "&amp;$B56&amp;", ", ", "&amp;INDEX('Form Responses'!$R$1:$R$200,11)&amp;", "))),1,""))</f>
        <v/>
      </c>
      <c r="N56">
        <f>IF(Wizards!$A$12="","",IF(OR(ISNUMBER(SEARCH(", "&amp;$B56&amp;", ", ", "&amp;INDEX('Form Responses'!$I$1:$Q$200,12,$A56)&amp;", ")),ISNUMBER(SEARCH(", "&amp;$B56&amp;", ", ", "&amp;INDEX('Form Responses'!$R$1:$R$200,12)&amp;", "))),1,""))</f>
        <v/>
      </c>
      <c r="O56">
        <f>IF(Wizards!$A$13="","",IF(OR(ISNUMBER(SEARCH(", "&amp;$B56&amp;", ", ", "&amp;INDEX('Form Responses'!$I$1:$Q$200,13,$A56)&amp;", ")),ISNUMBER(SEARCH(", "&amp;$B56&amp;", ", ", "&amp;INDEX('Form Responses'!$R$1:$R$200,13)&amp;", "))),1,""))</f>
        <v/>
      </c>
      <c r="P56">
        <f>IF(Wizards!$A$14="","",IF(OR(ISNUMBER(SEARCH(", "&amp;$B56&amp;", ", ", "&amp;INDEX('Form Responses'!$I$1:$Q$200,14,$A56)&amp;", ")),ISNUMBER(SEARCH(", "&amp;$B56&amp;", ", ", "&amp;INDEX('Form Responses'!$R$1:$R$200,14)&amp;", "))),1,""))</f>
        <v/>
      </c>
      <c r="Q56">
        <f>IF(Wizards!$A$15="","",IF(OR(ISNUMBER(SEARCH(", "&amp;$B56&amp;", ", ", "&amp;INDEX('Form Responses'!$I$1:$Q$200,15,$A56)&amp;", ")),ISNUMBER(SEARCH(", "&amp;$B56&amp;", ", ", "&amp;INDEX('Form Responses'!$R$1:$R$200,15)&amp;", "))),1,""))</f>
        <v/>
      </c>
      <c r="R56">
        <f>IF(Wizards!$A$16="","",IF(OR(ISNUMBER(SEARCH(", "&amp;$B56&amp;", ", ", "&amp;INDEX('Form Responses'!$I$1:$Q$200,16,$A56)&amp;", ")),ISNUMBER(SEARCH(", "&amp;$B56&amp;", ", ", "&amp;INDEX('Form Responses'!$R$1:$R$200,16)&amp;", "))),1,""))</f>
        <v/>
      </c>
      <c r="S56">
        <f>IF(Wizards!$A$17="","",IF(OR(ISNUMBER(SEARCH(", "&amp;$B56&amp;", ", ", "&amp;INDEX('Form Responses'!$I$1:$Q$200,17,$A56)&amp;", ")),ISNUMBER(SEARCH(", "&amp;$B56&amp;", ", ", "&amp;INDEX('Form Responses'!$R$1:$R$200,17)&amp;", "))),1,""))</f>
        <v/>
      </c>
      <c r="T56">
        <f>IF(Wizards!$A$18="","",IF(OR(ISNUMBER(SEARCH(", "&amp;$B56&amp;", ", ", "&amp;INDEX('Form Responses'!$I$1:$Q$200,18,$A56)&amp;", ")),ISNUMBER(SEARCH(", "&amp;$B56&amp;", ", ", "&amp;INDEX('Form Responses'!$R$1:$R$200,18)&amp;", "))),1,""))</f>
        <v/>
      </c>
      <c r="U56">
        <f>IF(Wizards!$A$19="","",IF(OR(ISNUMBER(SEARCH(", "&amp;$B56&amp;", ", ", "&amp;INDEX('Form Responses'!$I$1:$Q$200,19,$A56)&amp;", ")),ISNUMBER(SEARCH(", "&amp;$B56&amp;", ", ", "&amp;INDEX('Form Responses'!$R$1:$R$200,19)&amp;", "))),1,""))</f>
        <v/>
      </c>
      <c r="V56">
        <f>IF(Wizards!$A$20="","",IF(OR(ISNUMBER(SEARCH(", "&amp;$B56&amp;", ", ", "&amp;INDEX('Form Responses'!$I$1:$Q$200,20,$A56)&amp;", ")),ISNUMBER(SEARCH(", "&amp;$B56&amp;", ", ", "&amp;INDEX('Form Responses'!$R$1:$R$200,20)&amp;", "))),1,""))</f>
        <v/>
      </c>
      <c r="W56">
        <f>IF(Wizards!$A$21="","",IF(OR(ISNUMBER(SEARCH(", "&amp;$B56&amp;", ", ", "&amp;INDEX('Form Responses'!$I$1:$Q$200,21,$A56)&amp;", ")),ISNUMBER(SEARCH(", "&amp;$B56&amp;", ", ", "&amp;INDEX('Form Responses'!$R$1:$R$200,21)&amp;", "))),1,""))</f>
        <v/>
      </c>
      <c r="X56">
        <f>IF(Wizards!$A$22="","",IF(OR(ISNUMBER(SEARCH(", "&amp;$B56&amp;", ", ", "&amp;INDEX('Form Responses'!$I$1:$Q$200,22,$A56)&amp;", ")),ISNUMBER(SEARCH(", "&amp;$B56&amp;", ", ", "&amp;INDEX('Form Responses'!$R$1:$R$200,22)&amp;", "))),1,""))</f>
        <v/>
      </c>
      <c r="Y56">
        <f>IF(Wizards!$A$23="","",IF(OR(ISNUMBER(SEARCH(", "&amp;$B56&amp;", ", ", "&amp;INDEX('Form Responses'!$I$1:$Q$200,23,$A56)&amp;", ")),ISNUMBER(SEARCH(", "&amp;$B56&amp;", ", ", "&amp;INDEX('Form Responses'!$R$1:$R$200,23)&amp;", "))),1,""))</f>
        <v/>
      </c>
      <c r="Z56">
        <f>IF(Wizards!$A$24="","",IF(OR(ISNUMBER(SEARCH(", "&amp;$B56&amp;", ", ", "&amp;INDEX('Form Responses'!$I$1:$Q$200,24,$A56)&amp;", ")),ISNUMBER(SEARCH(", "&amp;$B56&amp;", ", ", "&amp;INDEX('Form Responses'!$R$1:$R$200,24)&amp;", "))),1,""))</f>
        <v/>
      </c>
      <c r="AA56">
        <f>IF(Wizards!$A$25="","",IF(OR(ISNUMBER(SEARCH(", "&amp;$B56&amp;", ", ", "&amp;INDEX('Form Responses'!$I$1:$Q$200,25,$A56)&amp;", ")),ISNUMBER(SEARCH(", "&amp;$B56&amp;", ", ", "&amp;INDEX('Form Responses'!$R$1:$R$200,25)&amp;", "))),1,""))</f>
        <v/>
      </c>
      <c r="AB56">
        <f>IF(D56=1,", "&amp;D$1,"")</f>
        <v/>
      </c>
      <c r="AC56">
        <f>IF(E56=1,", "&amp;E$1,"")</f>
        <v/>
      </c>
      <c r="AD56">
        <f>IF(F56=1,", "&amp;F$1,"")</f>
        <v/>
      </c>
      <c r="AE56">
        <f>IF(G56=1,", "&amp;G$1,"")</f>
        <v/>
      </c>
      <c r="AF56">
        <f>IF(H56=1,", "&amp;H$1,"")</f>
        <v/>
      </c>
      <c r="AG56">
        <f>IF(I56=1,", "&amp;I$1,"")</f>
        <v/>
      </c>
      <c r="AH56">
        <f>IF(J56=1,", "&amp;J$1,"")</f>
        <v/>
      </c>
      <c r="AI56">
        <f>IF(K56=1,", "&amp;K$1,"")</f>
        <v/>
      </c>
      <c r="AJ56">
        <f>IF(L56=1,", "&amp;L$1,"")</f>
        <v/>
      </c>
      <c r="AK56">
        <f>IF(M56=1,", "&amp;M$1,"")</f>
        <v/>
      </c>
      <c r="AL56">
        <f>IF(N56=1,", "&amp;N$1,"")</f>
        <v/>
      </c>
      <c r="AM56">
        <f>IF(O56=1,", "&amp;O$1,"")</f>
        <v/>
      </c>
      <c r="AN56">
        <f>IF(P56=1,", "&amp;P$1,"")</f>
        <v/>
      </c>
      <c r="AO56">
        <f>IF(Q56=1,", "&amp;Q$1,"")</f>
        <v/>
      </c>
      <c r="AP56">
        <f>IF(R56=1,", "&amp;R$1,"")</f>
        <v/>
      </c>
      <c r="AQ56">
        <f>IF(S56=1,", "&amp;S$1,"")</f>
        <v/>
      </c>
      <c r="AR56">
        <f>IF(T56=1,", "&amp;T$1,"")</f>
        <v/>
      </c>
      <c r="AS56">
        <f>IF(U56=1,", "&amp;U$1,"")</f>
        <v/>
      </c>
      <c r="AT56">
        <f>IF(V56=1,", "&amp;V$1,"")</f>
        <v/>
      </c>
      <c r="AU56">
        <f>IF(W56=1,", "&amp;W$1,"")</f>
        <v/>
      </c>
      <c r="AV56">
        <f>IF(X56=1,", "&amp;X$1,"")</f>
        <v/>
      </c>
      <c r="AW56">
        <f>IF(Y56=1,", "&amp;Y$1,"")</f>
        <v/>
      </c>
      <c r="AX56">
        <f>IF(Z56=1,", "&amp;Z$1,"")</f>
        <v/>
      </c>
      <c r="AY56">
        <f>IF(AA56=1,", "&amp;AA$1,"")</f>
        <v/>
      </c>
      <c r="AZ56">
        <f>MID($AB56&amp;$AC56&amp;$AD56&amp;$AE56&amp;$AF56&amp;$AG56&amp;$AH56&amp;$AI56&amp;$AJ56&amp;$AK56&amp;$AL56&amp;$AM56&amp;$AN56&amp;$AO56&amp;$AP56&amp;$AQ56&amp;$AR56&amp;$AS56&amp;$AT56&amp;$AU56&amp;$AV56&amp;$AW56&amp;$AX56&amp;$AY56,3,32767)</f>
        <v/>
      </c>
      <c r="BA56">
        <f>COUNT($D56:$AA56)</f>
        <v/>
      </c>
    </row>
    <row r="57">
      <c r="A57" t="n">
        <v>2</v>
      </c>
      <c r="B57" t="inlineStr">
        <is>
          <t>Deryan's Helpful Homunculi</t>
        </is>
      </c>
      <c r="C57" t="inlineStr">
        <is>
          <t>Conjuration</t>
        </is>
      </c>
      <c r="D57">
        <f>IF(Wizards!$A$2="","",IF(OR(ISNUMBER(SEARCH(", "&amp;$B57&amp;", ", ", "&amp;INDEX('Form Responses'!$I$1:$Q$200,2,$A57)&amp;", ")),ISNUMBER(SEARCH(", "&amp;$B57&amp;", ", ", "&amp;INDEX('Form Responses'!$R$1:$R$200,2)&amp;", "))),1,""))</f>
        <v/>
      </c>
      <c r="E57">
        <f>IF(Wizards!$A$3="","",IF(OR(ISNUMBER(SEARCH(", "&amp;$B57&amp;", ", ", "&amp;INDEX('Form Responses'!$I$1:$Q$200,3,$A57)&amp;", ")),ISNUMBER(SEARCH(", "&amp;$B57&amp;", ", ", "&amp;INDEX('Form Responses'!$R$1:$R$200,3)&amp;", "))),1,""))</f>
        <v/>
      </c>
      <c r="F57">
        <f>IF(Wizards!$A$4="","",IF(OR(ISNUMBER(SEARCH(", "&amp;$B57&amp;", ", ", "&amp;INDEX('Form Responses'!$I$1:$Q$200,4,$A57)&amp;", ")),ISNUMBER(SEARCH(", "&amp;$B57&amp;", ", ", "&amp;INDEX('Form Responses'!$R$1:$R$200,4)&amp;", "))),1,""))</f>
        <v/>
      </c>
      <c r="G57">
        <f>IF(Wizards!$A$5="","",IF(OR(ISNUMBER(SEARCH(", "&amp;$B57&amp;", ", ", "&amp;INDEX('Form Responses'!$I$1:$Q$200,5,$A57)&amp;", ")),ISNUMBER(SEARCH(", "&amp;$B57&amp;", ", ", "&amp;INDEX('Form Responses'!$R$1:$R$200,5)&amp;", "))),1,""))</f>
        <v/>
      </c>
      <c r="H57">
        <f>IF(Wizards!$A$6="","",IF(OR(ISNUMBER(SEARCH(", "&amp;$B57&amp;", ", ", "&amp;INDEX('Form Responses'!$I$1:$Q$200,6,$A57)&amp;", ")),ISNUMBER(SEARCH(", "&amp;$B57&amp;", ", ", "&amp;INDEX('Form Responses'!$R$1:$R$200,6)&amp;", "))),1,""))</f>
        <v/>
      </c>
      <c r="I57">
        <f>IF(Wizards!$A$7="","",IF(OR(ISNUMBER(SEARCH(", "&amp;$B57&amp;", ", ", "&amp;INDEX('Form Responses'!$I$1:$Q$200,7,$A57)&amp;", ")),ISNUMBER(SEARCH(", "&amp;$B57&amp;", ", ", "&amp;INDEX('Form Responses'!$R$1:$R$200,7)&amp;", "))),1,""))</f>
        <v/>
      </c>
      <c r="J57">
        <f>IF(Wizards!$A$8="","",IF(OR(ISNUMBER(SEARCH(", "&amp;$B57&amp;", ", ", "&amp;INDEX('Form Responses'!$I$1:$Q$200,8,$A57)&amp;", ")),ISNUMBER(SEARCH(", "&amp;$B57&amp;", ", ", "&amp;INDEX('Form Responses'!$R$1:$R$200,8)&amp;", "))),1,""))</f>
        <v/>
      </c>
      <c r="K57">
        <f>IF(Wizards!$A$9="","",IF(OR(ISNUMBER(SEARCH(", "&amp;$B57&amp;", ", ", "&amp;INDEX('Form Responses'!$I$1:$Q$200,9,$A57)&amp;", ")),ISNUMBER(SEARCH(", "&amp;$B57&amp;", ", ", "&amp;INDEX('Form Responses'!$R$1:$R$200,9)&amp;", "))),1,""))</f>
        <v/>
      </c>
      <c r="L57">
        <f>IF(Wizards!$A$10="","",IF(OR(ISNUMBER(SEARCH(", "&amp;$B57&amp;", ", ", "&amp;INDEX('Form Responses'!$I$1:$Q$200,10,$A57)&amp;", ")),ISNUMBER(SEARCH(", "&amp;$B57&amp;", ", ", "&amp;INDEX('Form Responses'!$R$1:$R$200,10)&amp;", "))),1,""))</f>
        <v/>
      </c>
      <c r="M57">
        <f>IF(Wizards!$A$11="","",IF(OR(ISNUMBER(SEARCH(", "&amp;$B57&amp;", ", ", "&amp;INDEX('Form Responses'!$I$1:$Q$200,11,$A57)&amp;", ")),ISNUMBER(SEARCH(", "&amp;$B57&amp;", ", ", "&amp;INDEX('Form Responses'!$R$1:$R$200,11)&amp;", "))),1,""))</f>
        <v/>
      </c>
      <c r="N57">
        <f>IF(Wizards!$A$12="","",IF(OR(ISNUMBER(SEARCH(", "&amp;$B57&amp;", ", ", "&amp;INDEX('Form Responses'!$I$1:$Q$200,12,$A57)&amp;", ")),ISNUMBER(SEARCH(", "&amp;$B57&amp;", ", ", "&amp;INDEX('Form Responses'!$R$1:$R$200,12)&amp;", "))),1,""))</f>
        <v/>
      </c>
      <c r="O57">
        <f>IF(Wizards!$A$13="","",IF(OR(ISNUMBER(SEARCH(", "&amp;$B57&amp;", ", ", "&amp;INDEX('Form Responses'!$I$1:$Q$200,13,$A57)&amp;", ")),ISNUMBER(SEARCH(", "&amp;$B57&amp;", ", ", "&amp;INDEX('Form Responses'!$R$1:$R$200,13)&amp;", "))),1,""))</f>
        <v/>
      </c>
      <c r="P57">
        <f>IF(Wizards!$A$14="","",IF(OR(ISNUMBER(SEARCH(", "&amp;$B57&amp;", ", ", "&amp;INDEX('Form Responses'!$I$1:$Q$200,14,$A57)&amp;", ")),ISNUMBER(SEARCH(", "&amp;$B57&amp;", ", ", "&amp;INDEX('Form Responses'!$R$1:$R$200,14)&amp;", "))),1,""))</f>
        <v/>
      </c>
      <c r="Q57">
        <f>IF(Wizards!$A$15="","",IF(OR(ISNUMBER(SEARCH(", "&amp;$B57&amp;", ", ", "&amp;INDEX('Form Responses'!$I$1:$Q$200,15,$A57)&amp;", ")),ISNUMBER(SEARCH(", "&amp;$B57&amp;", ", ", "&amp;INDEX('Form Responses'!$R$1:$R$200,15)&amp;", "))),1,""))</f>
        <v/>
      </c>
      <c r="R57">
        <f>IF(Wizards!$A$16="","",IF(OR(ISNUMBER(SEARCH(", "&amp;$B57&amp;", ", ", "&amp;INDEX('Form Responses'!$I$1:$Q$200,16,$A57)&amp;", ")),ISNUMBER(SEARCH(", "&amp;$B57&amp;", ", ", "&amp;INDEX('Form Responses'!$R$1:$R$200,16)&amp;", "))),1,""))</f>
        <v/>
      </c>
      <c r="S57">
        <f>IF(Wizards!$A$17="","",IF(OR(ISNUMBER(SEARCH(", "&amp;$B57&amp;", ", ", "&amp;INDEX('Form Responses'!$I$1:$Q$200,17,$A57)&amp;", ")),ISNUMBER(SEARCH(", "&amp;$B57&amp;", ", ", "&amp;INDEX('Form Responses'!$R$1:$R$200,17)&amp;", "))),1,""))</f>
        <v/>
      </c>
      <c r="T57">
        <f>IF(Wizards!$A$18="","",IF(OR(ISNUMBER(SEARCH(", "&amp;$B57&amp;", ", ", "&amp;INDEX('Form Responses'!$I$1:$Q$200,18,$A57)&amp;", ")),ISNUMBER(SEARCH(", "&amp;$B57&amp;", ", ", "&amp;INDEX('Form Responses'!$R$1:$R$200,18)&amp;", "))),1,""))</f>
        <v/>
      </c>
      <c r="U57">
        <f>IF(Wizards!$A$19="","",IF(OR(ISNUMBER(SEARCH(", "&amp;$B57&amp;", ", ", "&amp;INDEX('Form Responses'!$I$1:$Q$200,19,$A57)&amp;", ")),ISNUMBER(SEARCH(", "&amp;$B57&amp;", ", ", "&amp;INDEX('Form Responses'!$R$1:$R$200,19)&amp;", "))),1,""))</f>
        <v/>
      </c>
      <c r="V57">
        <f>IF(Wizards!$A$20="","",IF(OR(ISNUMBER(SEARCH(", "&amp;$B57&amp;", ", ", "&amp;INDEX('Form Responses'!$I$1:$Q$200,20,$A57)&amp;", ")),ISNUMBER(SEARCH(", "&amp;$B57&amp;", ", ", "&amp;INDEX('Form Responses'!$R$1:$R$200,20)&amp;", "))),1,""))</f>
        <v/>
      </c>
      <c r="W57">
        <f>IF(Wizards!$A$21="","",IF(OR(ISNUMBER(SEARCH(", "&amp;$B57&amp;", ", ", "&amp;INDEX('Form Responses'!$I$1:$Q$200,21,$A57)&amp;", ")),ISNUMBER(SEARCH(", "&amp;$B57&amp;", ", ", "&amp;INDEX('Form Responses'!$R$1:$R$200,21)&amp;", "))),1,""))</f>
        <v/>
      </c>
      <c r="X57">
        <f>IF(Wizards!$A$22="","",IF(OR(ISNUMBER(SEARCH(", "&amp;$B57&amp;", ", ", "&amp;INDEX('Form Responses'!$I$1:$Q$200,22,$A57)&amp;", ")),ISNUMBER(SEARCH(", "&amp;$B57&amp;", ", ", "&amp;INDEX('Form Responses'!$R$1:$R$200,22)&amp;", "))),1,""))</f>
        <v/>
      </c>
      <c r="Y57">
        <f>IF(Wizards!$A$23="","",IF(OR(ISNUMBER(SEARCH(", "&amp;$B57&amp;", ", ", "&amp;INDEX('Form Responses'!$I$1:$Q$200,23,$A57)&amp;", ")),ISNUMBER(SEARCH(", "&amp;$B57&amp;", ", ", "&amp;INDEX('Form Responses'!$R$1:$R$200,23)&amp;", "))),1,""))</f>
        <v/>
      </c>
      <c r="Z57">
        <f>IF(Wizards!$A$24="","",IF(OR(ISNUMBER(SEARCH(", "&amp;$B57&amp;", ", ", "&amp;INDEX('Form Responses'!$I$1:$Q$200,24,$A57)&amp;", ")),ISNUMBER(SEARCH(", "&amp;$B57&amp;", ", ", "&amp;INDEX('Form Responses'!$R$1:$R$200,24)&amp;", "))),1,""))</f>
        <v/>
      </c>
      <c r="AA57">
        <f>IF(Wizards!$A$25="","",IF(OR(ISNUMBER(SEARCH(", "&amp;$B57&amp;", ", ", "&amp;INDEX('Form Responses'!$I$1:$Q$200,25,$A57)&amp;", ")),ISNUMBER(SEARCH(", "&amp;$B57&amp;", ", ", "&amp;INDEX('Form Responses'!$R$1:$R$200,25)&amp;", "))),1,""))</f>
        <v/>
      </c>
      <c r="AB57">
        <f>IF(D57=1,", "&amp;D$1,"")</f>
        <v/>
      </c>
      <c r="AC57">
        <f>IF(E57=1,", "&amp;E$1,"")</f>
        <v/>
      </c>
      <c r="AD57">
        <f>IF(F57=1,", "&amp;F$1,"")</f>
        <v/>
      </c>
      <c r="AE57">
        <f>IF(G57=1,", "&amp;G$1,"")</f>
        <v/>
      </c>
      <c r="AF57">
        <f>IF(H57=1,", "&amp;H$1,"")</f>
        <v/>
      </c>
      <c r="AG57">
        <f>IF(I57=1,", "&amp;I$1,"")</f>
        <v/>
      </c>
      <c r="AH57">
        <f>IF(J57=1,", "&amp;J$1,"")</f>
        <v/>
      </c>
      <c r="AI57">
        <f>IF(K57=1,", "&amp;K$1,"")</f>
        <v/>
      </c>
      <c r="AJ57">
        <f>IF(L57=1,", "&amp;L$1,"")</f>
        <v/>
      </c>
      <c r="AK57">
        <f>IF(M57=1,", "&amp;M$1,"")</f>
        <v/>
      </c>
      <c r="AL57">
        <f>IF(N57=1,", "&amp;N$1,"")</f>
        <v/>
      </c>
      <c r="AM57">
        <f>IF(O57=1,", "&amp;O$1,"")</f>
        <v/>
      </c>
      <c r="AN57">
        <f>IF(P57=1,", "&amp;P$1,"")</f>
        <v/>
      </c>
      <c r="AO57">
        <f>IF(Q57=1,", "&amp;Q$1,"")</f>
        <v/>
      </c>
      <c r="AP57">
        <f>IF(R57=1,", "&amp;R$1,"")</f>
        <v/>
      </c>
      <c r="AQ57">
        <f>IF(S57=1,", "&amp;S$1,"")</f>
        <v/>
      </c>
      <c r="AR57">
        <f>IF(T57=1,", "&amp;T$1,"")</f>
        <v/>
      </c>
      <c r="AS57">
        <f>IF(U57=1,", "&amp;U$1,"")</f>
        <v/>
      </c>
      <c r="AT57">
        <f>IF(V57=1,", "&amp;V$1,"")</f>
        <v/>
      </c>
      <c r="AU57">
        <f>IF(W57=1,", "&amp;W$1,"")</f>
        <v/>
      </c>
      <c r="AV57">
        <f>IF(X57=1,", "&amp;X$1,"")</f>
        <v/>
      </c>
      <c r="AW57">
        <f>IF(Y57=1,", "&amp;Y$1,"")</f>
        <v/>
      </c>
      <c r="AX57">
        <f>IF(Z57=1,", "&amp;Z$1,"")</f>
        <v/>
      </c>
      <c r="AY57">
        <f>IF(AA57=1,", "&amp;AA$1,"")</f>
        <v/>
      </c>
      <c r="AZ57">
        <f>MID($AB57&amp;$AC57&amp;$AD57&amp;$AE57&amp;$AF57&amp;$AG57&amp;$AH57&amp;$AI57&amp;$AJ57&amp;$AK57&amp;$AL57&amp;$AM57&amp;$AN57&amp;$AO57&amp;$AP57&amp;$AQ57&amp;$AR57&amp;$AS57&amp;$AT57&amp;$AU57&amp;$AV57&amp;$AW57&amp;$AX57&amp;$AY57,3,32767)</f>
        <v/>
      </c>
      <c r="BA57">
        <f>COUNT($D57:$AA57)</f>
        <v/>
      </c>
    </row>
    <row r="58">
      <c r="A58" t="n">
        <v>2</v>
      </c>
      <c r="B58" t="inlineStr">
        <is>
          <t>Detect Thoughts</t>
        </is>
      </c>
      <c r="C58" t="inlineStr">
        <is>
          <t>Divination</t>
        </is>
      </c>
      <c r="D58">
        <f>IF(Wizards!$A$2="","",IF(OR(ISNUMBER(SEARCH(", "&amp;$B58&amp;", ", ", "&amp;INDEX('Form Responses'!$I$1:$Q$200,2,$A58)&amp;", ")),ISNUMBER(SEARCH(", "&amp;$B58&amp;", ", ", "&amp;INDEX('Form Responses'!$R$1:$R$200,2)&amp;", "))),1,""))</f>
        <v/>
      </c>
      <c r="E58">
        <f>IF(Wizards!$A$3="","",IF(OR(ISNUMBER(SEARCH(", "&amp;$B58&amp;", ", ", "&amp;INDEX('Form Responses'!$I$1:$Q$200,3,$A58)&amp;", ")),ISNUMBER(SEARCH(", "&amp;$B58&amp;", ", ", "&amp;INDEX('Form Responses'!$R$1:$R$200,3)&amp;", "))),1,""))</f>
        <v/>
      </c>
      <c r="F58">
        <f>IF(Wizards!$A$4="","",IF(OR(ISNUMBER(SEARCH(", "&amp;$B58&amp;", ", ", "&amp;INDEX('Form Responses'!$I$1:$Q$200,4,$A58)&amp;", ")),ISNUMBER(SEARCH(", "&amp;$B58&amp;", ", ", "&amp;INDEX('Form Responses'!$R$1:$R$200,4)&amp;", "))),1,""))</f>
        <v/>
      </c>
      <c r="G58">
        <f>IF(Wizards!$A$5="","",IF(OR(ISNUMBER(SEARCH(", "&amp;$B58&amp;", ", ", "&amp;INDEX('Form Responses'!$I$1:$Q$200,5,$A58)&amp;", ")),ISNUMBER(SEARCH(", "&amp;$B58&amp;", ", ", "&amp;INDEX('Form Responses'!$R$1:$R$200,5)&amp;", "))),1,""))</f>
        <v/>
      </c>
      <c r="H58">
        <f>IF(Wizards!$A$6="","",IF(OR(ISNUMBER(SEARCH(", "&amp;$B58&amp;", ", ", "&amp;INDEX('Form Responses'!$I$1:$Q$200,6,$A58)&amp;", ")),ISNUMBER(SEARCH(", "&amp;$B58&amp;", ", ", "&amp;INDEX('Form Responses'!$R$1:$R$200,6)&amp;", "))),1,""))</f>
        <v/>
      </c>
      <c r="I58">
        <f>IF(Wizards!$A$7="","",IF(OR(ISNUMBER(SEARCH(", "&amp;$B58&amp;", ", ", "&amp;INDEX('Form Responses'!$I$1:$Q$200,7,$A58)&amp;", ")),ISNUMBER(SEARCH(", "&amp;$B58&amp;", ", ", "&amp;INDEX('Form Responses'!$R$1:$R$200,7)&amp;", "))),1,""))</f>
        <v/>
      </c>
      <c r="J58">
        <f>IF(Wizards!$A$8="","",IF(OR(ISNUMBER(SEARCH(", "&amp;$B58&amp;", ", ", "&amp;INDEX('Form Responses'!$I$1:$Q$200,8,$A58)&amp;", ")),ISNUMBER(SEARCH(", "&amp;$B58&amp;", ", ", "&amp;INDEX('Form Responses'!$R$1:$R$200,8)&amp;", "))),1,""))</f>
        <v/>
      </c>
      <c r="K58">
        <f>IF(Wizards!$A$9="","",IF(OR(ISNUMBER(SEARCH(", "&amp;$B58&amp;", ", ", "&amp;INDEX('Form Responses'!$I$1:$Q$200,9,$A58)&amp;", ")),ISNUMBER(SEARCH(", "&amp;$B58&amp;", ", ", "&amp;INDEX('Form Responses'!$R$1:$R$200,9)&amp;", "))),1,""))</f>
        <v/>
      </c>
      <c r="L58">
        <f>IF(Wizards!$A$10="","",IF(OR(ISNUMBER(SEARCH(", "&amp;$B58&amp;", ", ", "&amp;INDEX('Form Responses'!$I$1:$Q$200,10,$A58)&amp;", ")),ISNUMBER(SEARCH(", "&amp;$B58&amp;", ", ", "&amp;INDEX('Form Responses'!$R$1:$R$200,10)&amp;", "))),1,""))</f>
        <v/>
      </c>
      <c r="M58">
        <f>IF(Wizards!$A$11="","",IF(OR(ISNUMBER(SEARCH(", "&amp;$B58&amp;", ", ", "&amp;INDEX('Form Responses'!$I$1:$Q$200,11,$A58)&amp;", ")),ISNUMBER(SEARCH(", "&amp;$B58&amp;", ", ", "&amp;INDEX('Form Responses'!$R$1:$R$200,11)&amp;", "))),1,""))</f>
        <v/>
      </c>
      <c r="N58">
        <f>IF(Wizards!$A$12="","",IF(OR(ISNUMBER(SEARCH(", "&amp;$B58&amp;", ", ", "&amp;INDEX('Form Responses'!$I$1:$Q$200,12,$A58)&amp;", ")),ISNUMBER(SEARCH(", "&amp;$B58&amp;", ", ", "&amp;INDEX('Form Responses'!$R$1:$R$200,12)&amp;", "))),1,""))</f>
        <v/>
      </c>
      <c r="O58">
        <f>IF(Wizards!$A$13="","",IF(OR(ISNUMBER(SEARCH(", "&amp;$B58&amp;", ", ", "&amp;INDEX('Form Responses'!$I$1:$Q$200,13,$A58)&amp;", ")),ISNUMBER(SEARCH(", "&amp;$B58&amp;", ", ", "&amp;INDEX('Form Responses'!$R$1:$R$200,13)&amp;", "))),1,""))</f>
        <v/>
      </c>
      <c r="P58">
        <f>IF(Wizards!$A$14="","",IF(OR(ISNUMBER(SEARCH(", "&amp;$B58&amp;", ", ", "&amp;INDEX('Form Responses'!$I$1:$Q$200,14,$A58)&amp;", ")),ISNUMBER(SEARCH(", "&amp;$B58&amp;", ", ", "&amp;INDEX('Form Responses'!$R$1:$R$200,14)&amp;", "))),1,""))</f>
        <v/>
      </c>
      <c r="Q58">
        <f>IF(Wizards!$A$15="","",IF(OR(ISNUMBER(SEARCH(", "&amp;$B58&amp;", ", ", "&amp;INDEX('Form Responses'!$I$1:$Q$200,15,$A58)&amp;", ")),ISNUMBER(SEARCH(", "&amp;$B58&amp;", ", ", "&amp;INDEX('Form Responses'!$R$1:$R$200,15)&amp;", "))),1,""))</f>
        <v/>
      </c>
      <c r="R58">
        <f>IF(Wizards!$A$16="","",IF(OR(ISNUMBER(SEARCH(", "&amp;$B58&amp;", ", ", "&amp;INDEX('Form Responses'!$I$1:$Q$200,16,$A58)&amp;", ")),ISNUMBER(SEARCH(", "&amp;$B58&amp;", ", ", "&amp;INDEX('Form Responses'!$R$1:$R$200,16)&amp;", "))),1,""))</f>
        <v/>
      </c>
      <c r="S58">
        <f>IF(Wizards!$A$17="","",IF(OR(ISNUMBER(SEARCH(", "&amp;$B58&amp;", ", ", "&amp;INDEX('Form Responses'!$I$1:$Q$200,17,$A58)&amp;", ")),ISNUMBER(SEARCH(", "&amp;$B58&amp;", ", ", "&amp;INDEX('Form Responses'!$R$1:$R$200,17)&amp;", "))),1,""))</f>
        <v/>
      </c>
      <c r="T58">
        <f>IF(Wizards!$A$18="","",IF(OR(ISNUMBER(SEARCH(", "&amp;$B58&amp;", ", ", "&amp;INDEX('Form Responses'!$I$1:$Q$200,18,$A58)&amp;", ")),ISNUMBER(SEARCH(", "&amp;$B58&amp;", ", ", "&amp;INDEX('Form Responses'!$R$1:$R$200,18)&amp;", "))),1,""))</f>
        <v/>
      </c>
      <c r="U58">
        <f>IF(Wizards!$A$19="","",IF(OR(ISNUMBER(SEARCH(", "&amp;$B58&amp;", ", ", "&amp;INDEX('Form Responses'!$I$1:$Q$200,19,$A58)&amp;", ")),ISNUMBER(SEARCH(", "&amp;$B58&amp;", ", ", "&amp;INDEX('Form Responses'!$R$1:$R$200,19)&amp;", "))),1,""))</f>
        <v/>
      </c>
      <c r="V58">
        <f>IF(Wizards!$A$20="","",IF(OR(ISNUMBER(SEARCH(", "&amp;$B58&amp;", ", ", "&amp;INDEX('Form Responses'!$I$1:$Q$200,20,$A58)&amp;", ")),ISNUMBER(SEARCH(", "&amp;$B58&amp;", ", ", "&amp;INDEX('Form Responses'!$R$1:$R$200,20)&amp;", "))),1,""))</f>
        <v/>
      </c>
      <c r="W58">
        <f>IF(Wizards!$A$21="","",IF(OR(ISNUMBER(SEARCH(", "&amp;$B58&amp;", ", ", "&amp;INDEX('Form Responses'!$I$1:$Q$200,21,$A58)&amp;", ")),ISNUMBER(SEARCH(", "&amp;$B58&amp;", ", ", "&amp;INDEX('Form Responses'!$R$1:$R$200,21)&amp;", "))),1,""))</f>
        <v/>
      </c>
      <c r="X58">
        <f>IF(Wizards!$A$22="","",IF(OR(ISNUMBER(SEARCH(", "&amp;$B58&amp;", ", ", "&amp;INDEX('Form Responses'!$I$1:$Q$200,22,$A58)&amp;", ")),ISNUMBER(SEARCH(", "&amp;$B58&amp;", ", ", "&amp;INDEX('Form Responses'!$R$1:$R$200,22)&amp;", "))),1,""))</f>
        <v/>
      </c>
      <c r="Y58">
        <f>IF(Wizards!$A$23="","",IF(OR(ISNUMBER(SEARCH(", "&amp;$B58&amp;", ", ", "&amp;INDEX('Form Responses'!$I$1:$Q$200,23,$A58)&amp;", ")),ISNUMBER(SEARCH(", "&amp;$B58&amp;", ", ", "&amp;INDEX('Form Responses'!$R$1:$R$200,23)&amp;", "))),1,""))</f>
        <v/>
      </c>
      <c r="Z58">
        <f>IF(Wizards!$A$24="","",IF(OR(ISNUMBER(SEARCH(", "&amp;$B58&amp;", ", ", "&amp;INDEX('Form Responses'!$I$1:$Q$200,24,$A58)&amp;", ")),ISNUMBER(SEARCH(", "&amp;$B58&amp;", ", ", "&amp;INDEX('Form Responses'!$R$1:$R$200,24)&amp;", "))),1,""))</f>
        <v/>
      </c>
      <c r="AA58">
        <f>IF(Wizards!$A$25="","",IF(OR(ISNUMBER(SEARCH(", "&amp;$B58&amp;", ", ", "&amp;INDEX('Form Responses'!$I$1:$Q$200,25,$A58)&amp;", ")),ISNUMBER(SEARCH(", "&amp;$B58&amp;", ", ", "&amp;INDEX('Form Responses'!$R$1:$R$200,25)&amp;", "))),1,""))</f>
        <v/>
      </c>
      <c r="AB58">
        <f>IF(D58=1,", "&amp;D$1,"")</f>
        <v/>
      </c>
      <c r="AC58">
        <f>IF(E58=1,", "&amp;E$1,"")</f>
        <v/>
      </c>
      <c r="AD58">
        <f>IF(F58=1,", "&amp;F$1,"")</f>
        <v/>
      </c>
      <c r="AE58">
        <f>IF(G58=1,", "&amp;G$1,"")</f>
        <v/>
      </c>
      <c r="AF58">
        <f>IF(H58=1,", "&amp;H$1,"")</f>
        <v/>
      </c>
      <c r="AG58">
        <f>IF(I58=1,", "&amp;I$1,"")</f>
        <v/>
      </c>
      <c r="AH58">
        <f>IF(J58=1,", "&amp;J$1,"")</f>
        <v/>
      </c>
      <c r="AI58">
        <f>IF(K58=1,", "&amp;K$1,"")</f>
        <v/>
      </c>
      <c r="AJ58">
        <f>IF(L58=1,", "&amp;L$1,"")</f>
        <v/>
      </c>
      <c r="AK58">
        <f>IF(M58=1,", "&amp;M$1,"")</f>
        <v/>
      </c>
      <c r="AL58">
        <f>IF(N58=1,", "&amp;N$1,"")</f>
        <v/>
      </c>
      <c r="AM58">
        <f>IF(O58=1,", "&amp;O$1,"")</f>
        <v/>
      </c>
      <c r="AN58">
        <f>IF(P58=1,", "&amp;P$1,"")</f>
        <v/>
      </c>
      <c r="AO58">
        <f>IF(Q58=1,", "&amp;Q$1,"")</f>
        <v/>
      </c>
      <c r="AP58">
        <f>IF(R58=1,", "&amp;R$1,"")</f>
        <v/>
      </c>
      <c r="AQ58">
        <f>IF(S58=1,", "&amp;S$1,"")</f>
        <v/>
      </c>
      <c r="AR58">
        <f>IF(T58=1,", "&amp;T$1,"")</f>
        <v/>
      </c>
      <c r="AS58">
        <f>IF(U58=1,", "&amp;U$1,"")</f>
        <v/>
      </c>
      <c r="AT58">
        <f>IF(V58=1,", "&amp;V$1,"")</f>
        <v/>
      </c>
      <c r="AU58">
        <f>IF(W58=1,", "&amp;W$1,"")</f>
        <v/>
      </c>
      <c r="AV58">
        <f>IF(X58=1,", "&amp;X$1,"")</f>
        <v/>
      </c>
      <c r="AW58">
        <f>IF(Y58=1,", "&amp;Y$1,"")</f>
        <v/>
      </c>
      <c r="AX58">
        <f>IF(Z58=1,", "&amp;Z$1,"")</f>
        <v/>
      </c>
      <c r="AY58">
        <f>IF(AA58=1,", "&amp;AA$1,"")</f>
        <v/>
      </c>
      <c r="AZ58">
        <f>MID($AB58&amp;$AC58&amp;$AD58&amp;$AE58&amp;$AF58&amp;$AG58&amp;$AH58&amp;$AI58&amp;$AJ58&amp;$AK58&amp;$AL58&amp;$AM58&amp;$AN58&amp;$AO58&amp;$AP58&amp;$AQ58&amp;$AR58&amp;$AS58&amp;$AT58&amp;$AU58&amp;$AV58&amp;$AW58&amp;$AX58&amp;$AY58,3,32767)</f>
        <v/>
      </c>
      <c r="BA58">
        <f>COUNT($D58:$AA58)</f>
        <v/>
      </c>
    </row>
    <row r="59">
      <c r="A59" t="n">
        <v>2</v>
      </c>
      <c r="B59" t="inlineStr">
        <is>
          <t>Disruptive Tune</t>
        </is>
      </c>
      <c r="C59" t="inlineStr">
        <is>
          <t>Abjuration</t>
        </is>
      </c>
      <c r="D59">
        <f>IF(Wizards!$A$2="","",IF(OR(ISNUMBER(SEARCH(", "&amp;$B59&amp;", ", ", "&amp;INDEX('Form Responses'!$I$1:$Q$200,2,$A59)&amp;", ")),ISNUMBER(SEARCH(", "&amp;$B59&amp;", ", ", "&amp;INDEX('Form Responses'!$R$1:$R$200,2)&amp;", "))),1,""))</f>
        <v/>
      </c>
      <c r="E59">
        <f>IF(Wizards!$A$3="","",IF(OR(ISNUMBER(SEARCH(", "&amp;$B59&amp;", ", ", "&amp;INDEX('Form Responses'!$I$1:$Q$200,3,$A59)&amp;", ")),ISNUMBER(SEARCH(", "&amp;$B59&amp;", ", ", "&amp;INDEX('Form Responses'!$R$1:$R$200,3)&amp;", "))),1,""))</f>
        <v/>
      </c>
      <c r="F59">
        <f>IF(Wizards!$A$4="","",IF(OR(ISNUMBER(SEARCH(", "&amp;$B59&amp;", ", ", "&amp;INDEX('Form Responses'!$I$1:$Q$200,4,$A59)&amp;", ")),ISNUMBER(SEARCH(", "&amp;$B59&amp;", ", ", "&amp;INDEX('Form Responses'!$R$1:$R$200,4)&amp;", "))),1,""))</f>
        <v/>
      </c>
      <c r="G59">
        <f>IF(Wizards!$A$5="","",IF(OR(ISNUMBER(SEARCH(", "&amp;$B59&amp;", ", ", "&amp;INDEX('Form Responses'!$I$1:$Q$200,5,$A59)&amp;", ")),ISNUMBER(SEARCH(", "&amp;$B59&amp;", ", ", "&amp;INDEX('Form Responses'!$R$1:$R$200,5)&amp;", "))),1,""))</f>
        <v/>
      </c>
      <c r="H59">
        <f>IF(Wizards!$A$6="","",IF(OR(ISNUMBER(SEARCH(", "&amp;$B59&amp;", ", ", "&amp;INDEX('Form Responses'!$I$1:$Q$200,6,$A59)&amp;", ")),ISNUMBER(SEARCH(", "&amp;$B59&amp;", ", ", "&amp;INDEX('Form Responses'!$R$1:$R$200,6)&amp;", "))),1,""))</f>
        <v/>
      </c>
      <c r="I59">
        <f>IF(Wizards!$A$7="","",IF(OR(ISNUMBER(SEARCH(", "&amp;$B59&amp;", ", ", "&amp;INDEX('Form Responses'!$I$1:$Q$200,7,$A59)&amp;", ")),ISNUMBER(SEARCH(", "&amp;$B59&amp;", ", ", "&amp;INDEX('Form Responses'!$R$1:$R$200,7)&amp;", "))),1,""))</f>
        <v/>
      </c>
      <c r="J59">
        <f>IF(Wizards!$A$8="","",IF(OR(ISNUMBER(SEARCH(", "&amp;$B59&amp;", ", ", "&amp;INDEX('Form Responses'!$I$1:$Q$200,8,$A59)&amp;", ")),ISNUMBER(SEARCH(", "&amp;$B59&amp;", ", ", "&amp;INDEX('Form Responses'!$R$1:$R$200,8)&amp;", "))),1,""))</f>
        <v/>
      </c>
      <c r="K59">
        <f>IF(Wizards!$A$9="","",IF(OR(ISNUMBER(SEARCH(", "&amp;$B59&amp;", ", ", "&amp;INDEX('Form Responses'!$I$1:$Q$200,9,$A59)&amp;", ")),ISNUMBER(SEARCH(", "&amp;$B59&amp;", ", ", "&amp;INDEX('Form Responses'!$R$1:$R$200,9)&amp;", "))),1,""))</f>
        <v/>
      </c>
      <c r="L59">
        <f>IF(Wizards!$A$10="","",IF(OR(ISNUMBER(SEARCH(", "&amp;$B59&amp;", ", ", "&amp;INDEX('Form Responses'!$I$1:$Q$200,10,$A59)&amp;", ")),ISNUMBER(SEARCH(", "&amp;$B59&amp;", ", ", "&amp;INDEX('Form Responses'!$R$1:$R$200,10)&amp;", "))),1,""))</f>
        <v/>
      </c>
      <c r="M59">
        <f>IF(Wizards!$A$11="","",IF(OR(ISNUMBER(SEARCH(", "&amp;$B59&amp;", ", ", "&amp;INDEX('Form Responses'!$I$1:$Q$200,11,$A59)&amp;", ")),ISNUMBER(SEARCH(", "&amp;$B59&amp;", ", ", "&amp;INDEX('Form Responses'!$R$1:$R$200,11)&amp;", "))),1,""))</f>
        <v/>
      </c>
      <c r="N59">
        <f>IF(Wizards!$A$12="","",IF(OR(ISNUMBER(SEARCH(", "&amp;$B59&amp;", ", ", "&amp;INDEX('Form Responses'!$I$1:$Q$200,12,$A59)&amp;", ")),ISNUMBER(SEARCH(", "&amp;$B59&amp;", ", ", "&amp;INDEX('Form Responses'!$R$1:$R$200,12)&amp;", "))),1,""))</f>
        <v/>
      </c>
      <c r="O59">
        <f>IF(Wizards!$A$13="","",IF(OR(ISNUMBER(SEARCH(", "&amp;$B59&amp;", ", ", "&amp;INDEX('Form Responses'!$I$1:$Q$200,13,$A59)&amp;", ")),ISNUMBER(SEARCH(", "&amp;$B59&amp;", ", ", "&amp;INDEX('Form Responses'!$R$1:$R$200,13)&amp;", "))),1,""))</f>
        <v/>
      </c>
      <c r="P59">
        <f>IF(Wizards!$A$14="","",IF(OR(ISNUMBER(SEARCH(", "&amp;$B59&amp;", ", ", "&amp;INDEX('Form Responses'!$I$1:$Q$200,14,$A59)&amp;", ")),ISNUMBER(SEARCH(", "&amp;$B59&amp;", ", ", "&amp;INDEX('Form Responses'!$R$1:$R$200,14)&amp;", "))),1,""))</f>
        <v/>
      </c>
      <c r="Q59">
        <f>IF(Wizards!$A$15="","",IF(OR(ISNUMBER(SEARCH(", "&amp;$B59&amp;", ", ", "&amp;INDEX('Form Responses'!$I$1:$Q$200,15,$A59)&amp;", ")),ISNUMBER(SEARCH(", "&amp;$B59&amp;", ", ", "&amp;INDEX('Form Responses'!$R$1:$R$200,15)&amp;", "))),1,""))</f>
        <v/>
      </c>
      <c r="R59">
        <f>IF(Wizards!$A$16="","",IF(OR(ISNUMBER(SEARCH(", "&amp;$B59&amp;", ", ", "&amp;INDEX('Form Responses'!$I$1:$Q$200,16,$A59)&amp;", ")),ISNUMBER(SEARCH(", "&amp;$B59&amp;", ", ", "&amp;INDEX('Form Responses'!$R$1:$R$200,16)&amp;", "))),1,""))</f>
        <v/>
      </c>
      <c r="S59">
        <f>IF(Wizards!$A$17="","",IF(OR(ISNUMBER(SEARCH(", "&amp;$B59&amp;", ", ", "&amp;INDEX('Form Responses'!$I$1:$Q$200,17,$A59)&amp;", ")),ISNUMBER(SEARCH(", "&amp;$B59&amp;", ", ", "&amp;INDEX('Form Responses'!$R$1:$R$200,17)&amp;", "))),1,""))</f>
        <v/>
      </c>
      <c r="T59">
        <f>IF(Wizards!$A$18="","",IF(OR(ISNUMBER(SEARCH(", "&amp;$B59&amp;", ", ", "&amp;INDEX('Form Responses'!$I$1:$Q$200,18,$A59)&amp;", ")),ISNUMBER(SEARCH(", "&amp;$B59&amp;", ", ", "&amp;INDEX('Form Responses'!$R$1:$R$200,18)&amp;", "))),1,""))</f>
        <v/>
      </c>
      <c r="U59">
        <f>IF(Wizards!$A$19="","",IF(OR(ISNUMBER(SEARCH(", "&amp;$B59&amp;", ", ", "&amp;INDEX('Form Responses'!$I$1:$Q$200,19,$A59)&amp;", ")),ISNUMBER(SEARCH(", "&amp;$B59&amp;", ", ", "&amp;INDEX('Form Responses'!$R$1:$R$200,19)&amp;", "))),1,""))</f>
        <v/>
      </c>
      <c r="V59">
        <f>IF(Wizards!$A$20="","",IF(OR(ISNUMBER(SEARCH(", "&amp;$B59&amp;", ", ", "&amp;INDEX('Form Responses'!$I$1:$Q$200,20,$A59)&amp;", ")),ISNUMBER(SEARCH(", "&amp;$B59&amp;", ", ", "&amp;INDEX('Form Responses'!$R$1:$R$200,20)&amp;", "))),1,""))</f>
        <v/>
      </c>
      <c r="W59">
        <f>IF(Wizards!$A$21="","",IF(OR(ISNUMBER(SEARCH(", "&amp;$B59&amp;", ", ", "&amp;INDEX('Form Responses'!$I$1:$Q$200,21,$A59)&amp;", ")),ISNUMBER(SEARCH(", "&amp;$B59&amp;", ", ", "&amp;INDEX('Form Responses'!$R$1:$R$200,21)&amp;", "))),1,""))</f>
        <v/>
      </c>
      <c r="X59">
        <f>IF(Wizards!$A$22="","",IF(OR(ISNUMBER(SEARCH(", "&amp;$B59&amp;", ", ", "&amp;INDEX('Form Responses'!$I$1:$Q$200,22,$A59)&amp;", ")),ISNUMBER(SEARCH(", "&amp;$B59&amp;", ", ", "&amp;INDEX('Form Responses'!$R$1:$R$200,22)&amp;", "))),1,""))</f>
        <v/>
      </c>
      <c r="Y59">
        <f>IF(Wizards!$A$23="","",IF(OR(ISNUMBER(SEARCH(", "&amp;$B59&amp;", ", ", "&amp;INDEX('Form Responses'!$I$1:$Q$200,23,$A59)&amp;", ")),ISNUMBER(SEARCH(", "&amp;$B59&amp;", ", ", "&amp;INDEX('Form Responses'!$R$1:$R$200,23)&amp;", "))),1,""))</f>
        <v/>
      </c>
      <c r="Z59">
        <f>IF(Wizards!$A$24="","",IF(OR(ISNUMBER(SEARCH(", "&amp;$B59&amp;", ", ", "&amp;INDEX('Form Responses'!$I$1:$Q$200,24,$A59)&amp;", ")),ISNUMBER(SEARCH(", "&amp;$B59&amp;", ", ", "&amp;INDEX('Form Responses'!$R$1:$R$200,24)&amp;", "))),1,""))</f>
        <v/>
      </c>
      <c r="AA59">
        <f>IF(Wizards!$A$25="","",IF(OR(ISNUMBER(SEARCH(", "&amp;$B59&amp;", ", ", "&amp;INDEX('Form Responses'!$I$1:$Q$200,25,$A59)&amp;", ")),ISNUMBER(SEARCH(", "&amp;$B59&amp;", ", ", "&amp;INDEX('Form Responses'!$R$1:$R$200,25)&amp;", "))),1,""))</f>
        <v/>
      </c>
      <c r="AB59">
        <f>IF(D59=1,", "&amp;D$1,"")</f>
        <v/>
      </c>
      <c r="AC59">
        <f>IF(E59=1,", "&amp;E$1,"")</f>
        <v/>
      </c>
      <c r="AD59">
        <f>IF(F59=1,", "&amp;F$1,"")</f>
        <v/>
      </c>
      <c r="AE59">
        <f>IF(G59=1,", "&amp;G$1,"")</f>
        <v/>
      </c>
      <c r="AF59">
        <f>IF(H59=1,", "&amp;H$1,"")</f>
        <v/>
      </c>
      <c r="AG59">
        <f>IF(I59=1,", "&amp;I$1,"")</f>
        <v/>
      </c>
      <c r="AH59">
        <f>IF(J59=1,", "&amp;J$1,"")</f>
        <v/>
      </c>
      <c r="AI59">
        <f>IF(K59=1,", "&amp;K$1,"")</f>
        <v/>
      </c>
      <c r="AJ59">
        <f>IF(L59=1,", "&amp;L$1,"")</f>
        <v/>
      </c>
      <c r="AK59">
        <f>IF(M59=1,", "&amp;M$1,"")</f>
        <v/>
      </c>
      <c r="AL59">
        <f>IF(N59=1,", "&amp;N$1,"")</f>
        <v/>
      </c>
      <c r="AM59">
        <f>IF(O59=1,", "&amp;O$1,"")</f>
        <v/>
      </c>
      <c r="AN59">
        <f>IF(P59=1,", "&amp;P$1,"")</f>
        <v/>
      </c>
      <c r="AO59">
        <f>IF(Q59=1,", "&amp;Q$1,"")</f>
        <v/>
      </c>
      <c r="AP59">
        <f>IF(R59=1,", "&amp;R$1,"")</f>
        <v/>
      </c>
      <c r="AQ59">
        <f>IF(S59=1,", "&amp;S$1,"")</f>
        <v/>
      </c>
      <c r="AR59">
        <f>IF(T59=1,", "&amp;T$1,"")</f>
        <v/>
      </c>
      <c r="AS59">
        <f>IF(U59=1,", "&amp;U$1,"")</f>
        <v/>
      </c>
      <c r="AT59">
        <f>IF(V59=1,", "&amp;V$1,"")</f>
        <v/>
      </c>
      <c r="AU59">
        <f>IF(W59=1,", "&amp;W$1,"")</f>
        <v/>
      </c>
      <c r="AV59">
        <f>IF(X59=1,", "&amp;X$1,"")</f>
        <v/>
      </c>
      <c r="AW59">
        <f>IF(Y59=1,", "&amp;Y$1,"")</f>
        <v/>
      </c>
      <c r="AX59">
        <f>IF(Z59=1,", "&amp;Z$1,"")</f>
        <v/>
      </c>
      <c r="AY59">
        <f>IF(AA59=1,", "&amp;AA$1,"")</f>
        <v/>
      </c>
      <c r="AZ59">
        <f>MID($AB59&amp;$AC59&amp;$AD59&amp;$AE59&amp;$AF59&amp;$AG59&amp;$AH59&amp;$AI59&amp;$AJ59&amp;$AK59&amp;$AL59&amp;$AM59&amp;$AN59&amp;$AO59&amp;$AP59&amp;$AQ59&amp;$AR59&amp;$AS59&amp;$AT59&amp;$AU59&amp;$AV59&amp;$AW59&amp;$AX59&amp;$AY59,3,32767)</f>
        <v/>
      </c>
      <c r="BA59">
        <f>COUNT($D59:$AA59)</f>
        <v/>
      </c>
    </row>
    <row r="60">
      <c r="A60" t="n">
        <v>2</v>
      </c>
      <c r="B60" t="inlineStr">
        <is>
          <t>Dragon's Breath</t>
        </is>
      </c>
      <c r="C60" t="inlineStr">
        <is>
          <t>Transmutation</t>
        </is>
      </c>
      <c r="D60">
        <f>IF(Wizards!$A$2="","",IF(OR(ISNUMBER(SEARCH(", "&amp;$B60&amp;", ", ", "&amp;INDEX('Form Responses'!$I$1:$Q$200,2,$A60)&amp;", ")),ISNUMBER(SEARCH(", "&amp;$B60&amp;", ", ", "&amp;INDEX('Form Responses'!$R$1:$R$200,2)&amp;", "))),1,""))</f>
        <v/>
      </c>
      <c r="E60">
        <f>IF(Wizards!$A$3="","",IF(OR(ISNUMBER(SEARCH(", "&amp;$B60&amp;", ", ", "&amp;INDEX('Form Responses'!$I$1:$Q$200,3,$A60)&amp;", ")),ISNUMBER(SEARCH(", "&amp;$B60&amp;", ", ", "&amp;INDEX('Form Responses'!$R$1:$R$200,3)&amp;", "))),1,""))</f>
        <v/>
      </c>
      <c r="F60">
        <f>IF(Wizards!$A$4="","",IF(OR(ISNUMBER(SEARCH(", "&amp;$B60&amp;", ", ", "&amp;INDEX('Form Responses'!$I$1:$Q$200,4,$A60)&amp;", ")),ISNUMBER(SEARCH(", "&amp;$B60&amp;", ", ", "&amp;INDEX('Form Responses'!$R$1:$R$200,4)&amp;", "))),1,""))</f>
        <v/>
      </c>
      <c r="G60">
        <f>IF(Wizards!$A$5="","",IF(OR(ISNUMBER(SEARCH(", "&amp;$B60&amp;", ", ", "&amp;INDEX('Form Responses'!$I$1:$Q$200,5,$A60)&amp;", ")),ISNUMBER(SEARCH(", "&amp;$B60&amp;", ", ", "&amp;INDEX('Form Responses'!$R$1:$R$200,5)&amp;", "))),1,""))</f>
        <v/>
      </c>
      <c r="H60">
        <f>IF(Wizards!$A$6="","",IF(OR(ISNUMBER(SEARCH(", "&amp;$B60&amp;", ", ", "&amp;INDEX('Form Responses'!$I$1:$Q$200,6,$A60)&amp;", ")),ISNUMBER(SEARCH(", "&amp;$B60&amp;", ", ", "&amp;INDEX('Form Responses'!$R$1:$R$200,6)&amp;", "))),1,""))</f>
        <v/>
      </c>
      <c r="I60">
        <f>IF(Wizards!$A$7="","",IF(OR(ISNUMBER(SEARCH(", "&amp;$B60&amp;", ", ", "&amp;INDEX('Form Responses'!$I$1:$Q$200,7,$A60)&amp;", ")),ISNUMBER(SEARCH(", "&amp;$B60&amp;", ", ", "&amp;INDEX('Form Responses'!$R$1:$R$200,7)&amp;", "))),1,""))</f>
        <v/>
      </c>
      <c r="J60">
        <f>IF(Wizards!$A$8="","",IF(OR(ISNUMBER(SEARCH(", "&amp;$B60&amp;", ", ", "&amp;INDEX('Form Responses'!$I$1:$Q$200,8,$A60)&amp;", ")),ISNUMBER(SEARCH(", "&amp;$B60&amp;", ", ", "&amp;INDEX('Form Responses'!$R$1:$R$200,8)&amp;", "))),1,""))</f>
        <v/>
      </c>
      <c r="K60">
        <f>IF(Wizards!$A$9="","",IF(OR(ISNUMBER(SEARCH(", "&amp;$B60&amp;", ", ", "&amp;INDEX('Form Responses'!$I$1:$Q$200,9,$A60)&amp;", ")),ISNUMBER(SEARCH(", "&amp;$B60&amp;", ", ", "&amp;INDEX('Form Responses'!$R$1:$R$200,9)&amp;", "))),1,""))</f>
        <v/>
      </c>
      <c r="L60">
        <f>IF(Wizards!$A$10="","",IF(OR(ISNUMBER(SEARCH(", "&amp;$B60&amp;", ", ", "&amp;INDEX('Form Responses'!$I$1:$Q$200,10,$A60)&amp;", ")),ISNUMBER(SEARCH(", "&amp;$B60&amp;", ", ", "&amp;INDEX('Form Responses'!$R$1:$R$200,10)&amp;", "))),1,""))</f>
        <v/>
      </c>
      <c r="M60">
        <f>IF(Wizards!$A$11="","",IF(OR(ISNUMBER(SEARCH(", "&amp;$B60&amp;", ", ", "&amp;INDEX('Form Responses'!$I$1:$Q$200,11,$A60)&amp;", ")),ISNUMBER(SEARCH(", "&amp;$B60&amp;", ", ", "&amp;INDEX('Form Responses'!$R$1:$R$200,11)&amp;", "))),1,""))</f>
        <v/>
      </c>
      <c r="N60">
        <f>IF(Wizards!$A$12="","",IF(OR(ISNUMBER(SEARCH(", "&amp;$B60&amp;", ", ", "&amp;INDEX('Form Responses'!$I$1:$Q$200,12,$A60)&amp;", ")),ISNUMBER(SEARCH(", "&amp;$B60&amp;", ", ", "&amp;INDEX('Form Responses'!$R$1:$R$200,12)&amp;", "))),1,""))</f>
        <v/>
      </c>
      <c r="O60">
        <f>IF(Wizards!$A$13="","",IF(OR(ISNUMBER(SEARCH(", "&amp;$B60&amp;", ", ", "&amp;INDEX('Form Responses'!$I$1:$Q$200,13,$A60)&amp;", ")),ISNUMBER(SEARCH(", "&amp;$B60&amp;", ", ", "&amp;INDEX('Form Responses'!$R$1:$R$200,13)&amp;", "))),1,""))</f>
        <v/>
      </c>
      <c r="P60">
        <f>IF(Wizards!$A$14="","",IF(OR(ISNUMBER(SEARCH(", "&amp;$B60&amp;", ", ", "&amp;INDEX('Form Responses'!$I$1:$Q$200,14,$A60)&amp;", ")),ISNUMBER(SEARCH(", "&amp;$B60&amp;", ", ", "&amp;INDEX('Form Responses'!$R$1:$R$200,14)&amp;", "))),1,""))</f>
        <v/>
      </c>
      <c r="Q60">
        <f>IF(Wizards!$A$15="","",IF(OR(ISNUMBER(SEARCH(", "&amp;$B60&amp;", ", ", "&amp;INDEX('Form Responses'!$I$1:$Q$200,15,$A60)&amp;", ")),ISNUMBER(SEARCH(", "&amp;$B60&amp;", ", ", "&amp;INDEX('Form Responses'!$R$1:$R$200,15)&amp;", "))),1,""))</f>
        <v/>
      </c>
      <c r="R60">
        <f>IF(Wizards!$A$16="","",IF(OR(ISNUMBER(SEARCH(", "&amp;$B60&amp;", ", ", "&amp;INDEX('Form Responses'!$I$1:$Q$200,16,$A60)&amp;", ")),ISNUMBER(SEARCH(", "&amp;$B60&amp;", ", ", "&amp;INDEX('Form Responses'!$R$1:$R$200,16)&amp;", "))),1,""))</f>
        <v/>
      </c>
      <c r="S60">
        <f>IF(Wizards!$A$17="","",IF(OR(ISNUMBER(SEARCH(", "&amp;$B60&amp;", ", ", "&amp;INDEX('Form Responses'!$I$1:$Q$200,17,$A60)&amp;", ")),ISNUMBER(SEARCH(", "&amp;$B60&amp;", ", ", "&amp;INDEX('Form Responses'!$R$1:$R$200,17)&amp;", "))),1,""))</f>
        <v/>
      </c>
      <c r="T60">
        <f>IF(Wizards!$A$18="","",IF(OR(ISNUMBER(SEARCH(", "&amp;$B60&amp;", ", ", "&amp;INDEX('Form Responses'!$I$1:$Q$200,18,$A60)&amp;", ")),ISNUMBER(SEARCH(", "&amp;$B60&amp;", ", ", "&amp;INDEX('Form Responses'!$R$1:$R$200,18)&amp;", "))),1,""))</f>
        <v/>
      </c>
      <c r="U60">
        <f>IF(Wizards!$A$19="","",IF(OR(ISNUMBER(SEARCH(", "&amp;$B60&amp;", ", ", "&amp;INDEX('Form Responses'!$I$1:$Q$200,19,$A60)&amp;", ")),ISNUMBER(SEARCH(", "&amp;$B60&amp;", ", ", "&amp;INDEX('Form Responses'!$R$1:$R$200,19)&amp;", "))),1,""))</f>
        <v/>
      </c>
      <c r="V60">
        <f>IF(Wizards!$A$20="","",IF(OR(ISNUMBER(SEARCH(", "&amp;$B60&amp;", ", ", "&amp;INDEX('Form Responses'!$I$1:$Q$200,20,$A60)&amp;", ")),ISNUMBER(SEARCH(", "&amp;$B60&amp;", ", ", "&amp;INDEX('Form Responses'!$R$1:$R$200,20)&amp;", "))),1,""))</f>
        <v/>
      </c>
      <c r="W60">
        <f>IF(Wizards!$A$21="","",IF(OR(ISNUMBER(SEARCH(", "&amp;$B60&amp;", ", ", "&amp;INDEX('Form Responses'!$I$1:$Q$200,21,$A60)&amp;", ")),ISNUMBER(SEARCH(", "&amp;$B60&amp;", ", ", "&amp;INDEX('Form Responses'!$R$1:$R$200,21)&amp;", "))),1,""))</f>
        <v/>
      </c>
      <c r="X60">
        <f>IF(Wizards!$A$22="","",IF(OR(ISNUMBER(SEARCH(", "&amp;$B60&amp;", ", ", "&amp;INDEX('Form Responses'!$I$1:$Q$200,22,$A60)&amp;", ")),ISNUMBER(SEARCH(", "&amp;$B60&amp;", ", ", "&amp;INDEX('Form Responses'!$R$1:$R$200,22)&amp;", "))),1,""))</f>
        <v/>
      </c>
      <c r="Y60">
        <f>IF(Wizards!$A$23="","",IF(OR(ISNUMBER(SEARCH(", "&amp;$B60&amp;", ", ", "&amp;INDEX('Form Responses'!$I$1:$Q$200,23,$A60)&amp;", ")),ISNUMBER(SEARCH(", "&amp;$B60&amp;", ", ", "&amp;INDEX('Form Responses'!$R$1:$R$200,23)&amp;", "))),1,""))</f>
        <v/>
      </c>
      <c r="Z60">
        <f>IF(Wizards!$A$24="","",IF(OR(ISNUMBER(SEARCH(", "&amp;$B60&amp;", ", ", "&amp;INDEX('Form Responses'!$I$1:$Q$200,24,$A60)&amp;", ")),ISNUMBER(SEARCH(", "&amp;$B60&amp;", ", ", "&amp;INDEX('Form Responses'!$R$1:$R$200,24)&amp;", "))),1,""))</f>
        <v/>
      </c>
      <c r="AA60">
        <f>IF(Wizards!$A$25="","",IF(OR(ISNUMBER(SEARCH(", "&amp;$B60&amp;", ", ", "&amp;INDEX('Form Responses'!$I$1:$Q$200,25,$A60)&amp;", ")),ISNUMBER(SEARCH(", "&amp;$B60&amp;", ", ", "&amp;INDEX('Form Responses'!$R$1:$R$200,25)&amp;", "))),1,""))</f>
        <v/>
      </c>
      <c r="AB60">
        <f>IF(D60=1,", "&amp;D$1,"")</f>
        <v/>
      </c>
      <c r="AC60">
        <f>IF(E60=1,", "&amp;E$1,"")</f>
        <v/>
      </c>
      <c r="AD60">
        <f>IF(F60=1,", "&amp;F$1,"")</f>
        <v/>
      </c>
      <c r="AE60">
        <f>IF(G60=1,", "&amp;G$1,"")</f>
        <v/>
      </c>
      <c r="AF60">
        <f>IF(H60=1,", "&amp;H$1,"")</f>
        <v/>
      </c>
      <c r="AG60">
        <f>IF(I60=1,", "&amp;I$1,"")</f>
        <v/>
      </c>
      <c r="AH60">
        <f>IF(J60=1,", "&amp;J$1,"")</f>
        <v/>
      </c>
      <c r="AI60">
        <f>IF(K60=1,", "&amp;K$1,"")</f>
        <v/>
      </c>
      <c r="AJ60">
        <f>IF(L60=1,", "&amp;L$1,"")</f>
        <v/>
      </c>
      <c r="AK60">
        <f>IF(M60=1,", "&amp;M$1,"")</f>
        <v/>
      </c>
      <c r="AL60">
        <f>IF(N60=1,", "&amp;N$1,"")</f>
        <v/>
      </c>
      <c r="AM60">
        <f>IF(O60=1,", "&amp;O$1,"")</f>
        <v/>
      </c>
      <c r="AN60">
        <f>IF(P60=1,", "&amp;P$1,"")</f>
        <v/>
      </c>
      <c r="AO60">
        <f>IF(Q60=1,", "&amp;Q$1,"")</f>
        <v/>
      </c>
      <c r="AP60">
        <f>IF(R60=1,", "&amp;R$1,"")</f>
        <v/>
      </c>
      <c r="AQ60">
        <f>IF(S60=1,", "&amp;S$1,"")</f>
        <v/>
      </c>
      <c r="AR60">
        <f>IF(T60=1,", "&amp;T$1,"")</f>
        <v/>
      </c>
      <c r="AS60">
        <f>IF(U60=1,", "&amp;U$1,"")</f>
        <v/>
      </c>
      <c r="AT60">
        <f>IF(V60=1,", "&amp;V$1,"")</f>
        <v/>
      </c>
      <c r="AU60">
        <f>IF(W60=1,", "&amp;W$1,"")</f>
        <v/>
      </c>
      <c r="AV60">
        <f>IF(X60=1,", "&amp;X$1,"")</f>
        <v/>
      </c>
      <c r="AW60">
        <f>IF(Y60=1,", "&amp;Y$1,"")</f>
        <v/>
      </c>
      <c r="AX60">
        <f>IF(Z60=1,", "&amp;Z$1,"")</f>
        <v/>
      </c>
      <c r="AY60">
        <f>IF(AA60=1,", "&amp;AA$1,"")</f>
        <v/>
      </c>
      <c r="AZ60">
        <f>MID($AB60&amp;$AC60&amp;$AD60&amp;$AE60&amp;$AF60&amp;$AG60&amp;$AH60&amp;$AI60&amp;$AJ60&amp;$AK60&amp;$AL60&amp;$AM60&amp;$AN60&amp;$AO60&amp;$AP60&amp;$AQ60&amp;$AR60&amp;$AS60&amp;$AT60&amp;$AU60&amp;$AV60&amp;$AW60&amp;$AX60&amp;$AY60,3,32767)</f>
        <v/>
      </c>
      <c r="BA60">
        <f>COUNT($D60:$AA60)</f>
        <v/>
      </c>
    </row>
    <row r="61">
      <c r="A61" t="n">
        <v>2</v>
      </c>
      <c r="B61" t="inlineStr">
        <is>
          <t>Dueling Ground</t>
        </is>
      </c>
      <c r="C61" t="inlineStr">
        <is>
          <t>Abjuration</t>
        </is>
      </c>
      <c r="D61">
        <f>IF(Wizards!$A$2="","",IF(OR(ISNUMBER(SEARCH(", "&amp;$B61&amp;", ", ", "&amp;INDEX('Form Responses'!$I$1:$Q$200,2,$A61)&amp;", ")),ISNUMBER(SEARCH(", "&amp;$B61&amp;", ", ", "&amp;INDEX('Form Responses'!$R$1:$R$200,2)&amp;", "))),1,""))</f>
        <v/>
      </c>
      <c r="E61">
        <f>IF(Wizards!$A$3="","",IF(OR(ISNUMBER(SEARCH(", "&amp;$B61&amp;", ", ", "&amp;INDEX('Form Responses'!$I$1:$Q$200,3,$A61)&amp;", ")),ISNUMBER(SEARCH(", "&amp;$B61&amp;", ", ", "&amp;INDEX('Form Responses'!$R$1:$R$200,3)&amp;", "))),1,""))</f>
        <v/>
      </c>
      <c r="F61">
        <f>IF(Wizards!$A$4="","",IF(OR(ISNUMBER(SEARCH(", "&amp;$B61&amp;", ", ", "&amp;INDEX('Form Responses'!$I$1:$Q$200,4,$A61)&amp;", ")),ISNUMBER(SEARCH(", "&amp;$B61&amp;", ", ", "&amp;INDEX('Form Responses'!$R$1:$R$200,4)&amp;", "))),1,""))</f>
        <v/>
      </c>
      <c r="G61">
        <f>IF(Wizards!$A$5="","",IF(OR(ISNUMBER(SEARCH(", "&amp;$B61&amp;", ", ", "&amp;INDEX('Form Responses'!$I$1:$Q$200,5,$A61)&amp;", ")),ISNUMBER(SEARCH(", "&amp;$B61&amp;", ", ", "&amp;INDEX('Form Responses'!$R$1:$R$200,5)&amp;", "))),1,""))</f>
        <v/>
      </c>
      <c r="H61">
        <f>IF(Wizards!$A$6="","",IF(OR(ISNUMBER(SEARCH(", "&amp;$B61&amp;", ", ", "&amp;INDEX('Form Responses'!$I$1:$Q$200,6,$A61)&amp;", ")),ISNUMBER(SEARCH(", "&amp;$B61&amp;", ", ", "&amp;INDEX('Form Responses'!$R$1:$R$200,6)&amp;", "))),1,""))</f>
        <v/>
      </c>
      <c r="I61">
        <f>IF(Wizards!$A$7="","",IF(OR(ISNUMBER(SEARCH(", "&amp;$B61&amp;", ", ", "&amp;INDEX('Form Responses'!$I$1:$Q$200,7,$A61)&amp;", ")),ISNUMBER(SEARCH(", "&amp;$B61&amp;", ", ", "&amp;INDEX('Form Responses'!$R$1:$R$200,7)&amp;", "))),1,""))</f>
        <v/>
      </c>
      <c r="J61">
        <f>IF(Wizards!$A$8="","",IF(OR(ISNUMBER(SEARCH(", "&amp;$B61&amp;", ", ", "&amp;INDEX('Form Responses'!$I$1:$Q$200,8,$A61)&amp;", ")),ISNUMBER(SEARCH(", "&amp;$B61&amp;", ", ", "&amp;INDEX('Form Responses'!$R$1:$R$200,8)&amp;", "))),1,""))</f>
        <v/>
      </c>
      <c r="K61">
        <f>IF(Wizards!$A$9="","",IF(OR(ISNUMBER(SEARCH(", "&amp;$B61&amp;", ", ", "&amp;INDEX('Form Responses'!$I$1:$Q$200,9,$A61)&amp;", ")),ISNUMBER(SEARCH(", "&amp;$B61&amp;", ", ", "&amp;INDEX('Form Responses'!$R$1:$R$200,9)&amp;", "))),1,""))</f>
        <v/>
      </c>
      <c r="L61">
        <f>IF(Wizards!$A$10="","",IF(OR(ISNUMBER(SEARCH(", "&amp;$B61&amp;", ", ", "&amp;INDEX('Form Responses'!$I$1:$Q$200,10,$A61)&amp;", ")),ISNUMBER(SEARCH(", "&amp;$B61&amp;", ", ", "&amp;INDEX('Form Responses'!$R$1:$R$200,10)&amp;", "))),1,""))</f>
        <v/>
      </c>
      <c r="M61">
        <f>IF(Wizards!$A$11="","",IF(OR(ISNUMBER(SEARCH(", "&amp;$B61&amp;", ", ", "&amp;INDEX('Form Responses'!$I$1:$Q$200,11,$A61)&amp;", ")),ISNUMBER(SEARCH(", "&amp;$B61&amp;", ", ", "&amp;INDEX('Form Responses'!$R$1:$R$200,11)&amp;", "))),1,""))</f>
        <v/>
      </c>
      <c r="N61">
        <f>IF(Wizards!$A$12="","",IF(OR(ISNUMBER(SEARCH(", "&amp;$B61&amp;", ", ", "&amp;INDEX('Form Responses'!$I$1:$Q$200,12,$A61)&amp;", ")),ISNUMBER(SEARCH(", "&amp;$B61&amp;", ", ", "&amp;INDEX('Form Responses'!$R$1:$R$200,12)&amp;", "))),1,""))</f>
        <v/>
      </c>
      <c r="O61">
        <f>IF(Wizards!$A$13="","",IF(OR(ISNUMBER(SEARCH(", "&amp;$B61&amp;", ", ", "&amp;INDEX('Form Responses'!$I$1:$Q$200,13,$A61)&amp;", ")),ISNUMBER(SEARCH(", "&amp;$B61&amp;", ", ", "&amp;INDEX('Form Responses'!$R$1:$R$200,13)&amp;", "))),1,""))</f>
        <v/>
      </c>
      <c r="P61">
        <f>IF(Wizards!$A$14="","",IF(OR(ISNUMBER(SEARCH(", "&amp;$B61&amp;", ", ", "&amp;INDEX('Form Responses'!$I$1:$Q$200,14,$A61)&amp;", ")),ISNUMBER(SEARCH(", "&amp;$B61&amp;", ", ", "&amp;INDEX('Form Responses'!$R$1:$R$200,14)&amp;", "))),1,""))</f>
        <v/>
      </c>
      <c r="Q61">
        <f>IF(Wizards!$A$15="","",IF(OR(ISNUMBER(SEARCH(", "&amp;$B61&amp;", ", ", "&amp;INDEX('Form Responses'!$I$1:$Q$200,15,$A61)&amp;", ")),ISNUMBER(SEARCH(", "&amp;$B61&amp;", ", ", "&amp;INDEX('Form Responses'!$R$1:$R$200,15)&amp;", "))),1,""))</f>
        <v/>
      </c>
      <c r="R61">
        <f>IF(Wizards!$A$16="","",IF(OR(ISNUMBER(SEARCH(", "&amp;$B61&amp;", ", ", "&amp;INDEX('Form Responses'!$I$1:$Q$200,16,$A61)&amp;", ")),ISNUMBER(SEARCH(", "&amp;$B61&amp;", ", ", "&amp;INDEX('Form Responses'!$R$1:$R$200,16)&amp;", "))),1,""))</f>
        <v/>
      </c>
      <c r="S61">
        <f>IF(Wizards!$A$17="","",IF(OR(ISNUMBER(SEARCH(", "&amp;$B61&amp;", ", ", "&amp;INDEX('Form Responses'!$I$1:$Q$200,17,$A61)&amp;", ")),ISNUMBER(SEARCH(", "&amp;$B61&amp;", ", ", "&amp;INDEX('Form Responses'!$R$1:$R$200,17)&amp;", "))),1,""))</f>
        <v/>
      </c>
      <c r="T61">
        <f>IF(Wizards!$A$18="","",IF(OR(ISNUMBER(SEARCH(", "&amp;$B61&amp;", ", ", "&amp;INDEX('Form Responses'!$I$1:$Q$200,18,$A61)&amp;", ")),ISNUMBER(SEARCH(", "&amp;$B61&amp;", ", ", "&amp;INDEX('Form Responses'!$R$1:$R$200,18)&amp;", "))),1,""))</f>
        <v/>
      </c>
      <c r="U61">
        <f>IF(Wizards!$A$19="","",IF(OR(ISNUMBER(SEARCH(", "&amp;$B61&amp;", ", ", "&amp;INDEX('Form Responses'!$I$1:$Q$200,19,$A61)&amp;", ")),ISNUMBER(SEARCH(", "&amp;$B61&amp;", ", ", "&amp;INDEX('Form Responses'!$R$1:$R$200,19)&amp;", "))),1,""))</f>
        <v/>
      </c>
      <c r="V61">
        <f>IF(Wizards!$A$20="","",IF(OR(ISNUMBER(SEARCH(", "&amp;$B61&amp;", ", ", "&amp;INDEX('Form Responses'!$I$1:$Q$200,20,$A61)&amp;", ")),ISNUMBER(SEARCH(", "&amp;$B61&amp;", ", ", "&amp;INDEX('Form Responses'!$R$1:$R$200,20)&amp;", "))),1,""))</f>
        <v/>
      </c>
      <c r="W61">
        <f>IF(Wizards!$A$21="","",IF(OR(ISNUMBER(SEARCH(", "&amp;$B61&amp;", ", ", "&amp;INDEX('Form Responses'!$I$1:$Q$200,21,$A61)&amp;", ")),ISNUMBER(SEARCH(", "&amp;$B61&amp;", ", ", "&amp;INDEX('Form Responses'!$R$1:$R$200,21)&amp;", "))),1,""))</f>
        <v/>
      </c>
      <c r="X61">
        <f>IF(Wizards!$A$22="","",IF(OR(ISNUMBER(SEARCH(", "&amp;$B61&amp;", ", ", "&amp;INDEX('Form Responses'!$I$1:$Q$200,22,$A61)&amp;", ")),ISNUMBER(SEARCH(", "&amp;$B61&amp;", ", ", "&amp;INDEX('Form Responses'!$R$1:$R$200,22)&amp;", "))),1,""))</f>
        <v/>
      </c>
      <c r="Y61">
        <f>IF(Wizards!$A$23="","",IF(OR(ISNUMBER(SEARCH(", "&amp;$B61&amp;", ", ", "&amp;INDEX('Form Responses'!$I$1:$Q$200,23,$A61)&amp;", ")),ISNUMBER(SEARCH(", "&amp;$B61&amp;", ", ", "&amp;INDEX('Form Responses'!$R$1:$R$200,23)&amp;", "))),1,""))</f>
        <v/>
      </c>
      <c r="Z61">
        <f>IF(Wizards!$A$24="","",IF(OR(ISNUMBER(SEARCH(", "&amp;$B61&amp;", ", ", "&amp;INDEX('Form Responses'!$I$1:$Q$200,24,$A61)&amp;", ")),ISNUMBER(SEARCH(", "&amp;$B61&amp;", ", ", "&amp;INDEX('Form Responses'!$R$1:$R$200,24)&amp;", "))),1,""))</f>
        <v/>
      </c>
      <c r="AA61">
        <f>IF(Wizards!$A$25="","",IF(OR(ISNUMBER(SEARCH(", "&amp;$B61&amp;", ", ", "&amp;INDEX('Form Responses'!$I$1:$Q$200,25,$A61)&amp;", ")),ISNUMBER(SEARCH(", "&amp;$B61&amp;", ", ", "&amp;INDEX('Form Responses'!$R$1:$R$200,25)&amp;", "))),1,""))</f>
        <v/>
      </c>
      <c r="AB61">
        <f>IF(D61=1,", "&amp;D$1,"")</f>
        <v/>
      </c>
      <c r="AC61">
        <f>IF(E61=1,", "&amp;E$1,"")</f>
        <v/>
      </c>
      <c r="AD61">
        <f>IF(F61=1,", "&amp;F$1,"")</f>
        <v/>
      </c>
      <c r="AE61">
        <f>IF(G61=1,", "&amp;G$1,"")</f>
        <v/>
      </c>
      <c r="AF61">
        <f>IF(H61=1,", "&amp;H$1,"")</f>
        <v/>
      </c>
      <c r="AG61">
        <f>IF(I61=1,", "&amp;I$1,"")</f>
        <v/>
      </c>
      <c r="AH61">
        <f>IF(J61=1,", "&amp;J$1,"")</f>
        <v/>
      </c>
      <c r="AI61">
        <f>IF(K61=1,", "&amp;K$1,"")</f>
        <v/>
      </c>
      <c r="AJ61">
        <f>IF(L61=1,", "&amp;L$1,"")</f>
        <v/>
      </c>
      <c r="AK61">
        <f>IF(M61=1,", "&amp;M$1,"")</f>
        <v/>
      </c>
      <c r="AL61">
        <f>IF(N61=1,", "&amp;N$1,"")</f>
        <v/>
      </c>
      <c r="AM61">
        <f>IF(O61=1,", "&amp;O$1,"")</f>
        <v/>
      </c>
      <c r="AN61">
        <f>IF(P61=1,", "&amp;P$1,"")</f>
        <v/>
      </c>
      <c r="AO61">
        <f>IF(Q61=1,", "&amp;Q$1,"")</f>
        <v/>
      </c>
      <c r="AP61">
        <f>IF(R61=1,", "&amp;R$1,"")</f>
        <v/>
      </c>
      <c r="AQ61">
        <f>IF(S61=1,", "&amp;S$1,"")</f>
        <v/>
      </c>
      <c r="AR61">
        <f>IF(T61=1,", "&amp;T$1,"")</f>
        <v/>
      </c>
      <c r="AS61">
        <f>IF(U61=1,", "&amp;U$1,"")</f>
        <v/>
      </c>
      <c r="AT61">
        <f>IF(V61=1,", "&amp;V$1,"")</f>
        <v/>
      </c>
      <c r="AU61">
        <f>IF(W61=1,", "&amp;W$1,"")</f>
        <v/>
      </c>
      <c r="AV61">
        <f>IF(X61=1,", "&amp;X$1,"")</f>
        <v/>
      </c>
      <c r="AW61">
        <f>IF(Y61=1,", "&amp;Y$1,"")</f>
        <v/>
      </c>
      <c r="AX61">
        <f>IF(Z61=1,", "&amp;Z$1,"")</f>
        <v/>
      </c>
      <c r="AY61">
        <f>IF(AA61=1,", "&amp;AA$1,"")</f>
        <v/>
      </c>
      <c r="AZ61">
        <f>MID($AB61&amp;$AC61&amp;$AD61&amp;$AE61&amp;$AF61&amp;$AG61&amp;$AH61&amp;$AI61&amp;$AJ61&amp;$AK61&amp;$AL61&amp;$AM61&amp;$AN61&amp;$AO61&amp;$AP61&amp;$AQ61&amp;$AR61&amp;$AS61&amp;$AT61&amp;$AU61&amp;$AV61&amp;$AW61&amp;$AX61&amp;$AY61,3,32767)</f>
        <v/>
      </c>
      <c r="BA61">
        <f>COUNT($D61:$AA61)</f>
        <v/>
      </c>
    </row>
    <row r="62">
      <c r="A62" t="n">
        <v>2</v>
      </c>
      <c r="B62" t="inlineStr">
        <is>
          <t>Dust Devil</t>
        </is>
      </c>
      <c r="C62" t="inlineStr">
        <is>
          <t>Conjuration</t>
        </is>
      </c>
      <c r="D62">
        <f>IF(Wizards!$A$2="","",IF(OR(ISNUMBER(SEARCH(", "&amp;$B62&amp;", ", ", "&amp;INDEX('Form Responses'!$I$1:$Q$200,2,$A62)&amp;", ")),ISNUMBER(SEARCH(", "&amp;$B62&amp;", ", ", "&amp;INDEX('Form Responses'!$R$1:$R$200,2)&amp;", "))),1,""))</f>
        <v/>
      </c>
      <c r="E62">
        <f>IF(Wizards!$A$3="","",IF(OR(ISNUMBER(SEARCH(", "&amp;$B62&amp;", ", ", "&amp;INDEX('Form Responses'!$I$1:$Q$200,3,$A62)&amp;", ")),ISNUMBER(SEARCH(", "&amp;$B62&amp;", ", ", "&amp;INDEX('Form Responses'!$R$1:$R$200,3)&amp;", "))),1,""))</f>
        <v/>
      </c>
      <c r="F62">
        <f>IF(Wizards!$A$4="","",IF(OR(ISNUMBER(SEARCH(", "&amp;$B62&amp;", ", ", "&amp;INDEX('Form Responses'!$I$1:$Q$200,4,$A62)&amp;", ")),ISNUMBER(SEARCH(", "&amp;$B62&amp;", ", ", "&amp;INDEX('Form Responses'!$R$1:$R$200,4)&amp;", "))),1,""))</f>
        <v/>
      </c>
      <c r="G62">
        <f>IF(Wizards!$A$5="","",IF(OR(ISNUMBER(SEARCH(", "&amp;$B62&amp;", ", ", "&amp;INDEX('Form Responses'!$I$1:$Q$200,5,$A62)&amp;", ")),ISNUMBER(SEARCH(", "&amp;$B62&amp;", ", ", "&amp;INDEX('Form Responses'!$R$1:$R$200,5)&amp;", "))),1,""))</f>
        <v/>
      </c>
      <c r="H62">
        <f>IF(Wizards!$A$6="","",IF(OR(ISNUMBER(SEARCH(", "&amp;$B62&amp;", ", ", "&amp;INDEX('Form Responses'!$I$1:$Q$200,6,$A62)&amp;", ")),ISNUMBER(SEARCH(", "&amp;$B62&amp;", ", ", "&amp;INDEX('Form Responses'!$R$1:$R$200,6)&amp;", "))),1,""))</f>
        <v/>
      </c>
      <c r="I62">
        <f>IF(Wizards!$A$7="","",IF(OR(ISNUMBER(SEARCH(", "&amp;$B62&amp;", ", ", "&amp;INDEX('Form Responses'!$I$1:$Q$200,7,$A62)&amp;", ")),ISNUMBER(SEARCH(", "&amp;$B62&amp;", ", ", "&amp;INDEX('Form Responses'!$R$1:$R$200,7)&amp;", "))),1,""))</f>
        <v/>
      </c>
      <c r="J62">
        <f>IF(Wizards!$A$8="","",IF(OR(ISNUMBER(SEARCH(", "&amp;$B62&amp;", ", ", "&amp;INDEX('Form Responses'!$I$1:$Q$200,8,$A62)&amp;", ")),ISNUMBER(SEARCH(", "&amp;$B62&amp;", ", ", "&amp;INDEX('Form Responses'!$R$1:$R$200,8)&amp;", "))),1,""))</f>
        <v/>
      </c>
      <c r="K62">
        <f>IF(Wizards!$A$9="","",IF(OR(ISNUMBER(SEARCH(", "&amp;$B62&amp;", ", ", "&amp;INDEX('Form Responses'!$I$1:$Q$200,9,$A62)&amp;", ")),ISNUMBER(SEARCH(", "&amp;$B62&amp;", ", ", "&amp;INDEX('Form Responses'!$R$1:$R$200,9)&amp;", "))),1,""))</f>
        <v/>
      </c>
      <c r="L62">
        <f>IF(Wizards!$A$10="","",IF(OR(ISNUMBER(SEARCH(", "&amp;$B62&amp;", ", ", "&amp;INDEX('Form Responses'!$I$1:$Q$200,10,$A62)&amp;", ")),ISNUMBER(SEARCH(", "&amp;$B62&amp;", ", ", "&amp;INDEX('Form Responses'!$R$1:$R$200,10)&amp;", "))),1,""))</f>
        <v/>
      </c>
      <c r="M62">
        <f>IF(Wizards!$A$11="","",IF(OR(ISNUMBER(SEARCH(", "&amp;$B62&amp;", ", ", "&amp;INDEX('Form Responses'!$I$1:$Q$200,11,$A62)&amp;", ")),ISNUMBER(SEARCH(", "&amp;$B62&amp;", ", ", "&amp;INDEX('Form Responses'!$R$1:$R$200,11)&amp;", "))),1,""))</f>
        <v/>
      </c>
      <c r="N62">
        <f>IF(Wizards!$A$12="","",IF(OR(ISNUMBER(SEARCH(", "&amp;$B62&amp;", ", ", "&amp;INDEX('Form Responses'!$I$1:$Q$200,12,$A62)&amp;", ")),ISNUMBER(SEARCH(", "&amp;$B62&amp;", ", ", "&amp;INDEX('Form Responses'!$R$1:$R$200,12)&amp;", "))),1,""))</f>
        <v/>
      </c>
      <c r="O62">
        <f>IF(Wizards!$A$13="","",IF(OR(ISNUMBER(SEARCH(", "&amp;$B62&amp;", ", ", "&amp;INDEX('Form Responses'!$I$1:$Q$200,13,$A62)&amp;", ")),ISNUMBER(SEARCH(", "&amp;$B62&amp;", ", ", "&amp;INDEX('Form Responses'!$R$1:$R$200,13)&amp;", "))),1,""))</f>
        <v/>
      </c>
      <c r="P62">
        <f>IF(Wizards!$A$14="","",IF(OR(ISNUMBER(SEARCH(", "&amp;$B62&amp;", ", ", "&amp;INDEX('Form Responses'!$I$1:$Q$200,14,$A62)&amp;", ")),ISNUMBER(SEARCH(", "&amp;$B62&amp;", ", ", "&amp;INDEX('Form Responses'!$R$1:$R$200,14)&amp;", "))),1,""))</f>
        <v/>
      </c>
      <c r="Q62">
        <f>IF(Wizards!$A$15="","",IF(OR(ISNUMBER(SEARCH(", "&amp;$B62&amp;", ", ", "&amp;INDEX('Form Responses'!$I$1:$Q$200,15,$A62)&amp;", ")),ISNUMBER(SEARCH(", "&amp;$B62&amp;", ", ", "&amp;INDEX('Form Responses'!$R$1:$R$200,15)&amp;", "))),1,""))</f>
        <v/>
      </c>
      <c r="R62">
        <f>IF(Wizards!$A$16="","",IF(OR(ISNUMBER(SEARCH(", "&amp;$B62&amp;", ", ", "&amp;INDEX('Form Responses'!$I$1:$Q$200,16,$A62)&amp;", ")),ISNUMBER(SEARCH(", "&amp;$B62&amp;", ", ", "&amp;INDEX('Form Responses'!$R$1:$R$200,16)&amp;", "))),1,""))</f>
        <v/>
      </c>
      <c r="S62">
        <f>IF(Wizards!$A$17="","",IF(OR(ISNUMBER(SEARCH(", "&amp;$B62&amp;", ", ", "&amp;INDEX('Form Responses'!$I$1:$Q$200,17,$A62)&amp;", ")),ISNUMBER(SEARCH(", "&amp;$B62&amp;", ", ", "&amp;INDEX('Form Responses'!$R$1:$R$200,17)&amp;", "))),1,""))</f>
        <v/>
      </c>
      <c r="T62">
        <f>IF(Wizards!$A$18="","",IF(OR(ISNUMBER(SEARCH(", "&amp;$B62&amp;", ", ", "&amp;INDEX('Form Responses'!$I$1:$Q$200,18,$A62)&amp;", ")),ISNUMBER(SEARCH(", "&amp;$B62&amp;", ", ", "&amp;INDEX('Form Responses'!$R$1:$R$200,18)&amp;", "))),1,""))</f>
        <v/>
      </c>
      <c r="U62">
        <f>IF(Wizards!$A$19="","",IF(OR(ISNUMBER(SEARCH(", "&amp;$B62&amp;", ", ", "&amp;INDEX('Form Responses'!$I$1:$Q$200,19,$A62)&amp;", ")),ISNUMBER(SEARCH(", "&amp;$B62&amp;", ", ", "&amp;INDEX('Form Responses'!$R$1:$R$200,19)&amp;", "))),1,""))</f>
        <v/>
      </c>
      <c r="V62">
        <f>IF(Wizards!$A$20="","",IF(OR(ISNUMBER(SEARCH(", "&amp;$B62&amp;", ", ", "&amp;INDEX('Form Responses'!$I$1:$Q$200,20,$A62)&amp;", ")),ISNUMBER(SEARCH(", "&amp;$B62&amp;", ", ", "&amp;INDEX('Form Responses'!$R$1:$R$200,20)&amp;", "))),1,""))</f>
        <v/>
      </c>
      <c r="W62">
        <f>IF(Wizards!$A$21="","",IF(OR(ISNUMBER(SEARCH(", "&amp;$B62&amp;", ", ", "&amp;INDEX('Form Responses'!$I$1:$Q$200,21,$A62)&amp;", ")),ISNUMBER(SEARCH(", "&amp;$B62&amp;", ", ", "&amp;INDEX('Form Responses'!$R$1:$R$200,21)&amp;", "))),1,""))</f>
        <v/>
      </c>
      <c r="X62">
        <f>IF(Wizards!$A$22="","",IF(OR(ISNUMBER(SEARCH(", "&amp;$B62&amp;", ", ", "&amp;INDEX('Form Responses'!$I$1:$Q$200,22,$A62)&amp;", ")),ISNUMBER(SEARCH(", "&amp;$B62&amp;", ", ", "&amp;INDEX('Form Responses'!$R$1:$R$200,22)&amp;", "))),1,""))</f>
        <v/>
      </c>
      <c r="Y62">
        <f>IF(Wizards!$A$23="","",IF(OR(ISNUMBER(SEARCH(", "&amp;$B62&amp;", ", ", "&amp;INDEX('Form Responses'!$I$1:$Q$200,23,$A62)&amp;", ")),ISNUMBER(SEARCH(", "&amp;$B62&amp;", ", ", "&amp;INDEX('Form Responses'!$R$1:$R$200,23)&amp;", "))),1,""))</f>
        <v/>
      </c>
      <c r="Z62">
        <f>IF(Wizards!$A$24="","",IF(OR(ISNUMBER(SEARCH(", "&amp;$B62&amp;", ", ", "&amp;INDEX('Form Responses'!$I$1:$Q$200,24,$A62)&amp;", ")),ISNUMBER(SEARCH(", "&amp;$B62&amp;", ", ", "&amp;INDEX('Form Responses'!$R$1:$R$200,24)&amp;", "))),1,""))</f>
        <v/>
      </c>
      <c r="AA62">
        <f>IF(Wizards!$A$25="","",IF(OR(ISNUMBER(SEARCH(", "&amp;$B62&amp;", ", ", "&amp;INDEX('Form Responses'!$I$1:$Q$200,25,$A62)&amp;", ")),ISNUMBER(SEARCH(", "&amp;$B62&amp;", ", ", "&amp;INDEX('Form Responses'!$R$1:$R$200,25)&amp;", "))),1,""))</f>
        <v/>
      </c>
      <c r="AB62">
        <f>IF(D62=1,", "&amp;D$1,"")</f>
        <v/>
      </c>
      <c r="AC62">
        <f>IF(E62=1,", "&amp;E$1,"")</f>
        <v/>
      </c>
      <c r="AD62">
        <f>IF(F62=1,", "&amp;F$1,"")</f>
        <v/>
      </c>
      <c r="AE62">
        <f>IF(G62=1,", "&amp;G$1,"")</f>
        <v/>
      </c>
      <c r="AF62">
        <f>IF(H62=1,", "&amp;H$1,"")</f>
        <v/>
      </c>
      <c r="AG62">
        <f>IF(I62=1,", "&amp;I$1,"")</f>
        <v/>
      </c>
      <c r="AH62">
        <f>IF(J62=1,", "&amp;J$1,"")</f>
        <v/>
      </c>
      <c r="AI62">
        <f>IF(K62=1,", "&amp;K$1,"")</f>
        <v/>
      </c>
      <c r="AJ62">
        <f>IF(L62=1,", "&amp;L$1,"")</f>
        <v/>
      </c>
      <c r="AK62">
        <f>IF(M62=1,", "&amp;M$1,"")</f>
        <v/>
      </c>
      <c r="AL62">
        <f>IF(N62=1,", "&amp;N$1,"")</f>
        <v/>
      </c>
      <c r="AM62">
        <f>IF(O62=1,", "&amp;O$1,"")</f>
        <v/>
      </c>
      <c r="AN62">
        <f>IF(P62=1,", "&amp;P$1,"")</f>
        <v/>
      </c>
      <c r="AO62">
        <f>IF(Q62=1,", "&amp;Q$1,"")</f>
        <v/>
      </c>
      <c r="AP62">
        <f>IF(R62=1,", "&amp;R$1,"")</f>
        <v/>
      </c>
      <c r="AQ62">
        <f>IF(S62=1,", "&amp;S$1,"")</f>
        <v/>
      </c>
      <c r="AR62">
        <f>IF(T62=1,", "&amp;T$1,"")</f>
        <v/>
      </c>
      <c r="AS62">
        <f>IF(U62=1,", "&amp;U$1,"")</f>
        <v/>
      </c>
      <c r="AT62">
        <f>IF(V62=1,", "&amp;V$1,"")</f>
        <v/>
      </c>
      <c r="AU62">
        <f>IF(W62=1,", "&amp;W$1,"")</f>
        <v/>
      </c>
      <c r="AV62">
        <f>IF(X62=1,", "&amp;X$1,"")</f>
        <v/>
      </c>
      <c r="AW62">
        <f>IF(Y62=1,", "&amp;Y$1,"")</f>
        <v/>
      </c>
      <c r="AX62">
        <f>IF(Z62=1,", "&amp;Z$1,"")</f>
        <v/>
      </c>
      <c r="AY62">
        <f>IF(AA62=1,", "&amp;AA$1,"")</f>
        <v/>
      </c>
      <c r="AZ62">
        <f>MID($AB62&amp;$AC62&amp;$AD62&amp;$AE62&amp;$AF62&amp;$AG62&amp;$AH62&amp;$AI62&amp;$AJ62&amp;$AK62&amp;$AL62&amp;$AM62&amp;$AN62&amp;$AO62&amp;$AP62&amp;$AQ62&amp;$AR62&amp;$AS62&amp;$AT62&amp;$AU62&amp;$AV62&amp;$AW62&amp;$AX62&amp;$AY62,3,32767)</f>
        <v/>
      </c>
      <c r="BA62">
        <f>COUNT($D62:$AA62)</f>
        <v/>
      </c>
    </row>
    <row r="63">
      <c r="A63" t="n">
        <v>2</v>
      </c>
      <c r="B63" t="inlineStr">
        <is>
          <t>Earthbind</t>
        </is>
      </c>
      <c r="C63" t="inlineStr">
        <is>
          <t>Transmutation</t>
        </is>
      </c>
      <c r="D63">
        <f>IF(Wizards!$A$2="","",IF(OR(ISNUMBER(SEARCH(", "&amp;$B63&amp;", ", ", "&amp;INDEX('Form Responses'!$I$1:$Q$200,2,$A63)&amp;", ")),ISNUMBER(SEARCH(", "&amp;$B63&amp;", ", ", "&amp;INDEX('Form Responses'!$R$1:$R$200,2)&amp;", "))),1,""))</f>
        <v/>
      </c>
      <c r="E63">
        <f>IF(Wizards!$A$3="","",IF(OR(ISNUMBER(SEARCH(", "&amp;$B63&amp;", ", ", "&amp;INDEX('Form Responses'!$I$1:$Q$200,3,$A63)&amp;", ")),ISNUMBER(SEARCH(", "&amp;$B63&amp;", ", ", "&amp;INDEX('Form Responses'!$R$1:$R$200,3)&amp;", "))),1,""))</f>
        <v/>
      </c>
      <c r="F63">
        <f>IF(Wizards!$A$4="","",IF(OR(ISNUMBER(SEARCH(", "&amp;$B63&amp;", ", ", "&amp;INDEX('Form Responses'!$I$1:$Q$200,4,$A63)&amp;", ")),ISNUMBER(SEARCH(", "&amp;$B63&amp;", ", ", "&amp;INDEX('Form Responses'!$R$1:$R$200,4)&amp;", "))),1,""))</f>
        <v/>
      </c>
      <c r="G63">
        <f>IF(Wizards!$A$5="","",IF(OR(ISNUMBER(SEARCH(", "&amp;$B63&amp;", ", ", "&amp;INDEX('Form Responses'!$I$1:$Q$200,5,$A63)&amp;", ")),ISNUMBER(SEARCH(", "&amp;$B63&amp;", ", ", "&amp;INDEX('Form Responses'!$R$1:$R$200,5)&amp;", "))),1,""))</f>
        <v/>
      </c>
      <c r="H63">
        <f>IF(Wizards!$A$6="","",IF(OR(ISNUMBER(SEARCH(", "&amp;$B63&amp;", ", ", "&amp;INDEX('Form Responses'!$I$1:$Q$200,6,$A63)&amp;", ")),ISNUMBER(SEARCH(", "&amp;$B63&amp;", ", ", "&amp;INDEX('Form Responses'!$R$1:$R$200,6)&amp;", "))),1,""))</f>
        <v/>
      </c>
      <c r="I63">
        <f>IF(Wizards!$A$7="","",IF(OR(ISNUMBER(SEARCH(", "&amp;$B63&amp;", ", ", "&amp;INDEX('Form Responses'!$I$1:$Q$200,7,$A63)&amp;", ")),ISNUMBER(SEARCH(", "&amp;$B63&amp;", ", ", "&amp;INDEX('Form Responses'!$R$1:$R$200,7)&amp;", "))),1,""))</f>
        <v/>
      </c>
      <c r="J63">
        <f>IF(Wizards!$A$8="","",IF(OR(ISNUMBER(SEARCH(", "&amp;$B63&amp;", ", ", "&amp;INDEX('Form Responses'!$I$1:$Q$200,8,$A63)&amp;", ")),ISNUMBER(SEARCH(", "&amp;$B63&amp;", ", ", "&amp;INDEX('Form Responses'!$R$1:$R$200,8)&amp;", "))),1,""))</f>
        <v/>
      </c>
      <c r="K63">
        <f>IF(Wizards!$A$9="","",IF(OR(ISNUMBER(SEARCH(", "&amp;$B63&amp;", ", ", "&amp;INDEX('Form Responses'!$I$1:$Q$200,9,$A63)&amp;", ")),ISNUMBER(SEARCH(", "&amp;$B63&amp;", ", ", "&amp;INDEX('Form Responses'!$R$1:$R$200,9)&amp;", "))),1,""))</f>
        <v/>
      </c>
      <c r="L63">
        <f>IF(Wizards!$A$10="","",IF(OR(ISNUMBER(SEARCH(", "&amp;$B63&amp;", ", ", "&amp;INDEX('Form Responses'!$I$1:$Q$200,10,$A63)&amp;", ")),ISNUMBER(SEARCH(", "&amp;$B63&amp;", ", ", "&amp;INDEX('Form Responses'!$R$1:$R$200,10)&amp;", "))),1,""))</f>
        <v/>
      </c>
      <c r="M63">
        <f>IF(Wizards!$A$11="","",IF(OR(ISNUMBER(SEARCH(", "&amp;$B63&amp;", ", ", "&amp;INDEX('Form Responses'!$I$1:$Q$200,11,$A63)&amp;", ")),ISNUMBER(SEARCH(", "&amp;$B63&amp;", ", ", "&amp;INDEX('Form Responses'!$R$1:$R$200,11)&amp;", "))),1,""))</f>
        <v/>
      </c>
      <c r="N63">
        <f>IF(Wizards!$A$12="","",IF(OR(ISNUMBER(SEARCH(", "&amp;$B63&amp;", ", ", "&amp;INDEX('Form Responses'!$I$1:$Q$200,12,$A63)&amp;", ")),ISNUMBER(SEARCH(", "&amp;$B63&amp;", ", ", "&amp;INDEX('Form Responses'!$R$1:$R$200,12)&amp;", "))),1,""))</f>
        <v/>
      </c>
      <c r="O63">
        <f>IF(Wizards!$A$13="","",IF(OR(ISNUMBER(SEARCH(", "&amp;$B63&amp;", ", ", "&amp;INDEX('Form Responses'!$I$1:$Q$200,13,$A63)&amp;", ")),ISNUMBER(SEARCH(", "&amp;$B63&amp;", ", ", "&amp;INDEX('Form Responses'!$R$1:$R$200,13)&amp;", "))),1,""))</f>
        <v/>
      </c>
      <c r="P63">
        <f>IF(Wizards!$A$14="","",IF(OR(ISNUMBER(SEARCH(", "&amp;$B63&amp;", ", ", "&amp;INDEX('Form Responses'!$I$1:$Q$200,14,$A63)&amp;", ")),ISNUMBER(SEARCH(", "&amp;$B63&amp;", ", ", "&amp;INDEX('Form Responses'!$R$1:$R$200,14)&amp;", "))),1,""))</f>
        <v/>
      </c>
      <c r="Q63">
        <f>IF(Wizards!$A$15="","",IF(OR(ISNUMBER(SEARCH(", "&amp;$B63&amp;", ", ", "&amp;INDEX('Form Responses'!$I$1:$Q$200,15,$A63)&amp;", ")),ISNUMBER(SEARCH(", "&amp;$B63&amp;", ", ", "&amp;INDEX('Form Responses'!$R$1:$R$200,15)&amp;", "))),1,""))</f>
        <v/>
      </c>
      <c r="R63">
        <f>IF(Wizards!$A$16="","",IF(OR(ISNUMBER(SEARCH(", "&amp;$B63&amp;", ", ", "&amp;INDEX('Form Responses'!$I$1:$Q$200,16,$A63)&amp;", ")),ISNUMBER(SEARCH(", "&amp;$B63&amp;", ", ", "&amp;INDEX('Form Responses'!$R$1:$R$200,16)&amp;", "))),1,""))</f>
        <v/>
      </c>
      <c r="S63">
        <f>IF(Wizards!$A$17="","",IF(OR(ISNUMBER(SEARCH(", "&amp;$B63&amp;", ", ", "&amp;INDEX('Form Responses'!$I$1:$Q$200,17,$A63)&amp;", ")),ISNUMBER(SEARCH(", "&amp;$B63&amp;", ", ", "&amp;INDEX('Form Responses'!$R$1:$R$200,17)&amp;", "))),1,""))</f>
        <v/>
      </c>
      <c r="T63">
        <f>IF(Wizards!$A$18="","",IF(OR(ISNUMBER(SEARCH(", "&amp;$B63&amp;", ", ", "&amp;INDEX('Form Responses'!$I$1:$Q$200,18,$A63)&amp;", ")),ISNUMBER(SEARCH(", "&amp;$B63&amp;", ", ", "&amp;INDEX('Form Responses'!$R$1:$R$200,18)&amp;", "))),1,""))</f>
        <v/>
      </c>
      <c r="U63">
        <f>IF(Wizards!$A$19="","",IF(OR(ISNUMBER(SEARCH(", "&amp;$B63&amp;", ", ", "&amp;INDEX('Form Responses'!$I$1:$Q$200,19,$A63)&amp;", ")),ISNUMBER(SEARCH(", "&amp;$B63&amp;", ", ", "&amp;INDEX('Form Responses'!$R$1:$R$200,19)&amp;", "))),1,""))</f>
        <v/>
      </c>
      <c r="V63">
        <f>IF(Wizards!$A$20="","",IF(OR(ISNUMBER(SEARCH(", "&amp;$B63&amp;", ", ", "&amp;INDEX('Form Responses'!$I$1:$Q$200,20,$A63)&amp;", ")),ISNUMBER(SEARCH(", "&amp;$B63&amp;", ", ", "&amp;INDEX('Form Responses'!$R$1:$R$200,20)&amp;", "))),1,""))</f>
        <v/>
      </c>
      <c r="W63">
        <f>IF(Wizards!$A$21="","",IF(OR(ISNUMBER(SEARCH(", "&amp;$B63&amp;", ", ", "&amp;INDEX('Form Responses'!$I$1:$Q$200,21,$A63)&amp;", ")),ISNUMBER(SEARCH(", "&amp;$B63&amp;", ", ", "&amp;INDEX('Form Responses'!$R$1:$R$200,21)&amp;", "))),1,""))</f>
        <v/>
      </c>
      <c r="X63">
        <f>IF(Wizards!$A$22="","",IF(OR(ISNUMBER(SEARCH(", "&amp;$B63&amp;", ", ", "&amp;INDEX('Form Responses'!$I$1:$Q$200,22,$A63)&amp;", ")),ISNUMBER(SEARCH(", "&amp;$B63&amp;", ", ", "&amp;INDEX('Form Responses'!$R$1:$R$200,22)&amp;", "))),1,""))</f>
        <v/>
      </c>
      <c r="Y63">
        <f>IF(Wizards!$A$23="","",IF(OR(ISNUMBER(SEARCH(", "&amp;$B63&amp;", ", ", "&amp;INDEX('Form Responses'!$I$1:$Q$200,23,$A63)&amp;", ")),ISNUMBER(SEARCH(", "&amp;$B63&amp;", ", ", "&amp;INDEX('Form Responses'!$R$1:$R$200,23)&amp;", "))),1,""))</f>
        <v/>
      </c>
      <c r="Z63">
        <f>IF(Wizards!$A$24="","",IF(OR(ISNUMBER(SEARCH(", "&amp;$B63&amp;", ", ", "&amp;INDEX('Form Responses'!$I$1:$Q$200,24,$A63)&amp;", ")),ISNUMBER(SEARCH(", "&amp;$B63&amp;", ", ", "&amp;INDEX('Form Responses'!$R$1:$R$200,24)&amp;", "))),1,""))</f>
        <v/>
      </c>
      <c r="AA63">
        <f>IF(Wizards!$A$25="","",IF(OR(ISNUMBER(SEARCH(", "&amp;$B63&amp;", ", ", "&amp;INDEX('Form Responses'!$I$1:$Q$200,25,$A63)&amp;", ")),ISNUMBER(SEARCH(", "&amp;$B63&amp;", ", ", "&amp;INDEX('Form Responses'!$R$1:$R$200,25)&amp;", "))),1,""))</f>
        <v/>
      </c>
      <c r="AB63">
        <f>IF(D63=1,", "&amp;D$1,"")</f>
        <v/>
      </c>
      <c r="AC63">
        <f>IF(E63=1,", "&amp;E$1,"")</f>
        <v/>
      </c>
      <c r="AD63">
        <f>IF(F63=1,", "&amp;F$1,"")</f>
        <v/>
      </c>
      <c r="AE63">
        <f>IF(G63=1,", "&amp;G$1,"")</f>
        <v/>
      </c>
      <c r="AF63">
        <f>IF(H63=1,", "&amp;H$1,"")</f>
        <v/>
      </c>
      <c r="AG63">
        <f>IF(I63=1,", "&amp;I$1,"")</f>
        <v/>
      </c>
      <c r="AH63">
        <f>IF(J63=1,", "&amp;J$1,"")</f>
        <v/>
      </c>
      <c r="AI63">
        <f>IF(K63=1,", "&amp;K$1,"")</f>
        <v/>
      </c>
      <c r="AJ63">
        <f>IF(L63=1,", "&amp;L$1,"")</f>
        <v/>
      </c>
      <c r="AK63">
        <f>IF(M63=1,", "&amp;M$1,"")</f>
        <v/>
      </c>
      <c r="AL63">
        <f>IF(N63=1,", "&amp;N$1,"")</f>
        <v/>
      </c>
      <c r="AM63">
        <f>IF(O63=1,", "&amp;O$1,"")</f>
        <v/>
      </c>
      <c r="AN63">
        <f>IF(P63=1,", "&amp;P$1,"")</f>
        <v/>
      </c>
      <c r="AO63">
        <f>IF(Q63=1,", "&amp;Q$1,"")</f>
        <v/>
      </c>
      <c r="AP63">
        <f>IF(R63=1,", "&amp;R$1,"")</f>
        <v/>
      </c>
      <c r="AQ63">
        <f>IF(S63=1,", "&amp;S$1,"")</f>
        <v/>
      </c>
      <c r="AR63">
        <f>IF(T63=1,", "&amp;T$1,"")</f>
        <v/>
      </c>
      <c r="AS63">
        <f>IF(U63=1,", "&amp;U$1,"")</f>
        <v/>
      </c>
      <c r="AT63">
        <f>IF(V63=1,", "&amp;V$1,"")</f>
        <v/>
      </c>
      <c r="AU63">
        <f>IF(W63=1,", "&amp;W$1,"")</f>
        <v/>
      </c>
      <c r="AV63">
        <f>IF(X63=1,", "&amp;X$1,"")</f>
        <v/>
      </c>
      <c r="AW63">
        <f>IF(Y63=1,", "&amp;Y$1,"")</f>
        <v/>
      </c>
      <c r="AX63">
        <f>IF(Z63=1,", "&amp;Z$1,"")</f>
        <v/>
      </c>
      <c r="AY63">
        <f>IF(AA63=1,", "&amp;AA$1,"")</f>
        <v/>
      </c>
      <c r="AZ63">
        <f>MID($AB63&amp;$AC63&amp;$AD63&amp;$AE63&amp;$AF63&amp;$AG63&amp;$AH63&amp;$AI63&amp;$AJ63&amp;$AK63&amp;$AL63&amp;$AM63&amp;$AN63&amp;$AO63&amp;$AP63&amp;$AQ63&amp;$AR63&amp;$AS63&amp;$AT63&amp;$AU63&amp;$AV63&amp;$AW63&amp;$AX63&amp;$AY63,3,32767)</f>
        <v/>
      </c>
      <c r="BA63">
        <f>COUNT($D63:$AA63)</f>
        <v/>
      </c>
    </row>
    <row r="64">
      <c r="A64" t="n">
        <v>2</v>
      </c>
      <c r="B64" t="inlineStr">
        <is>
          <t>Elminster's Elusion</t>
        </is>
      </c>
      <c r="C64" t="inlineStr">
        <is>
          <t>Abjuration</t>
        </is>
      </c>
      <c r="D64">
        <f>IF(Wizards!$A$2="","",IF(OR(ISNUMBER(SEARCH(", "&amp;$B64&amp;", ", ", "&amp;INDEX('Form Responses'!$I$1:$Q$200,2,$A64)&amp;", ")),ISNUMBER(SEARCH(", "&amp;$B64&amp;", ", ", "&amp;INDEX('Form Responses'!$R$1:$R$200,2)&amp;", "))),1,""))</f>
        <v/>
      </c>
      <c r="E64">
        <f>IF(Wizards!$A$3="","",IF(OR(ISNUMBER(SEARCH(", "&amp;$B64&amp;", ", ", "&amp;INDEX('Form Responses'!$I$1:$Q$200,3,$A64)&amp;", ")),ISNUMBER(SEARCH(", "&amp;$B64&amp;", ", ", "&amp;INDEX('Form Responses'!$R$1:$R$200,3)&amp;", "))),1,""))</f>
        <v/>
      </c>
      <c r="F64">
        <f>IF(Wizards!$A$4="","",IF(OR(ISNUMBER(SEARCH(", "&amp;$B64&amp;", ", ", "&amp;INDEX('Form Responses'!$I$1:$Q$200,4,$A64)&amp;", ")),ISNUMBER(SEARCH(", "&amp;$B64&amp;", ", ", "&amp;INDEX('Form Responses'!$R$1:$R$200,4)&amp;", "))),1,""))</f>
        <v/>
      </c>
      <c r="G64">
        <f>IF(Wizards!$A$5="","",IF(OR(ISNUMBER(SEARCH(", "&amp;$B64&amp;", ", ", "&amp;INDEX('Form Responses'!$I$1:$Q$200,5,$A64)&amp;", ")),ISNUMBER(SEARCH(", "&amp;$B64&amp;", ", ", "&amp;INDEX('Form Responses'!$R$1:$R$200,5)&amp;", "))),1,""))</f>
        <v/>
      </c>
      <c r="H64">
        <f>IF(Wizards!$A$6="","",IF(OR(ISNUMBER(SEARCH(", "&amp;$B64&amp;", ", ", "&amp;INDEX('Form Responses'!$I$1:$Q$200,6,$A64)&amp;", ")),ISNUMBER(SEARCH(", "&amp;$B64&amp;", ", ", "&amp;INDEX('Form Responses'!$R$1:$R$200,6)&amp;", "))),1,""))</f>
        <v/>
      </c>
      <c r="I64">
        <f>IF(Wizards!$A$7="","",IF(OR(ISNUMBER(SEARCH(", "&amp;$B64&amp;", ", ", "&amp;INDEX('Form Responses'!$I$1:$Q$200,7,$A64)&amp;", ")),ISNUMBER(SEARCH(", "&amp;$B64&amp;", ", ", "&amp;INDEX('Form Responses'!$R$1:$R$200,7)&amp;", "))),1,""))</f>
        <v/>
      </c>
      <c r="J64">
        <f>IF(Wizards!$A$8="","",IF(OR(ISNUMBER(SEARCH(", "&amp;$B64&amp;", ", ", "&amp;INDEX('Form Responses'!$I$1:$Q$200,8,$A64)&amp;", ")),ISNUMBER(SEARCH(", "&amp;$B64&amp;", ", ", "&amp;INDEX('Form Responses'!$R$1:$R$200,8)&amp;", "))),1,""))</f>
        <v/>
      </c>
      <c r="K64">
        <f>IF(Wizards!$A$9="","",IF(OR(ISNUMBER(SEARCH(", "&amp;$B64&amp;", ", ", "&amp;INDEX('Form Responses'!$I$1:$Q$200,9,$A64)&amp;", ")),ISNUMBER(SEARCH(", "&amp;$B64&amp;", ", ", "&amp;INDEX('Form Responses'!$R$1:$R$200,9)&amp;", "))),1,""))</f>
        <v/>
      </c>
      <c r="L64">
        <f>IF(Wizards!$A$10="","",IF(OR(ISNUMBER(SEARCH(", "&amp;$B64&amp;", ", ", "&amp;INDEX('Form Responses'!$I$1:$Q$200,10,$A64)&amp;", ")),ISNUMBER(SEARCH(", "&amp;$B64&amp;", ", ", "&amp;INDEX('Form Responses'!$R$1:$R$200,10)&amp;", "))),1,""))</f>
        <v/>
      </c>
      <c r="M64">
        <f>IF(Wizards!$A$11="","",IF(OR(ISNUMBER(SEARCH(", "&amp;$B64&amp;", ", ", "&amp;INDEX('Form Responses'!$I$1:$Q$200,11,$A64)&amp;", ")),ISNUMBER(SEARCH(", "&amp;$B64&amp;", ", ", "&amp;INDEX('Form Responses'!$R$1:$R$200,11)&amp;", "))),1,""))</f>
        <v/>
      </c>
      <c r="N64">
        <f>IF(Wizards!$A$12="","",IF(OR(ISNUMBER(SEARCH(", "&amp;$B64&amp;", ", ", "&amp;INDEX('Form Responses'!$I$1:$Q$200,12,$A64)&amp;", ")),ISNUMBER(SEARCH(", "&amp;$B64&amp;", ", ", "&amp;INDEX('Form Responses'!$R$1:$R$200,12)&amp;", "))),1,""))</f>
        <v/>
      </c>
      <c r="O64">
        <f>IF(Wizards!$A$13="","",IF(OR(ISNUMBER(SEARCH(", "&amp;$B64&amp;", ", ", "&amp;INDEX('Form Responses'!$I$1:$Q$200,13,$A64)&amp;", ")),ISNUMBER(SEARCH(", "&amp;$B64&amp;", ", ", "&amp;INDEX('Form Responses'!$R$1:$R$200,13)&amp;", "))),1,""))</f>
        <v/>
      </c>
      <c r="P64">
        <f>IF(Wizards!$A$14="","",IF(OR(ISNUMBER(SEARCH(", "&amp;$B64&amp;", ", ", "&amp;INDEX('Form Responses'!$I$1:$Q$200,14,$A64)&amp;", ")),ISNUMBER(SEARCH(", "&amp;$B64&amp;", ", ", "&amp;INDEX('Form Responses'!$R$1:$R$200,14)&amp;", "))),1,""))</f>
        <v/>
      </c>
      <c r="Q64">
        <f>IF(Wizards!$A$15="","",IF(OR(ISNUMBER(SEARCH(", "&amp;$B64&amp;", ", ", "&amp;INDEX('Form Responses'!$I$1:$Q$200,15,$A64)&amp;", ")),ISNUMBER(SEARCH(", "&amp;$B64&amp;", ", ", "&amp;INDEX('Form Responses'!$R$1:$R$200,15)&amp;", "))),1,""))</f>
        <v/>
      </c>
      <c r="R64">
        <f>IF(Wizards!$A$16="","",IF(OR(ISNUMBER(SEARCH(", "&amp;$B64&amp;", ", ", "&amp;INDEX('Form Responses'!$I$1:$Q$200,16,$A64)&amp;", ")),ISNUMBER(SEARCH(", "&amp;$B64&amp;", ", ", "&amp;INDEX('Form Responses'!$R$1:$R$200,16)&amp;", "))),1,""))</f>
        <v/>
      </c>
      <c r="S64">
        <f>IF(Wizards!$A$17="","",IF(OR(ISNUMBER(SEARCH(", "&amp;$B64&amp;", ", ", "&amp;INDEX('Form Responses'!$I$1:$Q$200,17,$A64)&amp;", ")),ISNUMBER(SEARCH(", "&amp;$B64&amp;", ", ", "&amp;INDEX('Form Responses'!$R$1:$R$200,17)&amp;", "))),1,""))</f>
        <v/>
      </c>
      <c r="T64">
        <f>IF(Wizards!$A$18="","",IF(OR(ISNUMBER(SEARCH(", "&amp;$B64&amp;", ", ", "&amp;INDEX('Form Responses'!$I$1:$Q$200,18,$A64)&amp;", ")),ISNUMBER(SEARCH(", "&amp;$B64&amp;", ", ", "&amp;INDEX('Form Responses'!$R$1:$R$200,18)&amp;", "))),1,""))</f>
        <v/>
      </c>
      <c r="U64">
        <f>IF(Wizards!$A$19="","",IF(OR(ISNUMBER(SEARCH(", "&amp;$B64&amp;", ", ", "&amp;INDEX('Form Responses'!$I$1:$Q$200,19,$A64)&amp;", ")),ISNUMBER(SEARCH(", "&amp;$B64&amp;", ", ", "&amp;INDEX('Form Responses'!$R$1:$R$200,19)&amp;", "))),1,""))</f>
        <v/>
      </c>
      <c r="V64">
        <f>IF(Wizards!$A$20="","",IF(OR(ISNUMBER(SEARCH(", "&amp;$B64&amp;", ", ", "&amp;INDEX('Form Responses'!$I$1:$Q$200,20,$A64)&amp;", ")),ISNUMBER(SEARCH(", "&amp;$B64&amp;", ", ", "&amp;INDEX('Form Responses'!$R$1:$R$200,20)&amp;", "))),1,""))</f>
        <v/>
      </c>
      <c r="W64">
        <f>IF(Wizards!$A$21="","",IF(OR(ISNUMBER(SEARCH(", "&amp;$B64&amp;", ", ", "&amp;INDEX('Form Responses'!$I$1:$Q$200,21,$A64)&amp;", ")),ISNUMBER(SEARCH(", "&amp;$B64&amp;", ", ", "&amp;INDEX('Form Responses'!$R$1:$R$200,21)&amp;", "))),1,""))</f>
        <v/>
      </c>
      <c r="X64">
        <f>IF(Wizards!$A$22="","",IF(OR(ISNUMBER(SEARCH(", "&amp;$B64&amp;", ", ", "&amp;INDEX('Form Responses'!$I$1:$Q$200,22,$A64)&amp;", ")),ISNUMBER(SEARCH(", "&amp;$B64&amp;", ", ", "&amp;INDEX('Form Responses'!$R$1:$R$200,22)&amp;", "))),1,""))</f>
        <v/>
      </c>
      <c r="Y64">
        <f>IF(Wizards!$A$23="","",IF(OR(ISNUMBER(SEARCH(", "&amp;$B64&amp;", ", ", "&amp;INDEX('Form Responses'!$I$1:$Q$200,23,$A64)&amp;", ")),ISNUMBER(SEARCH(", "&amp;$B64&amp;", ", ", "&amp;INDEX('Form Responses'!$R$1:$R$200,23)&amp;", "))),1,""))</f>
        <v/>
      </c>
      <c r="Z64">
        <f>IF(Wizards!$A$24="","",IF(OR(ISNUMBER(SEARCH(", "&amp;$B64&amp;", ", ", "&amp;INDEX('Form Responses'!$I$1:$Q$200,24,$A64)&amp;", ")),ISNUMBER(SEARCH(", "&amp;$B64&amp;", ", ", "&amp;INDEX('Form Responses'!$R$1:$R$200,24)&amp;", "))),1,""))</f>
        <v/>
      </c>
      <c r="AA64">
        <f>IF(Wizards!$A$25="","",IF(OR(ISNUMBER(SEARCH(", "&amp;$B64&amp;", ", ", "&amp;INDEX('Form Responses'!$I$1:$Q$200,25,$A64)&amp;", ")),ISNUMBER(SEARCH(", "&amp;$B64&amp;", ", ", "&amp;INDEX('Form Responses'!$R$1:$R$200,25)&amp;", "))),1,""))</f>
        <v/>
      </c>
      <c r="AB64">
        <f>IF(D64=1,", "&amp;D$1,"")</f>
        <v/>
      </c>
      <c r="AC64">
        <f>IF(E64=1,", "&amp;E$1,"")</f>
        <v/>
      </c>
      <c r="AD64">
        <f>IF(F64=1,", "&amp;F$1,"")</f>
        <v/>
      </c>
      <c r="AE64">
        <f>IF(G64=1,", "&amp;G$1,"")</f>
        <v/>
      </c>
      <c r="AF64">
        <f>IF(H64=1,", "&amp;H$1,"")</f>
        <v/>
      </c>
      <c r="AG64">
        <f>IF(I64=1,", "&amp;I$1,"")</f>
        <v/>
      </c>
      <c r="AH64">
        <f>IF(J64=1,", "&amp;J$1,"")</f>
        <v/>
      </c>
      <c r="AI64">
        <f>IF(K64=1,", "&amp;K$1,"")</f>
        <v/>
      </c>
      <c r="AJ64">
        <f>IF(L64=1,", "&amp;L$1,"")</f>
        <v/>
      </c>
      <c r="AK64">
        <f>IF(M64=1,", "&amp;M$1,"")</f>
        <v/>
      </c>
      <c r="AL64">
        <f>IF(N64=1,", "&amp;N$1,"")</f>
        <v/>
      </c>
      <c r="AM64">
        <f>IF(O64=1,", "&amp;O$1,"")</f>
        <v/>
      </c>
      <c r="AN64">
        <f>IF(P64=1,", "&amp;P$1,"")</f>
        <v/>
      </c>
      <c r="AO64">
        <f>IF(Q64=1,", "&amp;Q$1,"")</f>
        <v/>
      </c>
      <c r="AP64">
        <f>IF(R64=1,", "&amp;R$1,"")</f>
        <v/>
      </c>
      <c r="AQ64">
        <f>IF(S64=1,", "&amp;S$1,"")</f>
        <v/>
      </c>
      <c r="AR64">
        <f>IF(T64=1,", "&amp;T$1,"")</f>
        <v/>
      </c>
      <c r="AS64">
        <f>IF(U64=1,", "&amp;U$1,"")</f>
        <v/>
      </c>
      <c r="AT64">
        <f>IF(V64=1,", "&amp;V$1,"")</f>
        <v/>
      </c>
      <c r="AU64">
        <f>IF(W64=1,", "&amp;W$1,"")</f>
        <v/>
      </c>
      <c r="AV64">
        <f>IF(X64=1,", "&amp;X$1,"")</f>
        <v/>
      </c>
      <c r="AW64">
        <f>IF(Y64=1,", "&amp;Y$1,"")</f>
        <v/>
      </c>
      <c r="AX64">
        <f>IF(Z64=1,", "&amp;Z$1,"")</f>
        <v/>
      </c>
      <c r="AY64">
        <f>IF(AA64=1,", "&amp;AA$1,"")</f>
        <v/>
      </c>
      <c r="AZ64">
        <f>MID($AB64&amp;$AC64&amp;$AD64&amp;$AE64&amp;$AF64&amp;$AG64&amp;$AH64&amp;$AI64&amp;$AJ64&amp;$AK64&amp;$AL64&amp;$AM64&amp;$AN64&amp;$AO64&amp;$AP64&amp;$AQ64&amp;$AR64&amp;$AS64&amp;$AT64&amp;$AU64&amp;$AV64&amp;$AW64&amp;$AX64&amp;$AY64,3,32767)</f>
        <v/>
      </c>
      <c r="BA64">
        <f>COUNT($D64:$AA64)</f>
        <v/>
      </c>
    </row>
    <row r="65">
      <c r="A65" t="n">
        <v>2</v>
      </c>
      <c r="B65" t="inlineStr">
        <is>
          <t>Enhance Ability</t>
        </is>
      </c>
      <c r="C65" t="inlineStr">
        <is>
          <t>Transmutation</t>
        </is>
      </c>
      <c r="D65">
        <f>IF(Wizards!$A$2="","",IF(OR(ISNUMBER(SEARCH(", "&amp;$B65&amp;", ", ", "&amp;INDEX('Form Responses'!$I$1:$Q$200,2,$A65)&amp;", ")),ISNUMBER(SEARCH(", "&amp;$B65&amp;", ", ", "&amp;INDEX('Form Responses'!$R$1:$R$200,2)&amp;", "))),1,""))</f>
        <v/>
      </c>
      <c r="E65">
        <f>IF(Wizards!$A$3="","",IF(OR(ISNUMBER(SEARCH(", "&amp;$B65&amp;", ", ", "&amp;INDEX('Form Responses'!$I$1:$Q$200,3,$A65)&amp;", ")),ISNUMBER(SEARCH(", "&amp;$B65&amp;", ", ", "&amp;INDEX('Form Responses'!$R$1:$R$200,3)&amp;", "))),1,""))</f>
        <v/>
      </c>
      <c r="F65">
        <f>IF(Wizards!$A$4="","",IF(OR(ISNUMBER(SEARCH(", "&amp;$B65&amp;", ", ", "&amp;INDEX('Form Responses'!$I$1:$Q$200,4,$A65)&amp;", ")),ISNUMBER(SEARCH(", "&amp;$B65&amp;", ", ", "&amp;INDEX('Form Responses'!$R$1:$R$200,4)&amp;", "))),1,""))</f>
        <v/>
      </c>
      <c r="G65">
        <f>IF(Wizards!$A$5="","",IF(OR(ISNUMBER(SEARCH(", "&amp;$B65&amp;", ", ", "&amp;INDEX('Form Responses'!$I$1:$Q$200,5,$A65)&amp;", ")),ISNUMBER(SEARCH(", "&amp;$B65&amp;", ", ", "&amp;INDEX('Form Responses'!$R$1:$R$200,5)&amp;", "))),1,""))</f>
        <v/>
      </c>
      <c r="H65">
        <f>IF(Wizards!$A$6="","",IF(OR(ISNUMBER(SEARCH(", "&amp;$B65&amp;", ", ", "&amp;INDEX('Form Responses'!$I$1:$Q$200,6,$A65)&amp;", ")),ISNUMBER(SEARCH(", "&amp;$B65&amp;", ", ", "&amp;INDEX('Form Responses'!$R$1:$R$200,6)&amp;", "))),1,""))</f>
        <v/>
      </c>
      <c r="I65">
        <f>IF(Wizards!$A$7="","",IF(OR(ISNUMBER(SEARCH(", "&amp;$B65&amp;", ", ", "&amp;INDEX('Form Responses'!$I$1:$Q$200,7,$A65)&amp;", ")),ISNUMBER(SEARCH(", "&amp;$B65&amp;", ", ", "&amp;INDEX('Form Responses'!$R$1:$R$200,7)&amp;", "))),1,""))</f>
        <v/>
      </c>
      <c r="J65">
        <f>IF(Wizards!$A$8="","",IF(OR(ISNUMBER(SEARCH(", "&amp;$B65&amp;", ", ", "&amp;INDEX('Form Responses'!$I$1:$Q$200,8,$A65)&amp;", ")),ISNUMBER(SEARCH(", "&amp;$B65&amp;", ", ", "&amp;INDEX('Form Responses'!$R$1:$R$200,8)&amp;", "))),1,""))</f>
        <v/>
      </c>
      <c r="K65">
        <f>IF(Wizards!$A$9="","",IF(OR(ISNUMBER(SEARCH(", "&amp;$B65&amp;", ", ", "&amp;INDEX('Form Responses'!$I$1:$Q$200,9,$A65)&amp;", ")),ISNUMBER(SEARCH(", "&amp;$B65&amp;", ", ", "&amp;INDEX('Form Responses'!$R$1:$R$200,9)&amp;", "))),1,""))</f>
        <v/>
      </c>
      <c r="L65">
        <f>IF(Wizards!$A$10="","",IF(OR(ISNUMBER(SEARCH(", "&amp;$B65&amp;", ", ", "&amp;INDEX('Form Responses'!$I$1:$Q$200,10,$A65)&amp;", ")),ISNUMBER(SEARCH(", "&amp;$B65&amp;", ", ", "&amp;INDEX('Form Responses'!$R$1:$R$200,10)&amp;", "))),1,""))</f>
        <v/>
      </c>
      <c r="M65">
        <f>IF(Wizards!$A$11="","",IF(OR(ISNUMBER(SEARCH(", "&amp;$B65&amp;", ", ", "&amp;INDEX('Form Responses'!$I$1:$Q$200,11,$A65)&amp;", ")),ISNUMBER(SEARCH(", "&amp;$B65&amp;", ", ", "&amp;INDEX('Form Responses'!$R$1:$R$200,11)&amp;", "))),1,""))</f>
        <v/>
      </c>
      <c r="N65">
        <f>IF(Wizards!$A$12="","",IF(OR(ISNUMBER(SEARCH(", "&amp;$B65&amp;", ", ", "&amp;INDEX('Form Responses'!$I$1:$Q$200,12,$A65)&amp;", ")),ISNUMBER(SEARCH(", "&amp;$B65&amp;", ", ", "&amp;INDEX('Form Responses'!$R$1:$R$200,12)&amp;", "))),1,""))</f>
        <v/>
      </c>
      <c r="O65">
        <f>IF(Wizards!$A$13="","",IF(OR(ISNUMBER(SEARCH(", "&amp;$B65&amp;", ", ", "&amp;INDEX('Form Responses'!$I$1:$Q$200,13,$A65)&amp;", ")),ISNUMBER(SEARCH(", "&amp;$B65&amp;", ", ", "&amp;INDEX('Form Responses'!$R$1:$R$200,13)&amp;", "))),1,""))</f>
        <v/>
      </c>
      <c r="P65">
        <f>IF(Wizards!$A$14="","",IF(OR(ISNUMBER(SEARCH(", "&amp;$B65&amp;", ", ", "&amp;INDEX('Form Responses'!$I$1:$Q$200,14,$A65)&amp;", ")),ISNUMBER(SEARCH(", "&amp;$B65&amp;", ", ", "&amp;INDEX('Form Responses'!$R$1:$R$200,14)&amp;", "))),1,""))</f>
        <v/>
      </c>
      <c r="Q65">
        <f>IF(Wizards!$A$15="","",IF(OR(ISNUMBER(SEARCH(", "&amp;$B65&amp;", ", ", "&amp;INDEX('Form Responses'!$I$1:$Q$200,15,$A65)&amp;", ")),ISNUMBER(SEARCH(", "&amp;$B65&amp;", ", ", "&amp;INDEX('Form Responses'!$R$1:$R$200,15)&amp;", "))),1,""))</f>
        <v/>
      </c>
      <c r="R65">
        <f>IF(Wizards!$A$16="","",IF(OR(ISNUMBER(SEARCH(", "&amp;$B65&amp;", ", ", "&amp;INDEX('Form Responses'!$I$1:$Q$200,16,$A65)&amp;", ")),ISNUMBER(SEARCH(", "&amp;$B65&amp;", ", ", "&amp;INDEX('Form Responses'!$R$1:$R$200,16)&amp;", "))),1,""))</f>
        <v/>
      </c>
      <c r="S65">
        <f>IF(Wizards!$A$17="","",IF(OR(ISNUMBER(SEARCH(", "&amp;$B65&amp;", ", ", "&amp;INDEX('Form Responses'!$I$1:$Q$200,17,$A65)&amp;", ")),ISNUMBER(SEARCH(", "&amp;$B65&amp;", ", ", "&amp;INDEX('Form Responses'!$R$1:$R$200,17)&amp;", "))),1,""))</f>
        <v/>
      </c>
      <c r="T65">
        <f>IF(Wizards!$A$18="","",IF(OR(ISNUMBER(SEARCH(", "&amp;$B65&amp;", ", ", "&amp;INDEX('Form Responses'!$I$1:$Q$200,18,$A65)&amp;", ")),ISNUMBER(SEARCH(", "&amp;$B65&amp;", ", ", "&amp;INDEX('Form Responses'!$R$1:$R$200,18)&amp;", "))),1,""))</f>
        <v/>
      </c>
      <c r="U65">
        <f>IF(Wizards!$A$19="","",IF(OR(ISNUMBER(SEARCH(", "&amp;$B65&amp;", ", ", "&amp;INDEX('Form Responses'!$I$1:$Q$200,19,$A65)&amp;", ")),ISNUMBER(SEARCH(", "&amp;$B65&amp;", ", ", "&amp;INDEX('Form Responses'!$R$1:$R$200,19)&amp;", "))),1,""))</f>
        <v/>
      </c>
      <c r="V65">
        <f>IF(Wizards!$A$20="","",IF(OR(ISNUMBER(SEARCH(", "&amp;$B65&amp;", ", ", "&amp;INDEX('Form Responses'!$I$1:$Q$200,20,$A65)&amp;", ")),ISNUMBER(SEARCH(", "&amp;$B65&amp;", ", ", "&amp;INDEX('Form Responses'!$R$1:$R$200,20)&amp;", "))),1,""))</f>
        <v/>
      </c>
      <c r="W65">
        <f>IF(Wizards!$A$21="","",IF(OR(ISNUMBER(SEARCH(", "&amp;$B65&amp;", ", ", "&amp;INDEX('Form Responses'!$I$1:$Q$200,21,$A65)&amp;", ")),ISNUMBER(SEARCH(", "&amp;$B65&amp;", ", ", "&amp;INDEX('Form Responses'!$R$1:$R$200,21)&amp;", "))),1,""))</f>
        <v/>
      </c>
      <c r="X65">
        <f>IF(Wizards!$A$22="","",IF(OR(ISNUMBER(SEARCH(", "&amp;$B65&amp;", ", ", "&amp;INDEX('Form Responses'!$I$1:$Q$200,22,$A65)&amp;", ")),ISNUMBER(SEARCH(", "&amp;$B65&amp;", ", ", "&amp;INDEX('Form Responses'!$R$1:$R$200,22)&amp;", "))),1,""))</f>
        <v/>
      </c>
      <c r="Y65">
        <f>IF(Wizards!$A$23="","",IF(OR(ISNUMBER(SEARCH(", "&amp;$B65&amp;", ", ", "&amp;INDEX('Form Responses'!$I$1:$Q$200,23,$A65)&amp;", ")),ISNUMBER(SEARCH(", "&amp;$B65&amp;", ", ", "&amp;INDEX('Form Responses'!$R$1:$R$200,23)&amp;", "))),1,""))</f>
        <v/>
      </c>
      <c r="Z65">
        <f>IF(Wizards!$A$24="","",IF(OR(ISNUMBER(SEARCH(", "&amp;$B65&amp;", ", ", "&amp;INDEX('Form Responses'!$I$1:$Q$200,24,$A65)&amp;", ")),ISNUMBER(SEARCH(", "&amp;$B65&amp;", ", ", "&amp;INDEX('Form Responses'!$R$1:$R$200,24)&amp;", "))),1,""))</f>
        <v/>
      </c>
      <c r="AA65">
        <f>IF(Wizards!$A$25="","",IF(OR(ISNUMBER(SEARCH(", "&amp;$B65&amp;", ", ", "&amp;INDEX('Form Responses'!$I$1:$Q$200,25,$A65)&amp;", ")),ISNUMBER(SEARCH(", "&amp;$B65&amp;", ", ", "&amp;INDEX('Form Responses'!$R$1:$R$200,25)&amp;", "))),1,""))</f>
        <v/>
      </c>
      <c r="AB65">
        <f>IF(D65=1,", "&amp;D$1,"")</f>
        <v/>
      </c>
      <c r="AC65">
        <f>IF(E65=1,", "&amp;E$1,"")</f>
        <v/>
      </c>
      <c r="AD65">
        <f>IF(F65=1,", "&amp;F$1,"")</f>
        <v/>
      </c>
      <c r="AE65">
        <f>IF(G65=1,", "&amp;G$1,"")</f>
        <v/>
      </c>
      <c r="AF65">
        <f>IF(H65=1,", "&amp;H$1,"")</f>
        <v/>
      </c>
      <c r="AG65">
        <f>IF(I65=1,", "&amp;I$1,"")</f>
        <v/>
      </c>
      <c r="AH65">
        <f>IF(J65=1,", "&amp;J$1,"")</f>
        <v/>
      </c>
      <c r="AI65">
        <f>IF(K65=1,", "&amp;K$1,"")</f>
        <v/>
      </c>
      <c r="AJ65">
        <f>IF(L65=1,", "&amp;L$1,"")</f>
        <v/>
      </c>
      <c r="AK65">
        <f>IF(M65=1,", "&amp;M$1,"")</f>
        <v/>
      </c>
      <c r="AL65">
        <f>IF(N65=1,", "&amp;N$1,"")</f>
        <v/>
      </c>
      <c r="AM65">
        <f>IF(O65=1,", "&amp;O$1,"")</f>
        <v/>
      </c>
      <c r="AN65">
        <f>IF(P65=1,", "&amp;P$1,"")</f>
        <v/>
      </c>
      <c r="AO65">
        <f>IF(Q65=1,", "&amp;Q$1,"")</f>
        <v/>
      </c>
      <c r="AP65">
        <f>IF(R65=1,", "&amp;R$1,"")</f>
        <v/>
      </c>
      <c r="AQ65">
        <f>IF(S65=1,", "&amp;S$1,"")</f>
        <v/>
      </c>
      <c r="AR65">
        <f>IF(T65=1,", "&amp;T$1,"")</f>
        <v/>
      </c>
      <c r="AS65">
        <f>IF(U65=1,", "&amp;U$1,"")</f>
        <v/>
      </c>
      <c r="AT65">
        <f>IF(V65=1,", "&amp;V$1,"")</f>
        <v/>
      </c>
      <c r="AU65">
        <f>IF(W65=1,", "&amp;W$1,"")</f>
        <v/>
      </c>
      <c r="AV65">
        <f>IF(X65=1,", "&amp;X$1,"")</f>
        <v/>
      </c>
      <c r="AW65">
        <f>IF(Y65=1,", "&amp;Y$1,"")</f>
        <v/>
      </c>
      <c r="AX65">
        <f>IF(Z65=1,", "&amp;Z$1,"")</f>
        <v/>
      </c>
      <c r="AY65">
        <f>IF(AA65=1,", "&amp;AA$1,"")</f>
        <v/>
      </c>
      <c r="AZ65">
        <f>MID($AB65&amp;$AC65&amp;$AD65&amp;$AE65&amp;$AF65&amp;$AG65&amp;$AH65&amp;$AI65&amp;$AJ65&amp;$AK65&amp;$AL65&amp;$AM65&amp;$AN65&amp;$AO65&amp;$AP65&amp;$AQ65&amp;$AR65&amp;$AS65&amp;$AT65&amp;$AU65&amp;$AV65&amp;$AW65&amp;$AX65&amp;$AY65,3,32767)</f>
        <v/>
      </c>
      <c r="BA65">
        <f>COUNT($D65:$AA65)</f>
        <v/>
      </c>
    </row>
    <row r="66">
      <c r="A66" t="n">
        <v>2</v>
      </c>
      <c r="B66" t="inlineStr">
        <is>
          <t>Enlarge/Reduce</t>
        </is>
      </c>
      <c r="C66" t="inlineStr">
        <is>
          <t>Transmutation</t>
        </is>
      </c>
      <c r="D66">
        <f>IF(Wizards!$A$2="","",IF(OR(ISNUMBER(SEARCH(", "&amp;$B66&amp;", ", ", "&amp;INDEX('Form Responses'!$I$1:$Q$200,2,$A66)&amp;", ")),ISNUMBER(SEARCH(", "&amp;$B66&amp;", ", ", "&amp;INDEX('Form Responses'!$R$1:$R$200,2)&amp;", "))),1,""))</f>
        <v/>
      </c>
      <c r="E66">
        <f>IF(Wizards!$A$3="","",IF(OR(ISNUMBER(SEARCH(", "&amp;$B66&amp;", ", ", "&amp;INDEX('Form Responses'!$I$1:$Q$200,3,$A66)&amp;", ")),ISNUMBER(SEARCH(", "&amp;$B66&amp;", ", ", "&amp;INDEX('Form Responses'!$R$1:$R$200,3)&amp;", "))),1,""))</f>
        <v/>
      </c>
      <c r="F66">
        <f>IF(Wizards!$A$4="","",IF(OR(ISNUMBER(SEARCH(", "&amp;$B66&amp;", ", ", "&amp;INDEX('Form Responses'!$I$1:$Q$200,4,$A66)&amp;", ")),ISNUMBER(SEARCH(", "&amp;$B66&amp;", ", ", "&amp;INDEX('Form Responses'!$R$1:$R$200,4)&amp;", "))),1,""))</f>
        <v/>
      </c>
      <c r="G66">
        <f>IF(Wizards!$A$5="","",IF(OR(ISNUMBER(SEARCH(", "&amp;$B66&amp;", ", ", "&amp;INDEX('Form Responses'!$I$1:$Q$200,5,$A66)&amp;", ")),ISNUMBER(SEARCH(", "&amp;$B66&amp;", ", ", "&amp;INDEX('Form Responses'!$R$1:$R$200,5)&amp;", "))),1,""))</f>
        <v/>
      </c>
      <c r="H66">
        <f>IF(Wizards!$A$6="","",IF(OR(ISNUMBER(SEARCH(", "&amp;$B66&amp;", ", ", "&amp;INDEX('Form Responses'!$I$1:$Q$200,6,$A66)&amp;", ")),ISNUMBER(SEARCH(", "&amp;$B66&amp;", ", ", "&amp;INDEX('Form Responses'!$R$1:$R$200,6)&amp;", "))),1,""))</f>
        <v/>
      </c>
      <c r="I66">
        <f>IF(Wizards!$A$7="","",IF(OR(ISNUMBER(SEARCH(", "&amp;$B66&amp;", ", ", "&amp;INDEX('Form Responses'!$I$1:$Q$200,7,$A66)&amp;", ")),ISNUMBER(SEARCH(", "&amp;$B66&amp;", ", ", "&amp;INDEX('Form Responses'!$R$1:$R$200,7)&amp;", "))),1,""))</f>
        <v/>
      </c>
      <c r="J66">
        <f>IF(Wizards!$A$8="","",IF(OR(ISNUMBER(SEARCH(", "&amp;$B66&amp;", ", ", "&amp;INDEX('Form Responses'!$I$1:$Q$200,8,$A66)&amp;", ")),ISNUMBER(SEARCH(", "&amp;$B66&amp;", ", ", "&amp;INDEX('Form Responses'!$R$1:$R$200,8)&amp;", "))),1,""))</f>
        <v/>
      </c>
      <c r="K66">
        <f>IF(Wizards!$A$9="","",IF(OR(ISNUMBER(SEARCH(", "&amp;$B66&amp;", ", ", "&amp;INDEX('Form Responses'!$I$1:$Q$200,9,$A66)&amp;", ")),ISNUMBER(SEARCH(", "&amp;$B66&amp;", ", ", "&amp;INDEX('Form Responses'!$R$1:$R$200,9)&amp;", "))),1,""))</f>
        <v/>
      </c>
      <c r="L66">
        <f>IF(Wizards!$A$10="","",IF(OR(ISNUMBER(SEARCH(", "&amp;$B66&amp;", ", ", "&amp;INDEX('Form Responses'!$I$1:$Q$200,10,$A66)&amp;", ")),ISNUMBER(SEARCH(", "&amp;$B66&amp;", ", ", "&amp;INDEX('Form Responses'!$R$1:$R$200,10)&amp;", "))),1,""))</f>
        <v/>
      </c>
      <c r="M66">
        <f>IF(Wizards!$A$11="","",IF(OR(ISNUMBER(SEARCH(", "&amp;$B66&amp;", ", ", "&amp;INDEX('Form Responses'!$I$1:$Q$200,11,$A66)&amp;", ")),ISNUMBER(SEARCH(", "&amp;$B66&amp;", ", ", "&amp;INDEX('Form Responses'!$R$1:$R$200,11)&amp;", "))),1,""))</f>
        <v/>
      </c>
      <c r="N66">
        <f>IF(Wizards!$A$12="","",IF(OR(ISNUMBER(SEARCH(", "&amp;$B66&amp;", ", ", "&amp;INDEX('Form Responses'!$I$1:$Q$200,12,$A66)&amp;", ")),ISNUMBER(SEARCH(", "&amp;$B66&amp;", ", ", "&amp;INDEX('Form Responses'!$R$1:$R$200,12)&amp;", "))),1,""))</f>
        <v/>
      </c>
      <c r="O66">
        <f>IF(Wizards!$A$13="","",IF(OR(ISNUMBER(SEARCH(", "&amp;$B66&amp;", ", ", "&amp;INDEX('Form Responses'!$I$1:$Q$200,13,$A66)&amp;", ")),ISNUMBER(SEARCH(", "&amp;$B66&amp;", ", ", "&amp;INDEX('Form Responses'!$R$1:$R$200,13)&amp;", "))),1,""))</f>
        <v/>
      </c>
      <c r="P66">
        <f>IF(Wizards!$A$14="","",IF(OR(ISNUMBER(SEARCH(", "&amp;$B66&amp;", ", ", "&amp;INDEX('Form Responses'!$I$1:$Q$200,14,$A66)&amp;", ")),ISNUMBER(SEARCH(", "&amp;$B66&amp;", ", ", "&amp;INDEX('Form Responses'!$R$1:$R$200,14)&amp;", "))),1,""))</f>
        <v/>
      </c>
      <c r="Q66">
        <f>IF(Wizards!$A$15="","",IF(OR(ISNUMBER(SEARCH(", "&amp;$B66&amp;", ", ", "&amp;INDEX('Form Responses'!$I$1:$Q$200,15,$A66)&amp;", ")),ISNUMBER(SEARCH(", "&amp;$B66&amp;", ", ", "&amp;INDEX('Form Responses'!$R$1:$R$200,15)&amp;", "))),1,""))</f>
        <v/>
      </c>
      <c r="R66">
        <f>IF(Wizards!$A$16="","",IF(OR(ISNUMBER(SEARCH(", "&amp;$B66&amp;", ", ", "&amp;INDEX('Form Responses'!$I$1:$Q$200,16,$A66)&amp;", ")),ISNUMBER(SEARCH(", "&amp;$B66&amp;", ", ", "&amp;INDEX('Form Responses'!$R$1:$R$200,16)&amp;", "))),1,""))</f>
        <v/>
      </c>
      <c r="S66">
        <f>IF(Wizards!$A$17="","",IF(OR(ISNUMBER(SEARCH(", "&amp;$B66&amp;", ", ", "&amp;INDEX('Form Responses'!$I$1:$Q$200,17,$A66)&amp;", ")),ISNUMBER(SEARCH(", "&amp;$B66&amp;", ", ", "&amp;INDEX('Form Responses'!$R$1:$R$200,17)&amp;", "))),1,""))</f>
        <v/>
      </c>
      <c r="T66">
        <f>IF(Wizards!$A$18="","",IF(OR(ISNUMBER(SEARCH(", "&amp;$B66&amp;", ", ", "&amp;INDEX('Form Responses'!$I$1:$Q$200,18,$A66)&amp;", ")),ISNUMBER(SEARCH(", "&amp;$B66&amp;", ", ", "&amp;INDEX('Form Responses'!$R$1:$R$200,18)&amp;", "))),1,""))</f>
        <v/>
      </c>
      <c r="U66">
        <f>IF(Wizards!$A$19="","",IF(OR(ISNUMBER(SEARCH(", "&amp;$B66&amp;", ", ", "&amp;INDEX('Form Responses'!$I$1:$Q$200,19,$A66)&amp;", ")),ISNUMBER(SEARCH(", "&amp;$B66&amp;", ", ", "&amp;INDEX('Form Responses'!$R$1:$R$200,19)&amp;", "))),1,""))</f>
        <v/>
      </c>
      <c r="V66">
        <f>IF(Wizards!$A$20="","",IF(OR(ISNUMBER(SEARCH(", "&amp;$B66&amp;", ", ", "&amp;INDEX('Form Responses'!$I$1:$Q$200,20,$A66)&amp;", ")),ISNUMBER(SEARCH(", "&amp;$B66&amp;", ", ", "&amp;INDEX('Form Responses'!$R$1:$R$200,20)&amp;", "))),1,""))</f>
        <v/>
      </c>
      <c r="W66">
        <f>IF(Wizards!$A$21="","",IF(OR(ISNUMBER(SEARCH(", "&amp;$B66&amp;", ", ", "&amp;INDEX('Form Responses'!$I$1:$Q$200,21,$A66)&amp;", ")),ISNUMBER(SEARCH(", "&amp;$B66&amp;", ", ", "&amp;INDEX('Form Responses'!$R$1:$R$200,21)&amp;", "))),1,""))</f>
        <v/>
      </c>
      <c r="X66">
        <f>IF(Wizards!$A$22="","",IF(OR(ISNUMBER(SEARCH(", "&amp;$B66&amp;", ", ", "&amp;INDEX('Form Responses'!$I$1:$Q$200,22,$A66)&amp;", ")),ISNUMBER(SEARCH(", "&amp;$B66&amp;", ", ", "&amp;INDEX('Form Responses'!$R$1:$R$200,22)&amp;", "))),1,""))</f>
        <v/>
      </c>
      <c r="Y66">
        <f>IF(Wizards!$A$23="","",IF(OR(ISNUMBER(SEARCH(", "&amp;$B66&amp;", ", ", "&amp;INDEX('Form Responses'!$I$1:$Q$200,23,$A66)&amp;", ")),ISNUMBER(SEARCH(", "&amp;$B66&amp;", ", ", "&amp;INDEX('Form Responses'!$R$1:$R$200,23)&amp;", "))),1,""))</f>
        <v/>
      </c>
      <c r="Z66">
        <f>IF(Wizards!$A$24="","",IF(OR(ISNUMBER(SEARCH(", "&amp;$B66&amp;", ", ", "&amp;INDEX('Form Responses'!$I$1:$Q$200,24,$A66)&amp;", ")),ISNUMBER(SEARCH(", "&amp;$B66&amp;", ", ", "&amp;INDEX('Form Responses'!$R$1:$R$200,24)&amp;", "))),1,""))</f>
        <v/>
      </c>
      <c r="AA66">
        <f>IF(Wizards!$A$25="","",IF(OR(ISNUMBER(SEARCH(", "&amp;$B66&amp;", ", ", "&amp;INDEX('Form Responses'!$I$1:$Q$200,25,$A66)&amp;", ")),ISNUMBER(SEARCH(", "&amp;$B66&amp;", ", ", "&amp;INDEX('Form Responses'!$R$1:$R$200,25)&amp;", "))),1,""))</f>
        <v/>
      </c>
      <c r="AB66">
        <f>IF(D66=1,", "&amp;D$1,"")</f>
        <v/>
      </c>
      <c r="AC66">
        <f>IF(E66=1,", "&amp;E$1,"")</f>
        <v/>
      </c>
      <c r="AD66">
        <f>IF(F66=1,", "&amp;F$1,"")</f>
        <v/>
      </c>
      <c r="AE66">
        <f>IF(G66=1,", "&amp;G$1,"")</f>
        <v/>
      </c>
      <c r="AF66">
        <f>IF(H66=1,", "&amp;H$1,"")</f>
        <v/>
      </c>
      <c r="AG66">
        <f>IF(I66=1,", "&amp;I$1,"")</f>
        <v/>
      </c>
      <c r="AH66">
        <f>IF(J66=1,", "&amp;J$1,"")</f>
        <v/>
      </c>
      <c r="AI66">
        <f>IF(K66=1,", "&amp;K$1,"")</f>
        <v/>
      </c>
      <c r="AJ66">
        <f>IF(L66=1,", "&amp;L$1,"")</f>
        <v/>
      </c>
      <c r="AK66">
        <f>IF(M66=1,", "&amp;M$1,"")</f>
        <v/>
      </c>
      <c r="AL66">
        <f>IF(N66=1,", "&amp;N$1,"")</f>
        <v/>
      </c>
      <c r="AM66">
        <f>IF(O66=1,", "&amp;O$1,"")</f>
        <v/>
      </c>
      <c r="AN66">
        <f>IF(P66=1,", "&amp;P$1,"")</f>
        <v/>
      </c>
      <c r="AO66">
        <f>IF(Q66=1,", "&amp;Q$1,"")</f>
        <v/>
      </c>
      <c r="AP66">
        <f>IF(R66=1,", "&amp;R$1,"")</f>
        <v/>
      </c>
      <c r="AQ66">
        <f>IF(S66=1,", "&amp;S$1,"")</f>
        <v/>
      </c>
      <c r="AR66">
        <f>IF(T66=1,", "&amp;T$1,"")</f>
        <v/>
      </c>
      <c r="AS66">
        <f>IF(U66=1,", "&amp;U$1,"")</f>
        <v/>
      </c>
      <c r="AT66">
        <f>IF(V66=1,", "&amp;V$1,"")</f>
        <v/>
      </c>
      <c r="AU66">
        <f>IF(W66=1,", "&amp;W$1,"")</f>
        <v/>
      </c>
      <c r="AV66">
        <f>IF(X66=1,", "&amp;X$1,"")</f>
        <v/>
      </c>
      <c r="AW66">
        <f>IF(Y66=1,", "&amp;Y$1,"")</f>
        <v/>
      </c>
      <c r="AX66">
        <f>IF(Z66=1,", "&amp;Z$1,"")</f>
        <v/>
      </c>
      <c r="AY66">
        <f>IF(AA66=1,", "&amp;AA$1,"")</f>
        <v/>
      </c>
      <c r="AZ66">
        <f>MID($AB66&amp;$AC66&amp;$AD66&amp;$AE66&amp;$AF66&amp;$AG66&amp;$AH66&amp;$AI66&amp;$AJ66&amp;$AK66&amp;$AL66&amp;$AM66&amp;$AN66&amp;$AO66&amp;$AP66&amp;$AQ66&amp;$AR66&amp;$AS66&amp;$AT66&amp;$AU66&amp;$AV66&amp;$AW66&amp;$AX66&amp;$AY66,3,32767)</f>
        <v/>
      </c>
      <c r="BA66">
        <f>COUNT($D66:$AA66)</f>
        <v/>
      </c>
    </row>
    <row r="67">
      <c r="A67" t="n">
        <v>2</v>
      </c>
      <c r="B67" t="inlineStr">
        <is>
          <t>Flaming Sphere</t>
        </is>
      </c>
      <c r="C67" t="inlineStr">
        <is>
          <t>Conjuration</t>
        </is>
      </c>
      <c r="D67">
        <f>IF(Wizards!$A$2="","",IF(OR(ISNUMBER(SEARCH(", "&amp;$B67&amp;", ", ", "&amp;INDEX('Form Responses'!$I$1:$Q$200,2,$A67)&amp;", ")),ISNUMBER(SEARCH(", "&amp;$B67&amp;", ", ", "&amp;INDEX('Form Responses'!$R$1:$R$200,2)&amp;", "))),1,""))</f>
        <v/>
      </c>
      <c r="E67">
        <f>IF(Wizards!$A$3="","",IF(OR(ISNUMBER(SEARCH(", "&amp;$B67&amp;", ", ", "&amp;INDEX('Form Responses'!$I$1:$Q$200,3,$A67)&amp;", ")),ISNUMBER(SEARCH(", "&amp;$B67&amp;", ", ", "&amp;INDEX('Form Responses'!$R$1:$R$200,3)&amp;", "))),1,""))</f>
        <v/>
      </c>
      <c r="F67">
        <f>IF(Wizards!$A$4="","",IF(OR(ISNUMBER(SEARCH(", "&amp;$B67&amp;", ", ", "&amp;INDEX('Form Responses'!$I$1:$Q$200,4,$A67)&amp;", ")),ISNUMBER(SEARCH(", "&amp;$B67&amp;", ", ", "&amp;INDEX('Form Responses'!$R$1:$R$200,4)&amp;", "))),1,""))</f>
        <v/>
      </c>
      <c r="G67">
        <f>IF(Wizards!$A$5="","",IF(OR(ISNUMBER(SEARCH(", "&amp;$B67&amp;", ", ", "&amp;INDEX('Form Responses'!$I$1:$Q$200,5,$A67)&amp;", ")),ISNUMBER(SEARCH(", "&amp;$B67&amp;", ", ", "&amp;INDEX('Form Responses'!$R$1:$R$200,5)&amp;", "))),1,""))</f>
        <v/>
      </c>
      <c r="H67">
        <f>IF(Wizards!$A$6="","",IF(OR(ISNUMBER(SEARCH(", "&amp;$B67&amp;", ", ", "&amp;INDEX('Form Responses'!$I$1:$Q$200,6,$A67)&amp;", ")),ISNUMBER(SEARCH(", "&amp;$B67&amp;", ", ", "&amp;INDEX('Form Responses'!$R$1:$R$200,6)&amp;", "))),1,""))</f>
        <v/>
      </c>
      <c r="I67">
        <f>IF(Wizards!$A$7="","",IF(OR(ISNUMBER(SEARCH(", "&amp;$B67&amp;", ", ", "&amp;INDEX('Form Responses'!$I$1:$Q$200,7,$A67)&amp;", ")),ISNUMBER(SEARCH(", "&amp;$B67&amp;", ", ", "&amp;INDEX('Form Responses'!$R$1:$R$200,7)&amp;", "))),1,""))</f>
        <v/>
      </c>
      <c r="J67">
        <f>IF(Wizards!$A$8="","",IF(OR(ISNUMBER(SEARCH(", "&amp;$B67&amp;", ", ", "&amp;INDEX('Form Responses'!$I$1:$Q$200,8,$A67)&amp;", ")),ISNUMBER(SEARCH(", "&amp;$B67&amp;", ", ", "&amp;INDEX('Form Responses'!$R$1:$R$200,8)&amp;", "))),1,""))</f>
        <v/>
      </c>
      <c r="K67">
        <f>IF(Wizards!$A$9="","",IF(OR(ISNUMBER(SEARCH(", "&amp;$B67&amp;", ", ", "&amp;INDEX('Form Responses'!$I$1:$Q$200,9,$A67)&amp;", ")),ISNUMBER(SEARCH(", "&amp;$B67&amp;", ", ", "&amp;INDEX('Form Responses'!$R$1:$R$200,9)&amp;", "))),1,""))</f>
        <v/>
      </c>
      <c r="L67">
        <f>IF(Wizards!$A$10="","",IF(OR(ISNUMBER(SEARCH(", "&amp;$B67&amp;", ", ", "&amp;INDEX('Form Responses'!$I$1:$Q$200,10,$A67)&amp;", ")),ISNUMBER(SEARCH(", "&amp;$B67&amp;", ", ", "&amp;INDEX('Form Responses'!$R$1:$R$200,10)&amp;", "))),1,""))</f>
        <v/>
      </c>
      <c r="M67">
        <f>IF(Wizards!$A$11="","",IF(OR(ISNUMBER(SEARCH(", "&amp;$B67&amp;", ", ", "&amp;INDEX('Form Responses'!$I$1:$Q$200,11,$A67)&amp;", ")),ISNUMBER(SEARCH(", "&amp;$B67&amp;", ", ", "&amp;INDEX('Form Responses'!$R$1:$R$200,11)&amp;", "))),1,""))</f>
        <v/>
      </c>
      <c r="N67">
        <f>IF(Wizards!$A$12="","",IF(OR(ISNUMBER(SEARCH(", "&amp;$B67&amp;", ", ", "&amp;INDEX('Form Responses'!$I$1:$Q$200,12,$A67)&amp;", ")),ISNUMBER(SEARCH(", "&amp;$B67&amp;", ", ", "&amp;INDEX('Form Responses'!$R$1:$R$200,12)&amp;", "))),1,""))</f>
        <v/>
      </c>
      <c r="O67">
        <f>IF(Wizards!$A$13="","",IF(OR(ISNUMBER(SEARCH(", "&amp;$B67&amp;", ", ", "&amp;INDEX('Form Responses'!$I$1:$Q$200,13,$A67)&amp;", ")),ISNUMBER(SEARCH(", "&amp;$B67&amp;", ", ", "&amp;INDEX('Form Responses'!$R$1:$R$200,13)&amp;", "))),1,""))</f>
        <v/>
      </c>
      <c r="P67">
        <f>IF(Wizards!$A$14="","",IF(OR(ISNUMBER(SEARCH(", "&amp;$B67&amp;", ", ", "&amp;INDEX('Form Responses'!$I$1:$Q$200,14,$A67)&amp;", ")),ISNUMBER(SEARCH(", "&amp;$B67&amp;", ", ", "&amp;INDEX('Form Responses'!$R$1:$R$200,14)&amp;", "))),1,""))</f>
        <v/>
      </c>
      <c r="Q67">
        <f>IF(Wizards!$A$15="","",IF(OR(ISNUMBER(SEARCH(", "&amp;$B67&amp;", ", ", "&amp;INDEX('Form Responses'!$I$1:$Q$200,15,$A67)&amp;", ")),ISNUMBER(SEARCH(", "&amp;$B67&amp;", ", ", "&amp;INDEX('Form Responses'!$R$1:$R$200,15)&amp;", "))),1,""))</f>
        <v/>
      </c>
      <c r="R67">
        <f>IF(Wizards!$A$16="","",IF(OR(ISNUMBER(SEARCH(", "&amp;$B67&amp;", ", ", "&amp;INDEX('Form Responses'!$I$1:$Q$200,16,$A67)&amp;", ")),ISNUMBER(SEARCH(", "&amp;$B67&amp;", ", ", "&amp;INDEX('Form Responses'!$R$1:$R$200,16)&amp;", "))),1,""))</f>
        <v/>
      </c>
      <c r="S67">
        <f>IF(Wizards!$A$17="","",IF(OR(ISNUMBER(SEARCH(", "&amp;$B67&amp;", ", ", "&amp;INDEX('Form Responses'!$I$1:$Q$200,17,$A67)&amp;", ")),ISNUMBER(SEARCH(", "&amp;$B67&amp;", ", ", "&amp;INDEX('Form Responses'!$R$1:$R$200,17)&amp;", "))),1,""))</f>
        <v/>
      </c>
      <c r="T67">
        <f>IF(Wizards!$A$18="","",IF(OR(ISNUMBER(SEARCH(", "&amp;$B67&amp;", ", ", "&amp;INDEX('Form Responses'!$I$1:$Q$200,18,$A67)&amp;", ")),ISNUMBER(SEARCH(", "&amp;$B67&amp;", ", ", "&amp;INDEX('Form Responses'!$R$1:$R$200,18)&amp;", "))),1,""))</f>
        <v/>
      </c>
      <c r="U67">
        <f>IF(Wizards!$A$19="","",IF(OR(ISNUMBER(SEARCH(", "&amp;$B67&amp;", ", ", "&amp;INDEX('Form Responses'!$I$1:$Q$200,19,$A67)&amp;", ")),ISNUMBER(SEARCH(", "&amp;$B67&amp;", ", ", "&amp;INDEX('Form Responses'!$R$1:$R$200,19)&amp;", "))),1,""))</f>
        <v/>
      </c>
      <c r="V67">
        <f>IF(Wizards!$A$20="","",IF(OR(ISNUMBER(SEARCH(", "&amp;$B67&amp;", ", ", "&amp;INDEX('Form Responses'!$I$1:$Q$200,20,$A67)&amp;", ")),ISNUMBER(SEARCH(", "&amp;$B67&amp;", ", ", "&amp;INDEX('Form Responses'!$R$1:$R$200,20)&amp;", "))),1,""))</f>
        <v/>
      </c>
      <c r="W67">
        <f>IF(Wizards!$A$21="","",IF(OR(ISNUMBER(SEARCH(", "&amp;$B67&amp;", ", ", "&amp;INDEX('Form Responses'!$I$1:$Q$200,21,$A67)&amp;", ")),ISNUMBER(SEARCH(", "&amp;$B67&amp;", ", ", "&amp;INDEX('Form Responses'!$R$1:$R$200,21)&amp;", "))),1,""))</f>
        <v/>
      </c>
      <c r="X67">
        <f>IF(Wizards!$A$22="","",IF(OR(ISNUMBER(SEARCH(", "&amp;$B67&amp;", ", ", "&amp;INDEX('Form Responses'!$I$1:$Q$200,22,$A67)&amp;", ")),ISNUMBER(SEARCH(", "&amp;$B67&amp;", ", ", "&amp;INDEX('Form Responses'!$R$1:$R$200,22)&amp;", "))),1,""))</f>
        <v/>
      </c>
      <c r="Y67">
        <f>IF(Wizards!$A$23="","",IF(OR(ISNUMBER(SEARCH(", "&amp;$B67&amp;", ", ", "&amp;INDEX('Form Responses'!$I$1:$Q$200,23,$A67)&amp;", ")),ISNUMBER(SEARCH(", "&amp;$B67&amp;", ", ", "&amp;INDEX('Form Responses'!$R$1:$R$200,23)&amp;", "))),1,""))</f>
        <v/>
      </c>
      <c r="Z67">
        <f>IF(Wizards!$A$24="","",IF(OR(ISNUMBER(SEARCH(", "&amp;$B67&amp;", ", ", "&amp;INDEX('Form Responses'!$I$1:$Q$200,24,$A67)&amp;", ")),ISNUMBER(SEARCH(", "&amp;$B67&amp;", ", ", "&amp;INDEX('Form Responses'!$R$1:$R$200,24)&amp;", "))),1,""))</f>
        <v/>
      </c>
      <c r="AA67">
        <f>IF(Wizards!$A$25="","",IF(OR(ISNUMBER(SEARCH(", "&amp;$B67&amp;", ", ", "&amp;INDEX('Form Responses'!$I$1:$Q$200,25,$A67)&amp;", ")),ISNUMBER(SEARCH(", "&amp;$B67&amp;", ", ", "&amp;INDEX('Form Responses'!$R$1:$R$200,25)&amp;", "))),1,""))</f>
        <v/>
      </c>
      <c r="AB67">
        <f>IF(D67=1,", "&amp;D$1,"")</f>
        <v/>
      </c>
      <c r="AC67">
        <f>IF(E67=1,", "&amp;E$1,"")</f>
        <v/>
      </c>
      <c r="AD67">
        <f>IF(F67=1,", "&amp;F$1,"")</f>
        <v/>
      </c>
      <c r="AE67">
        <f>IF(G67=1,", "&amp;G$1,"")</f>
        <v/>
      </c>
      <c r="AF67">
        <f>IF(H67=1,", "&amp;H$1,"")</f>
        <v/>
      </c>
      <c r="AG67">
        <f>IF(I67=1,", "&amp;I$1,"")</f>
        <v/>
      </c>
      <c r="AH67">
        <f>IF(J67=1,", "&amp;J$1,"")</f>
        <v/>
      </c>
      <c r="AI67">
        <f>IF(K67=1,", "&amp;K$1,"")</f>
        <v/>
      </c>
      <c r="AJ67">
        <f>IF(L67=1,", "&amp;L$1,"")</f>
        <v/>
      </c>
      <c r="AK67">
        <f>IF(M67=1,", "&amp;M$1,"")</f>
        <v/>
      </c>
      <c r="AL67">
        <f>IF(N67=1,", "&amp;N$1,"")</f>
        <v/>
      </c>
      <c r="AM67">
        <f>IF(O67=1,", "&amp;O$1,"")</f>
        <v/>
      </c>
      <c r="AN67">
        <f>IF(P67=1,", "&amp;P$1,"")</f>
        <v/>
      </c>
      <c r="AO67">
        <f>IF(Q67=1,", "&amp;Q$1,"")</f>
        <v/>
      </c>
      <c r="AP67">
        <f>IF(R67=1,", "&amp;R$1,"")</f>
        <v/>
      </c>
      <c r="AQ67">
        <f>IF(S67=1,", "&amp;S$1,"")</f>
        <v/>
      </c>
      <c r="AR67">
        <f>IF(T67=1,", "&amp;T$1,"")</f>
        <v/>
      </c>
      <c r="AS67">
        <f>IF(U67=1,", "&amp;U$1,"")</f>
        <v/>
      </c>
      <c r="AT67">
        <f>IF(V67=1,", "&amp;V$1,"")</f>
        <v/>
      </c>
      <c r="AU67">
        <f>IF(W67=1,", "&amp;W$1,"")</f>
        <v/>
      </c>
      <c r="AV67">
        <f>IF(X67=1,", "&amp;X$1,"")</f>
        <v/>
      </c>
      <c r="AW67">
        <f>IF(Y67=1,", "&amp;Y$1,"")</f>
        <v/>
      </c>
      <c r="AX67">
        <f>IF(Z67=1,", "&amp;Z$1,"")</f>
        <v/>
      </c>
      <c r="AY67">
        <f>IF(AA67=1,", "&amp;AA$1,"")</f>
        <v/>
      </c>
      <c r="AZ67">
        <f>MID($AB67&amp;$AC67&amp;$AD67&amp;$AE67&amp;$AF67&amp;$AG67&amp;$AH67&amp;$AI67&amp;$AJ67&amp;$AK67&amp;$AL67&amp;$AM67&amp;$AN67&amp;$AO67&amp;$AP67&amp;$AQ67&amp;$AR67&amp;$AS67&amp;$AT67&amp;$AU67&amp;$AV67&amp;$AW67&amp;$AX67&amp;$AY67,3,32767)</f>
        <v/>
      </c>
      <c r="BA67">
        <f>COUNT($D67:$AA67)</f>
        <v/>
      </c>
    </row>
    <row r="68">
      <c r="A68" t="n">
        <v>2</v>
      </c>
      <c r="B68" t="inlineStr">
        <is>
          <t>Flock of Familiars</t>
        </is>
      </c>
      <c r="C68" t="inlineStr">
        <is>
          <t>Conjuration</t>
        </is>
      </c>
      <c r="D68">
        <f>IF(Wizards!$A$2="","",IF(OR(ISNUMBER(SEARCH(", "&amp;$B68&amp;", ", ", "&amp;INDEX('Form Responses'!$I$1:$Q$200,2,$A68)&amp;", ")),ISNUMBER(SEARCH(", "&amp;$B68&amp;", ", ", "&amp;INDEX('Form Responses'!$R$1:$R$200,2)&amp;", "))),1,""))</f>
        <v/>
      </c>
      <c r="E68">
        <f>IF(Wizards!$A$3="","",IF(OR(ISNUMBER(SEARCH(", "&amp;$B68&amp;", ", ", "&amp;INDEX('Form Responses'!$I$1:$Q$200,3,$A68)&amp;", ")),ISNUMBER(SEARCH(", "&amp;$B68&amp;", ", ", "&amp;INDEX('Form Responses'!$R$1:$R$200,3)&amp;", "))),1,""))</f>
        <v/>
      </c>
      <c r="F68">
        <f>IF(Wizards!$A$4="","",IF(OR(ISNUMBER(SEARCH(", "&amp;$B68&amp;", ", ", "&amp;INDEX('Form Responses'!$I$1:$Q$200,4,$A68)&amp;", ")),ISNUMBER(SEARCH(", "&amp;$B68&amp;", ", ", "&amp;INDEX('Form Responses'!$R$1:$R$200,4)&amp;", "))),1,""))</f>
        <v/>
      </c>
      <c r="G68">
        <f>IF(Wizards!$A$5="","",IF(OR(ISNUMBER(SEARCH(", "&amp;$B68&amp;", ", ", "&amp;INDEX('Form Responses'!$I$1:$Q$200,5,$A68)&amp;", ")),ISNUMBER(SEARCH(", "&amp;$B68&amp;", ", ", "&amp;INDEX('Form Responses'!$R$1:$R$200,5)&amp;", "))),1,""))</f>
        <v/>
      </c>
      <c r="H68">
        <f>IF(Wizards!$A$6="","",IF(OR(ISNUMBER(SEARCH(", "&amp;$B68&amp;", ", ", "&amp;INDEX('Form Responses'!$I$1:$Q$200,6,$A68)&amp;", ")),ISNUMBER(SEARCH(", "&amp;$B68&amp;", ", ", "&amp;INDEX('Form Responses'!$R$1:$R$200,6)&amp;", "))),1,""))</f>
        <v/>
      </c>
      <c r="I68">
        <f>IF(Wizards!$A$7="","",IF(OR(ISNUMBER(SEARCH(", "&amp;$B68&amp;", ", ", "&amp;INDEX('Form Responses'!$I$1:$Q$200,7,$A68)&amp;", ")),ISNUMBER(SEARCH(", "&amp;$B68&amp;", ", ", "&amp;INDEX('Form Responses'!$R$1:$R$200,7)&amp;", "))),1,""))</f>
        <v/>
      </c>
      <c r="J68">
        <f>IF(Wizards!$A$8="","",IF(OR(ISNUMBER(SEARCH(", "&amp;$B68&amp;", ", ", "&amp;INDEX('Form Responses'!$I$1:$Q$200,8,$A68)&amp;", ")),ISNUMBER(SEARCH(", "&amp;$B68&amp;", ", ", "&amp;INDEX('Form Responses'!$R$1:$R$200,8)&amp;", "))),1,""))</f>
        <v/>
      </c>
      <c r="K68">
        <f>IF(Wizards!$A$9="","",IF(OR(ISNUMBER(SEARCH(", "&amp;$B68&amp;", ", ", "&amp;INDEX('Form Responses'!$I$1:$Q$200,9,$A68)&amp;", ")),ISNUMBER(SEARCH(", "&amp;$B68&amp;", ", ", "&amp;INDEX('Form Responses'!$R$1:$R$200,9)&amp;", "))),1,""))</f>
        <v/>
      </c>
      <c r="L68">
        <f>IF(Wizards!$A$10="","",IF(OR(ISNUMBER(SEARCH(", "&amp;$B68&amp;", ", ", "&amp;INDEX('Form Responses'!$I$1:$Q$200,10,$A68)&amp;", ")),ISNUMBER(SEARCH(", "&amp;$B68&amp;", ", ", "&amp;INDEX('Form Responses'!$R$1:$R$200,10)&amp;", "))),1,""))</f>
        <v/>
      </c>
      <c r="M68">
        <f>IF(Wizards!$A$11="","",IF(OR(ISNUMBER(SEARCH(", "&amp;$B68&amp;", ", ", "&amp;INDEX('Form Responses'!$I$1:$Q$200,11,$A68)&amp;", ")),ISNUMBER(SEARCH(", "&amp;$B68&amp;", ", ", "&amp;INDEX('Form Responses'!$R$1:$R$200,11)&amp;", "))),1,""))</f>
        <v/>
      </c>
      <c r="N68">
        <f>IF(Wizards!$A$12="","",IF(OR(ISNUMBER(SEARCH(", "&amp;$B68&amp;", ", ", "&amp;INDEX('Form Responses'!$I$1:$Q$200,12,$A68)&amp;", ")),ISNUMBER(SEARCH(", "&amp;$B68&amp;", ", ", "&amp;INDEX('Form Responses'!$R$1:$R$200,12)&amp;", "))),1,""))</f>
        <v/>
      </c>
      <c r="O68">
        <f>IF(Wizards!$A$13="","",IF(OR(ISNUMBER(SEARCH(", "&amp;$B68&amp;", ", ", "&amp;INDEX('Form Responses'!$I$1:$Q$200,13,$A68)&amp;", ")),ISNUMBER(SEARCH(", "&amp;$B68&amp;", ", ", "&amp;INDEX('Form Responses'!$R$1:$R$200,13)&amp;", "))),1,""))</f>
        <v/>
      </c>
      <c r="P68">
        <f>IF(Wizards!$A$14="","",IF(OR(ISNUMBER(SEARCH(", "&amp;$B68&amp;", ", ", "&amp;INDEX('Form Responses'!$I$1:$Q$200,14,$A68)&amp;", ")),ISNUMBER(SEARCH(", "&amp;$B68&amp;", ", ", "&amp;INDEX('Form Responses'!$R$1:$R$200,14)&amp;", "))),1,""))</f>
        <v/>
      </c>
      <c r="Q68">
        <f>IF(Wizards!$A$15="","",IF(OR(ISNUMBER(SEARCH(", "&amp;$B68&amp;", ", ", "&amp;INDEX('Form Responses'!$I$1:$Q$200,15,$A68)&amp;", ")),ISNUMBER(SEARCH(", "&amp;$B68&amp;", ", ", "&amp;INDEX('Form Responses'!$R$1:$R$200,15)&amp;", "))),1,""))</f>
        <v/>
      </c>
      <c r="R68">
        <f>IF(Wizards!$A$16="","",IF(OR(ISNUMBER(SEARCH(", "&amp;$B68&amp;", ", ", "&amp;INDEX('Form Responses'!$I$1:$Q$200,16,$A68)&amp;", ")),ISNUMBER(SEARCH(", "&amp;$B68&amp;", ", ", "&amp;INDEX('Form Responses'!$R$1:$R$200,16)&amp;", "))),1,""))</f>
        <v/>
      </c>
      <c r="S68">
        <f>IF(Wizards!$A$17="","",IF(OR(ISNUMBER(SEARCH(", "&amp;$B68&amp;", ", ", "&amp;INDEX('Form Responses'!$I$1:$Q$200,17,$A68)&amp;", ")),ISNUMBER(SEARCH(", "&amp;$B68&amp;", ", ", "&amp;INDEX('Form Responses'!$R$1:$R$200,17)&amp;", "))),1,""))</f>
        <v/>
      </c>
      <c r="T68">
        <f>IF(Wizards!$A$18="","",IF(OR(ISNUMBER(SEARCH(", "&amp;$B68&amp;", ", ", "&amp;INDEX('Form Responses'!$I$1:$Q$200,18,$A68)&amp;", ")),ISNUMBER(SEARCH(", "&amp;$B68&amp;", ", ", "&amp;INDEX('Form Responses'!$R$1:$R$200,18)&amp;", "))),1,""))</f>
        <v/>
      </c>
      <c r="U68">
        <f>IF(Wizards!$A$19="","",IF(OR(ISNUMBER(SEARCH(", "&amp;$B68&amp;", ", ", "&amp;INDEX('Form Responses'!$I$1:$Q$200,19,$A68)&amp;", ")),ISNUMBER(SEARCH(", "&amp;$B68&amp;", ", ", "&amp;INDEX('Form Responses'!$R$1:$R$200,19)&amp;", "))),1,""))</f>
        <v/>
      </c>
      <c r="V68">
        <f>IF(Wizards!$A$20="","",IF(OR(ISNUMBER(SEARCH(", "&amp;$B68&amp;", ", ", "&amp;INDEX('Form Responses'!$I$1:$Q$200,20,$A68)&amp;", ")),ISNUMBER(SEARCH(", "&amp;$B68&amp;", ", ", "&amp;INDEX('Form Responses'!$R$1:$R$200,20)&amp;", "))),1,""))</f>
        <v/>
      </c>
      <c r="W68">
        <f>IF(Wizards!$A$21="","",IF(OR(ISNUMBER(SEARCH(", "&amp;$B68&amp;", ", ", "&amp;INDEX('Form Responses'!$I$1:$Q$200,21,$A68)&amp;", ")),ISNUMBER(SEARCH(", "&amp;$B68&amp;", ", ", "&amp;INDEX('Form Responses'!$R$1:$R$200,21)&amp;", "))),1,""))</f>
        <v/>
      </c>
      <c r="X68">
        <f>IF(Wizards!$A$22="","",IF(OR(ISNUMBER(SEARCH(", "&amp;$B68&amp;", ", ", "&amp;INDEX('Form Responses'!$I$1:$Q$200,22,$A68)&amp;", ")),ISNUMBER(SEARCH(", "&amp;$B68&amp;", ", ", "&amp;INDEX('Form Responses'!$R$1:$R$200,22)&amp;", "))),1,""))</f>
        <v/>
      </c>
      <c r="Y68">
        <f>IF(Wizards!$A$23="","",IF(OR(ISNUMBER(SEARCH(", "&amp;$B68&amp;", ", ", "&amp;INDEX('Form Responses'!$I$1:$Q$200,23,$A68)&amp;", ")),ISNUMBER(SEARCH(", "&amp;$B68&amp;", ", ", "&amp;INDEX('Form Responses'!$R$1:$R$200,23)&amp;", "))),1,""))</f>
        <v/>
      </c>
      <c r="Z68">
        <f>IF(Wizards!$A$24="","",IF(OR(ISNUMBER(SEARCH(", "&amp;$B68&amp;", ", ", "&amp;INDEX('Form Responses'!$I$1:$Q$200,24,$A68)&amp;", ")),ISNUMBER(SEARCH(", "&amp;$B68&amp;", ", ", "&amp;INDEX('Form Responses'!$R$1:$R$200,24)&amp;", "))),1,""))</f>
        <v/>
      </c>
      <c r="AA68">
        <f>IF(Wizards!$A$25="","",IF(OR(ISNUMBER(SEARCH(", "&amp;$B68&amp;", ", ", "&amp;INDEX('Form Responses'!$I$1:$Q$200,25,$A68)&amp;", ")),ISNUMBER(SEARCH(", "&amp;$B68&amp;", ", ", "&amp;INDEX('Form Responses'!$R$1:$R$200,25)&amp;", "))),1,""))</f>
        <v/>
      </c>
      <c r="AB68">
        <f>IF(D68=1,", "&amp;D$1,"")</f>
        <v/>
      </c>
      <c r="AC68">
        <f>IF(E68=1,", "&amp;E$1,"")</f>
        <v/>
      </c>
      <c r="AD68">
        <f>IF(F68=1,", "&amp;F$1,"")</f>
        <v/>
      </c>
      <c r="AE68">
        <f>IF(G68=1,", "&amp;G$1,"")</f>
        <v/>
      </c>
      <c r="AF68">
        <f>IF(H68=1,", "&amp;H$1,"")</f>
        <v/>
      </c>
      <c r="AG68">
        <f>IF(I68=1,", "&amp;I$1,"")</f>
        <v/>
      </c>
      <c r="AH68">
        <f>IF(J68=1,", "&amp;J$1,"")</f>
        <v/>
      </c>
      <c r="AI68">
        <f>IF(K68=1,", "&amp;K$1,"")</f>
        <v/>
      </c>
      <c r="AJ68">
        <f>IF(L68=1,", "&amp;L$1,"")</f>
        <v/>
      </c>
      <c r="AK68">
        <f>IF(M68=1,", "&amp;M$1,"")</f>
        <v/>
      </c>
      <c r="AL68">
        <f>IF(N68=1,", "&amp;N$1,"")</f>
        <v/>
      </c>
      <c r="AM68">
        <f>IF(O68=1,", "&amp;O$1,"")</f>
        <v/>
      </c>
      <c r="AN68">
        <f>IF(P68=1,", "&amp;P$1,"")</f>
        <v/>
      </c>
      <c r="AO68">
        <f>IF(Q68=1,", "&amp;Q$1,"")</f>
        <v/>
      </c>
      <c r="AP68">
        <f>IF(R68=1,", "&amp;R$1,"")</f>
        <v/>
      </c>
      <c r="AQ68">
        <f>IF(S68=1,", "&amp;S$1,"")</f>
        <v/>
      </c>
      <c r="AR68">
        <f>IF(T68=1,", "&amp;T$1,"")</f>
        <v/>
      </c>
      <c r="AS68">
        <f>IF(U68=1,", "&amp;U$1,"")</f>
        <v/>
      </c>
      <c r="AT68">
        <f>IF(V68=1,", "&amp;V$1,"")</f>
        <v/>
      </c>
      <c r="AU68">
        <f>IF(W68=1,", "&amp;W$1,"")</f>
        <v/>
      </c>
      <c r="AV68">
        <f>IF(X68=1,", "&amp;X$1,"")</f>
        <v/>
      </c>
      <c r="AW68">
        <f>IF(Y68=1,", "&amp;Y$1,"")</f>
        <v/>
      </c>
      <c r="AX68">
        <f>IF(Z68=1,", "&amp;Z$1,"")</f>
        <v/>
      </c>
      <c r="AY68">
        <f>IF(AA68=1,", "&amp;AA$1,"")</f>
        <v/>
      </c>
      <c r="AZ68">
        <f>MID($AB68&amp;$AC68&amp;$AD68&amp;$AE68&amp;$AF68&amp;$AG68&amp;$AH68&amp;$AI68&amp;$AJ68&amp;$AK68&amp;$AL68&amp;$AM68&amp;$AN68&amp;$AO68&amp;$AP68&amp;$AQ68&amp;$AR68&amp;$AS68&amp;$AT68&amp;$AU68&amp;$AV68&amp;$AW68&amp;$AX68&amp;$AY68,3,32767)</f>
        <v/>
      </c>
      <c r="BA68">
        <f>COUNT($D68:$AA68)</f>
        <v/>
      </c>
    </row>
    <row r="69">
      <c r="A69" t="n">
        <v>2</v>
      </c>
      <c r="B69" t="inlineStr">
        <is>
          <t>Gentle Repose</t>
        </is>
      </c>
      <c r="C69" t="inlineStr">
        <is>
          <t>Necromancy</t>
        </is>
      </c>
      <c r="D69">
        <f>IF(Wizards!$A$2="","",IF(OR(ISNUMBER(SEARCH(", "&amp;$B69&amp;", ", ", "&amp;INDEX('Form Responses'!$I$1:$Q$200,2,$A69)&amp;", ")),ISNUMBER(SEARCH(", "&amp;$B69&amp;", ", ", "&amp;INDEX('Form Responses'!$R$1:$R$200,2)&amp;", "))),1,""))</f>
        <v/>
      </c>
      <c r="E69">
        <f>IF(Wizards!$A$3="","",IF(OR(ISNUMBER(SEARCH(", "&amp;$B69&amp;", ", ", "&amp;INDEX('Form Responses'!$I$1:$Q$200,3,$A69)&amp;", ")),ISNUMBER(SEARCH(", "&amp;$B69&amp;", ", ", "&amp;INDEX('Form Responses'!$R$1:$R$200,3)&amp;", "))),1,""))</f>
        <v/>
      </c>
      <c r="F69">
        <f>IF(Wizards!$A$4="","",IF(OR(ISNUMBER(SEARCH(", "&amp;$B69&amp;", ", ", "&amp;INDEX('Form Responses'!$I$1:$Q$200,4,$A69)&amp;", ")),ISNUMBER(SEARCH(", "&amp;$B69&amp;", ", ", "&amp;INDEX('Form Responses'!$R$1:$R$200,4)&amp;", "))),1,""))</f>
        <v/>
      </c>
      <c r="G69">
        <f>IF(Wizards!$A$5="","",IF(OR(ISNUMBER(SEARCH(", "&amp;$B69&amp;", ", ", "&amp;INDEX('Form Responses'!$I$1:$Q$200,5,$A69)&amp;", ")),ISNUMBER(SEARCH(", "&amp;$B69&amp;", ", ", "&amp;INDEX('Form Responses'!$R$1:$R$200,5)&amp;", "))),1,""))</f>
        <v/>
      </c>
      <c r="H69">
        <f>IF(Wizards!$A$6="","",IF(OR(ISNUMBER(SEARCH(", "&amp;$B69&amp;", ", ", "&amp;INDEX('Form Responses'!$I$1:$Q$200,6,$A69)&amp;", ")),ISNUMBER(SEARCH(", "&amp;$B69&amp;", ", ", "&amp;INDEX('Form Responses'!$R$1:$R$200,6)&amp;", "))),1,""))</f>
        <v/>
      </c>
      <c r="I69">
        <f>IF(Wizards!$A$7="","",IF(OR(ISNUMBER(SEARCH(", "&amp;$B69&amp;", ", ", "&amp;INDEX('Form Responses'!$I$1:$Q$200,7,$A69)&amp;", ")),ISNUMBER(SEARCH(", "&amp;$B69&amp;", ", ", "&amp;INDEX('Form Responses'!$R$1:$R$200,7)&amp;", "))),1,""))</f>
        <v/>
      </c>
      <c r="J69">
        <f>IF(Wizards!$A$8="","",IF(OR(ISNUMBER(SEARCH(", "&amp;$B69&amp;", ", ", "&amp;INDEX('Form Responses'!$I$1:$Q$200,8,$A69)&amp;", ")),ISNUMBER(SEARCH(", "&amp;$B69&amp;", ", ", "&amp;INDEX('Form Responses'!$R$1:$R$200,8)&amp;", "))),1,""))</f>
        <v/>
      </c>
      <c r="K69">
        <f>IF(Wizards!$A$9="","",IF(OR(ISNUMBER(SEARCH(", "&amp;$B69&amp;", ", ", "&amp;INDEX('Form Responses'!$I$1:$Q$200,9,$A69)&amp;", ")),ISNUMBER(SEARCH(", "&amp;$B69&amp;", ", ", "&amp;INDEX('Form Responses'!$R$1:$R$200,9)&amp;", "))),1,""))</f>
        <v/>
      </c>
      <c r="L69">
        <f>IF(Wizards!$A$10="","",IF(OR(ISNUMBER(SEARCH(", "&amp;$B69&amp;", ", ", "&amp;INDEX('Form Responses'!$I$1:$Q$200,10,$A69)&amp;", ")),ISNUMBER(SEARCH(", "&amp;$B69&amp;", ", ", "&amp;INDEX('Form Responses'!$R$1:$R$200,10)&amp;", "))),1,""))</f>
        <v/>
      </c>
      <c r="M69">
        <f>IF(Wizards!$A$11="","",IF(OR(ISNUMBER(SEARCH(", "&amp;$B69&amp;", ", ", "&amp;INDEX('Form Responses'!$I$1:$Q$200,11,$A69)&amp;", ")),ISNUMBER(SEARCH(", "&amp;$B69&amp;", ", ", "&amp;INDEX('Form Responses'!$R$1:$R$200,11)&amp;", "))),1,""))</f>
        <v/>
      </c>
      <c r="N69">
        <f>IF(Wizards!$A$12="","",IF(OR(ISNUMBER(SEARCH(", "&amp;$B69&amp;", ", ", "&amp;INDEX('Form Responses'!$I$1:$Q$200,12,$A69)&amp;", ")),ISNUMBER(SEARCH(", "&amp;$B69&amp;", ", ", "&amp;INDEX('Form Responses'!$R$1:$R$200,12)&amp;", "))),1,""))</f>
        <v/>
      </c>
      <c r="O69">
        <f>IF(Wizards!$A$13="","",IF(OR(ISNUMBER(SEARCH(", "&amp;$B69&amp;", ", ", "&amp;INDEX('Form Responses'!$I$1:$Q$200,13,$A69)&amp;", ")),ISNUMBER(SEARCH(", "&amp;$B69&amp;", ", ", "&amp;INDEX('Form Responses'!$R$1:$R$200,13)&amp;", "))),1,""))</f>
        <v/>
      </c>
      <c r="P69">
        <f>IF(Wizards!$A$14="","",IF(OR(ISNUMBER(SEARCH(", "&amp;$B69&amp;", ", ", "&amp;INDEX('Form Responses'!$I$1:$Q$200,14,$A69)&amp;", ")),ISNUMBER(SEARCH(", "&amp;$B69&amp;", ", ", "&amp;INDEX('Form Responses'!$R$1:$R$200,14)&amp;", "))),1,""))</f>
        <v/>
      </c>
      <c r="Q69">
        <f>IF(Wizards!$A$15="","",IF(OR(ISNUMBER(SEARCH(", "&amp;$B69&amp;", ", ", "&amp;INDEX('Form Responses'!$I$1:$Q$200,15,$A69)&amp;", ")),ISNUMBER(SEARCH(", "&amp;$B69&amp;", ", ", "&amp;INDEX('Form Responses'!$R$1:$R$200,15)&amp;", "))),1,""))</f>
        <v/>
      </c>
      <c r="R69">
        <f>IF(Wizards!$A$16="","",IF(OR(ISNUMBER(SEARCH(", "&amp;$B69&amp;", ", ", "&amp;INDEX('Form Responses'!$I$1:$Q$200,16,$A69)&amp;", ")),ISNUMBER(SEARCH(", "&amp;$B69&amp;", ", ", "&amp;INDEX('Form Responses'!$R$1:$R$200,16)&amp;", "))),1,""))</f>
        <v/>
      </c>
      <c r="S69">
        <f>IF(Wizards!$A$17="","",IF(OR(ISNUMBER(SEARCH(", "&amp;$B69&amp;", ", ", "&amp;INDEX('Form Responses'!$I$1:$Q$200,17,$A69)&amp;", ")),ISNUMBER(SEARCH(", "&amp;$B69&amp;", ", ", "&amp;INDEX('Form Responses'!$R$1:$R$200,17)&amp;", "))),1,""))</f>
        <v/>
      </c>
      <c r="T69">
        <f>IF(Wizards!$A$18="","",IF(OR(ISNUMBER(SEARCH(", "&amp;$B69&amp;", ", ", "&amp;INDEX('Form Responses'!$I$1:$Q$200,18,$A69)&amp;", ")),ISNUMBER(SEARCH(", "&amp;$B69&amp;", ", ", "&amp;INDEX('Form Responses'!$R$1:$R$200,18)&amp;", "))),1,""))</f>
        <v/>
      </c>
      <c r="U69">
        <f>IF(Wizards!$A$19="","",IF(OR(ISNUMBER(SEARCH(", "&amp;$B69&amp;", ", ", "&amp;INDEX('Form Responses'!$I$1:$Q$200,19,$A69)&amp;", ")),ISNUMBER(SEARCH(", "&amp;$B69&amp;", ", ", "&amp;INDEX('Form Responses'!$R$1:$R$200,19)&amp;", "))),1,""))</f>
        <v/>
      </c>
      <c r="V69">
        <f>IF(Wizards!$A$20="","",IF(OR(ISNUMBER(SEARCH(", "&amp;$B69&amp;", ", ", "&amp;INDEX('Form Responses'!$I$1:$Q$200,20,$A69)&amp;", ")),ISNUMBER(SEARCH(", "&amp;$B69&amp;", ", ", "&amp;INDEX('Form Responses'!$R$1:$R$200,20)&amp;", "))),1,""))</f>
        <v/>
      </c>
      <c r="W69">
        <f>IF(Wizards!$A$21="","",IF(OR(ISNUMBER(SEARCH(", "&amp;$B69&amp;", ", ", "&amp;INDEX('Form Responses'!$I$1:$Q$200,21,$A69)&amp;", ")),ISNUMBER(SEARCH(", "&amp;$B69&amp;", ", ", "&amp;INDEX('Form Responses'!$R$1:$R$200,21)&amp;", "))),1,""))</f>
        <v/>
      </c>
      <c r="X69">
        <f>IF(Wizards!$A$22="","",IF(OR(ISNUMBER(SEARCH(", "&amp;$B69&amp;", ", ", "&amp;INDEX('Form Responses'!$I$1:$Q$200,22,$A69)&amp;", ")),ISNUMBER(SEARCH(", "&amp;$B69&amp;", ", ", "&amp;INDEX('Form Responses'!$R$1:$R$200,22)&amp;", "))),1,""))</f>
        <v/>
      </c>
      <c r="Y69">
        <f>IF(Wizards!$A$23="","",IF(OR(ISNUMBER(SEARCH(", "&amp;$B69&amp;", ", ", "&amp;INDEX('Form Responses'!$I$1:$Q$200,23,$A69)&amp;", ")),ISNUMBER(SEARCH(", "&amp;$B69&amp;", ", ", "&amp;INDEX('Form Responses'!$R$1:$R$200,23)&amp;", "))),1,""))</f>
        <v/>
      </c>
      <c r="Z69">
        <f>IF(Wizards!$A$24="","",IF(OR(ISNUMBER(SEARCH(", "&amp;$B69&amp;", ", ", "&amp;INDEX('Form Responses'!$I$1:$Q$200,24,$A69)&amp;", ")),ISNUMBER(SEARCH(", "&amp;$B69&amp;", ", ", "&amp;INDEX('Form Responses'!$R$1:$R$200,24)&amp;", "))),1,""))</f>
        <v/>
      </c>
      <c r="AA69">
        <f>IF(Wizards!$A$25="","",IF(OR(ISNUMBER(SEARCH(", "&amp;$B69&amp;", ", ", "&amp;INDEX('Form Responses'!$I$1:$Q$200,25,$A69)&amp;", ")),ISNUMBER(SEARCH(", "&amp;$B69&amp;", ", ", "&amp;INDEX('Form Responses'!$R$1:$R$200,25)&amp;", "))),1,""))</f>
        <v/>
      </c>
      <c r="AB69">
        <f>IF(D69=1,", "&amp;D$1,"")</f>
        <v/>
      </c>
      <c r="AC69">
        <f>IF(E69=1,", "&amp;E$1,"")</f>
        <v/>
      </c>
      <c r="AD69">
        <f>IF(F69=1,", "&amp;F$1,"")</f>
        <v/>
      </c>
      <c r="AE69">
        <f>IF(G69=1,", "&amp;G$1,"")</f>
        <v/>
      </c>
      <c r="AF69">
        <f>IF(H69=1,", "&amp;H$1,"")</f>
        <v/>
      </c>
      <c r="AG69">
        <f>IF(I69=1,", "&amp;I$1,"")</f>
        <v/>
      </c>
      <c r="AH69">
        <f>IF(J69=1,", "&amp;J$1,"")</f>
        <v/>
      </c>
      <c r="AI69">
        <f>IF(K69=1,", "&amp;K$1,"")</f>
        <v/>
      </c>
      <c r="AJ69">
        <f>IF(L69=1,", "&amp;L$1,"")</f>
        <v/>
      </c>
      <c r="AK69">
        <f>IF(M69=1,", "&amp;M$1,"")</f>
        <v/>
      </c>
      <c r="AL69">
        <f>IF(N69=1,", "&amp;N$1,"")</f>
        <v/>
      </c>
      <c r="AM69">
        <f>IF(O69=1,", "&amp;O$1,"")</f>
        <v/>
      </c>
      <c r="AN69">
        <f>IF(P69=1,", "&amp;P$1,"")</f>
        <v/>
      </c>
      <c r="AO69">
        <f>IF(Q69=1,", "&amp;Q$1,"")</f>
        <v/>
      </c>
      <c r="AP69">
        <f>IF(R69=1,", "&amp;R$1,"")</f>
        <v/>
      </c>
      <c r="AQ69">
        <f>IF(S69=1,", "&amp;S$1,"")</f>
        <v/>
      </c>
      <c r="AR69">
        <f>IF(T69=1,", "&amp;T$1,"")</f>
        <v/>
      </c>
      <c r="AS69">
        <f>IF(U69=1,", "&amp;U$1,"")</f>
        <v/>
      </c>
      <c r="AT69">
        <f>IF(V69=1,", "&amp;V$1,"")</f>
        <v/>
      </c>
      <c r="AU69">
        <f>IF(W69=1,", "&amp;W$1,"")</f>
        <v/>
      </c>
      <c r="AV69">
        <f>IF(X69=1,", "&amp;X$1,"")</f>
        <v/>
      </c>
      <c r="AW69">
        <f>IF(Y69=1,", "&amp;Y$1,"")</f>
        <v/>
      </c>
      <c r="AX69">
        <f>IF(Z69=1,", "&amp;Z$1,"")</f>
        <v/>
      </c>
      <c r="AY69">
        <f>IF(AA69=1,", "&amp;AA$1,"")</f>
        <v/>
      </c>
      <c r="AZ69">
        <f>MID($AB69&amp;$AC69&amp;$AD69&amp;$AE69&amp;$AF69&amp;$AG69&amp;$AH69&amp;$AI69&amp;$AJ69&amp;$AK69&amp;$AL69&amp;$AM69&amp;$AN69&amp;$AO69&amp;$AP69&amp;$AQ69&amp;$AR69&amp;$AS69&amp;$AT69&amp;$AU69&amp;$AV69&amp;$AW69&amp;$AX69&amp;$AY69,3,32767)</f>
        <v/>
      </c>
      <c r="BA69">
        <f>COUNT($D69:$AA69)</f>
        <v/>
      </c>
    </row>
    <row r="70">
      <c r="A70" t="n">
        <v>2</v>
      </c>
      <c r="B70" t="inlineStr">
        <is>
          <t>Gust of Wind</t>
        </is>
      </c>
      <c r="C70" t="inlineStr">
        <is>
          <t>Evocation</t>
        </is>
      </c>
      <c r="D70">
        <f>IF(Wizards!$A$2="","",IF(OR(ISNUMBER(SEARCH(", "&amp;$B70&amp;", ", ", "&amp;INDEX('Form Responses'!$I$1:$Q$200,2,$A70)&amp;", ")),ISNUMBER(SEARCH(", "&amp;$B70&amp;", ", ", "&amp;INDEX('Form Responses'!$R$1:$R$200,2)&amp;", "))),1,""))</f>
        <v/>
      </c>
      <c r="E70">
        <f>IF(Wizards!$A$3="","",IF(OR(ISNUMBER(SEARCH(", "&amp;$B70&amp;", ", ", "&amp;INDEX('Form Responses'!$I$1:$Q$200,3,$A70)&amp;", ")),ISNUMBER(SEARCH(", "&amp;$B70&amp;", ", ", "&amp;INDEX('Form Responses'!$R$1:$R$200,3)&amp;", "))),1,""))</f>
        <v/>
      </c>
      <c r="F70">
        <f>IF(Wizards!$A$4="","",IF(OR(ISNUMBER(SEARCH(", "&amp;$B70&amp;", ", ", "&amp;INDEX('Form Responses'!$I$1:$Q$200,4,$A70)&amp;", ")),ISNUMBER(SEARCH(", "&amp;$B70&amp;", ", ", "&amp;INDEX('Form Responses'!$R$1:$R$200,4)&amp;", "))),1,""))</f>
        <v/>
      </c>
      <c r="G70">
        <f>IF(Wizards!$A$5="","",IF(OR(ISNUMBER(SEARCH(", "&amp;$B70&amp;", ", ", "&amp;INDEX('Form Responses'!$I$1:$Q$200,5,$A70)&amp;", ")),ISNUMBER(SEARCH(", "&amp;$B70&amp;", ", ", "&amp;INDEX('Form Responses'!$R$1:$R$200,5)&amp;", "))),1,""))</f>
        <v/>
      </c>
      <c r="H70">
        <f>IF(Wizards!$A$6="","",IF(OR(ISNUMBER(SEARCH(", "&amp;$B70&amp;", ", ", "&amp;INDEX('Form Responses'!$I$1:$Q$200,6,$A70)&amp;", ")),ISNUMBER(SEARCH(", "&amp;$B70&amp;", ", ", "&amp;INDEX('Form Responses'!$R$1:$R$200,6)&amp;", "))),1,""))</f>
        <v/>
      </c>
      <c r="I70">
        <f>IF(Wizards!$A$7="","",IF(OR(ISNUMBER(SEARCH(", "&amp;$B70&amp;", ", ", "&amp;INDEX('Form Responses'!$I$1:$Q$200,7,$A70)&amp;", ")),ISNUMBER(SEARCH(", "&amp;$B70&amp;", ", ", "&amp;INDEX('Form Responses'!$R$1:$R$200,7)&amp;", "))),1,""))</f>
        <v/>
      </c>
      <c r="J70">
        <f>IF(Wizards!$A$8="","",IF(OR(ISNUMBER(SEARCH(", "&amp;$B70&amp;", ", ", "&amp;INDEX('Form Responses'!$I$1:$Q$200,8,$A70)&amp;", ")),ISNUMBER(SEARCH(", "&amp;$B70&amp;", ", ", "&amp;INDEX('Form Responses'!$R$1:$R$200,8)&amp;", "))),1,""))</f>
        <v/>
      </c>
      <c r="K70">
        <f>IF(Wizards!$A$9="","",IF(OR(ISNUMBER(SEARCH(", "&amp;$B70&amp;", ", ", "&amp;INDEX('Form Responses'!$I$1:$Q$200,9,$A70)&amp;", ")),ISNUMBER(SEARCH(", "&amp;$B70&amp;", ", ", "&amp;INDEX('Form Responses'!$R$1:$R$200,9)&amp;", "))),1,""))</f>
        <v/>
      </c>
      <c r="L70">
        <f>IF(Wizards!$A$10="","",IF(OR(ISNUMBER(SEARCH(", "&amp;$B70&amp;", ", ", "&amp;INDEX('Form Responses'!$I$1:$Q$200,10,$A70)&amp;", ")),ISNUMBER(SEARCH(", "&amp;$B70&amp;", ", ", "&amp;INDEX('Form Responses'!$R$1:$R$200,10)&amp;", "))),1,""))</f>
        <v/>
      </c>
      <c r="M70">
        <f>IF(Wizards!$A$11="","",IF(OR(ISNUMBER(SEARCH(", "&amp;$B70&amp;", ", ", "&amp;INDEX('Form Responses'!$I$1:$Q$200,11,$A70)&amp;", ")),ISNUMBER(SEARCH(", "&amp;$B70&amp;", ", ", "&amp;INDEX('Form Responses'!$R$1:$R$200,11)&amp;", "))),1,""))</f>
        <v/>
      </c>
      <c r="N70">
        <f>IF(Wizards!$A$12="","",IF(OR(ISNUMBER(SEARCH(", "&amp;$B70&amp;", ", ", "&amp;INDEX('Form Responses'!$I$1:$Q$200,12,$A70)&amp;", ")),ISNUMBER(SEARCH(", "&amp;$B70&amp;", ", ", "&amp;INDEX('Form Responses'!$R$1:$R$200,12)&amp;", "))),1,""))</f>
        <v/>
      </c>
      <c r="O70">
        <f>IF(Wizards!$A$13="","",IF(OR(ISNUMBER(SEARCH(", "&amp;$B70&amp;", ", ", "&amp;INDEX('Form Responses'!$I$1:$Q$200,13,$A70)&amp;", ")),ISNUMBER(SEARCH(", "&amp;$B70&amp;", ", ", "&amp;INDEX('Form Responses'!$R$1:$R$200,13)&amp;", "))),1,""))</f>
        <v/>
      </c>
      <c r="P70">
        <f>IF(Wizards!$A$14="","",IF(OR(ISNUMBER(SEARCH(", "&amp;$B70&amp;", ", ", "&amp;INDEX('Form Responses'!$I$1:$Q$200,14,$A70)&amp;", ")),ISNUMBER(SEARCH(", "&amp;$B70&amp;", ", ", "&amp;INDEX('Form Responses'!$R$1:$R$200,14)&amp;", "))),1,""))</f>
        <v/>
      </c>
      <c r="Q70">
        <f>IF(Wizards!$A$15="","",IF(OR(ISNUMBER(SEARCH(", "&amp;$B70&amp;", ", ", "&amp;INDEX('Form Responses'!$I$1:$Q$200,15,$A70)&amp;", ")),ISNUMBER(SEARCH(", "&amp;$B70&amp;", ", ", "&amp;INDEX('Form Responses'!$R$1:$R$200,15)&amp;", "))),1,""))</f>
        <v/>
      </c>
      <c r="R70">
        <f>IF(Wizards!$A$16="","",IF(OR(ISNUMBER(SEARCH(", "&amp;$B70&amp;", ", ", "&amp;INDEX('Form Responses'!$I$1:$Q$200,16,$A70)&amp;", ")),ISNUMBER(SEARCH(", "&amp;$B70&amp;", ", ", "&amp;INDEX('Form Responses'!$R$1:$R$200,16)&amp;", "))),1,""))</f>
        <v/>
      </c>
      <c r="S70">
        <f>IF(Wizards!$A$17="","",IF(OR(ISNUMBER(SEARCH(", "&amp;$B70&amp;", ", ", "&amp;INDEX('Form Responses'!$I$1:$Q$200,17,$A70)&amp;", ")),ISNUMBER(SEARCH(", "&amp;$B70&amp;", ", ", "&amp;INDEX('Form Responses'!$R$1:$R$200,17)&amp;", "))),1,""))</f>
        <v/>
      </c>
      <c r="T70">
        <f>IF(Wizards!$A$18="","",IF(OR(ISNUMBER(SEARCH(", "&amp;$B70&amp;", ", ", "&amp;INDEX('Form Responses'!$I$1:$Q$200,18,$A70)&amp;", ")),ISNUMBER(SEARCH(", "&amp;$B70&amp;", ", ", "&amp;INDEX('Form Responses'!$R$1:$R$200,18)&amp;", "))),1,""))</f>
        <v/>
      </c>
      <c r="U70">
        <f>IF(Wizards!$A$19="","",IF(OR(ISNUMBER(SEARCH(", "&amp;$B70&amp;", ", ", "&amp;INDEX('Form Responses'!$I$1:$Q$200,19,$A70)&amp;", ")),ISNUMBER(SEARCH(", "&amp;$B70&amp;", ", ", "&amp;INDEX('Form Responses'!$R$1:$R$200,19)&amp;", "))),1,""))</f>
        <v/>
      </c>
      <c r="V70">
        <f>IF(Wizards!$A$20="","",IF(OR(ISNUMBER(SEARCH(", "&amp;$B70&amp;", ", ", "&amp;INDEX('Form Responses'!$I$1:$Q$200,20,$A70)&amp;", ")),ISNUMBER(SEARCH(", "&amp;$B70&amp;", ", ", "&amp;INDEX('Form Responses'!$R$1:$R$200,20)&amp;", "))),1,""))</f>
        <v/>
      </c>
      <c r="W70">
        <f>IF(Wizards!$A$21="","",IF(OR(ISNUMBER(SEARCH(", "&amp;$B70&amp;", ", ", "&amp;INDEX('Form Responses'!$I$1:$Q$200,21,$A70)&amp;", ")),ISNUMBER(SEARCH(", "&amp;$B70&amp;", ", ", "&amp;INDEX('Form Responses'!$R$1:$R$200,21)&amp;", "))),1,""))</f>
        <v/>
      </c>
      <c r="X70">
        <f>IF(Wizards!$A$22="","",IF(OR(ISNUMBER(SEARCH(", "&amp;$B70&amp;", ", ", "&amp;INDEX('Form Responses'!$I$1:$Q$200,22,$A70)&amp;", ")),ISNUMBER(SEARCH(", "&amp;$B70&amp;", ", ", "&amp;INDEX('Form Responses'!$R$1:$R$200,22)&amp;", "))),1,""))</f>
        <v/>
      </c>
      <c r="Y70">
        <f>IF(Wizards!$A$23="","",IF(OR(ISNUMBER(SEARCH(", "&amp;$B70&amp;", ", ", "&amp;INDEX('Form Responses'!$I$1:$Q$200,23,$A70)&amp;", ")),ISNUMBER(SEARCH(", "&amp;$B70&amp;", ", ", "&amp;INDEX('Form Responses'!$R$1:$R$200,23)&amp;", "))),1,""))</f>
        <v/>
      </c>
      <c r="Z70">
        <f>IF(Wizards!$A$24="","",IF(OR(ISNUMBER(SEARCH(", "&amp;$B70&amp;", ", ", "&amp;INDEX('Form Responses'!$I$1:$Q$200,24,$A70)&amp;", ")),ISNUMBER(SEARCH(", "&amp;$B70&amp;", ", ", "&amp;INDEX('Form Responses'!$R$1:$R$200,24)&amp;", "))),1,""))</f>
        <v/>
      </c>
      <c r="AA70">
        <f>IF(Wizards!$A$25="","",IF(OR(ISNUMBER(SEARCH(", "&amp;$B70&amp;", ", ", "&amp;INDEX('Form Responses'!$I$1:$Q$200,25,$A70)&amp;", ")),ISNUMBER(SEARCH(", "&amp;$B70&amp;", ", ", "&amp;INDEX('Form Responses'!$R$1:$R$200,25)&amp;", "))),1,""))</f>
        <v/>
      </c>
      <c r="AB70">
        <f>IF(D70=1,", "&amp;D$1,"")</f>
        <v/>
      </c>
      <c r="AC70">
        <f>IF(E70=1,", "&amp;E$1,"")</f>
        <v/>
      </c>
      <c r="AD70">
        <f>IF(F70=1,", "&amp;F$1,"")</f>
        <v/>
      </c>
      <c r="AE70">
        <f>IF(G70=1,", "&amp;G$1,"")</f>
        <v/>
      </c>
      <c r="AF70">
        <f>IF(H70=1,", "&amp;H$1,"")</f>
        <v/>
      </c>
      <c r="AG70">
        <f>IF(I70=1,", "&amp;I$1,"")</f>
        <v/>
      </c>
      <c r="AH70">
        <f>IF(J70=1,", "&amp;J$1,"")</f>
        <v/>
      </c>
      <c r="AI70">
        <f>IF(K70=1,", "&amp;K$1,"")</f>
        <v/>
      </c>
      <c r="AJ70">
        <f>IF(L70=1,", "&amp;L$1,"")</f>
        <v/>
      </c>
      <c r="AK70">
        <f>IF(M70=1,", "&amp;M$1,"")</f>
        <v/>
      </c>
      <c r="AL70">
        <f>IF(N70=1,", "&amp;N$1,"")</f>
        <v/>
      </c>
      <c r="AM70">
        <f>IF(O70=1,", "&amp;O$1,"")</f>
        <v/>
      </c>
      <c r="AN70">
        <f>IF(P70=1,", "&amp;P$1,"")</f>
        <v/>
      </c>
      <c r="AO70">
        <f>IF(Q70=1,", "&amp;Q$1,"")</f>
        <v/>
      </c>
      <c r="AP70">
        <f>IF(R70=1,", "&amp;R$1,"")</f>
        <v/>
      </c>
      <c r="AQ70">
        <f>IF(S70=1,", "&amp;S$1,"")</f>
        <v/>
      </c>
      <c r="AR70">
        <f>IF(T70=1,", "&amp;T$1,"")</f>
        <v/>
      </c>
      <c r="AS70">
        <f>IF(U70=1,", "&amp;U$1,"")</f>
        <v/>
      </c>
      <c r="AT70">
        <f>IF(V70=1,", "&amp;V$1,"")</f>
        <v/>
      </c>
      <c r="AU70">
        <f>IF(W70=1,", "&amp;W$1,"")</f>
        <v/>
      </c>
      <c r="AV70">
        <f>IF(X70=1,", "&amp;X$1,"")</f>
        <v/>
      </c>
      <c r="AW70">
        <f>IF(Y70=1,", "&amp;Y$1,"")</f>
        <v/>
      </c>
      <c r="AX70">
        <f>IF(Z70=1,", "&amp;Z$1,"")</f>
        <v/>
      </c>
      <c r="AY70">
        <f>IF(AA70=1,", "&amp;AA$1,"")</f>
        <v/>
      </c>
      <c r="AZ70">
        <f>MID($AB70&amp;$AC70&amp;$AD70&amp;$AE70&amp;$AF70&amp;$AG70&amp;$AH70&amp;$AI70&amp;$AJ70&amp;$AK70&amp;$AL70&amp;$AM70&amp;$AN70&amp;$AO70&amp;$AP70&amp;$AQ70&amp;$AR70&amp;$AS70&amp;$AT70&amp;$AU70&amp;$AV70&amp;$AW70&amp;$AX70&amp;$AY70,3,32767)</f>
        <v/>
      </c>
      <c r="BA70">
        <f>COUNT($D70:$AA70)</f>
        <v/>
      </c>
    </row>
    <row r="71">
      <c r="A71" t="n">
        <v>2</v>
      </c>
      <c r="B71" t="inlineStr">
        <is>
          <t>Hold Person</t>
        </is>
      </c>
      <c r="C71" t="inlineStr">
        <is>
          <t>Enchantment</t>
        </is>
      </c>
      <c r="D71">
        <f>IF(Wizards!$A$2="","",IF(OR(ISNUMBER(SEARCH(", "&amp;$B71&amp;", ", ", "&amp;INDEX('Form Responses'!$I$1:$Q$200,2,$A71)&amp;", ")),ISNUMBER(SEARCH(", "&amp;$B71&amp;", ", ", "&amp;INDEX('Form Responses'!$R$1:$R$200,2)&amp;", "))),1,""))</f>
        <v/>
      </c>
      <c r="E71">
        <f>IF(Wizards!$A$3="","",IF(OR(ISNUMBER(SEARCH(", "&amp;$B71&amp;", ", ", "&amp;INDEX('Form Responses'!$I$1:$Q$200,3,$A71)&amp;", ")),ISNUMBER(SEARCH(", "&amp;$B71&amp;", ", ", "&amp;INDEX('Form Responses'!$R$1:$R$200,3)&amp;", "))),1,""))</f>
        <v/>
      </c>
      <c r="F71">
        <f>IF(Wizards!$A$4="","",IF(OR(ISNUMBER(SEARCH(", "&amp;$B71&amp;", ", ", "&amp;INDEX('Form Responses'!$I$1:$Q$200,4,$A71)&amp;", ")),ISNUMBER(SEARCH(", "&amp;$B71&amp;", ", ", "&amp;INDEX('Form Responses'!$R$1:$R$200,4)&amp;", "))),1,""))</f>
        <v/>
      </c>
      <c r="G71">
        <f>IF(Wizards!$A$5="","",IF(OR(ISNUMBER(SEARCH(", "&amp;$B71&amp;", ", ", "&amp;INDEX('Form Responses'!$I$1:$Q$200,5,$A71)&amp;", ")),ISNUMBER(SEARCH(", "&amp;$B71&amp;", ", ", "&amp;INDEX('Form Responses'!$R$1:$R$200,5)&amp;", "))),1,""))</f>
        <v/>
      </c>
      <c r="H71">
        <f>IF(Wizards!$A$6="","",IF(OR(ISNUMBER(SEARCH(", "&amp;$B71&amp;", ", ", "&amp;INDEX('Form Responses'!$I$1:$Q$200,6,$A71)&amp;", ")),ISNUMBER(SEARCH(", "&amp;$B71&amp;", ", ", "&amp;INDEX('Form Responses'!$R$1:$R$200,6)&amp;", "))),1,""))</f>
        <v/>
      </c>
      <c r="I71">
        <f>IF(Wizards!$A$7="","",IF(OR(ISNUMBER(SEARCH(", "&amp;$B71&amp;", ", ", "&amp;INDEX('Form Responses'!$I$1:$Q$200,7,$A71)&amp;", ")),ISNUMBER(SEARCH(", "&amp;$B71&amp;", ", ", "&amp;INDEX('Form Responses'!$R$1:$R$200,7)&amp;", "))),1,""))</f>
        <v/>
      </c>
      <c r="J71">
        <f>IF(Wizards!$A$8="","",IF(OR(ISNUMBER(SEARCH(", "&amp;$B71&amp;", ", ", "&amp;INDEX('Form Responses'!$I$1:$Q$200,8,$A71)&amp;", ")),ISNUMBER(SEARCH(", "&amp;$B71&amp;", ", ", "&amp;INDEX('Form Responses'!$R$1:$R$200,8)&amp;", "))),1,""))</f>
        <v/>
      </c>
      <c r="K71">
        <f>IF(Wizards!$A$9="","",IF(OR(ISNUMBER(SEARCH(", "&amp;$B71&amp;", ", ", "&amp;INDEX('Form Responses'!$I$1:$Q$200,9,$A71)&amp;", ")),ISNUMBER(SEARCH(", "&amp;$B71&amp;", ", ", "&amp;INDEX('Form Responses'!$R$1:$R$200,9)&amp;", "))),1,""))</f>
        <v/>
      </c>
      <c r="L71">
        <f>IF(Wizards!$A$10="","",IF(OR(ISNUMBER(SEARCH(", "&amp;$B71&amp;", ", ", "&amp;INDEX('Form Responses'!$I$1:$Q$200,10,$A71)&amp;", ")),ISNUMBER(SEARCH(", "&amp;$B71&amp;", ", ", "&amp;INDEX('Form Responses'!$R$1:$R$200,10)&amp;", "))),1,""))</f>
        <v/>
      </c>
      <c r="M71">
        <f>IF(Wizards!$A$11="","",IF(OR(ISNUMBER(SEARCH(", "&amp;$B71&amp;", ", ", "&amp;INDEX('Form Responses'!$I$1:$Q$200,11,$A71)&amp;", ")),ISNUMBER(SEARCH(", "&amp;$B71&amp;", ", ", "&amp;INDEX('Form Responses'!$R$1:$R$200,11)&amp;", "))),1,""))</f>
        <v/>
      </c>
      <c r="N71">
        <f>IF(Wizards!$A$12="","",IF(OR(ISNUMBER(SEARCH(", "&amp;$B71&amp;", ", ", "&amp;INDEX('Form Responses'!$I$1:$Q$200,12,$A71)&amp;", ")),ISNUMBER(SEARCH(", "&amp;$B71&amp;", ", ", "&amp;INDEX('Form Responses'!$R$1:$R$200,12)&amp;", "))),1,""))</f>
        <v/>
      </c>
      <c r="O71">
        <f>IF(Wizards!$A$13="","",IF(OR(ISNUMBER(SEARCH(", "&amp;$B71&amp;", ", ", "&amp;INDEX('Form Responses'!$I$1:$Q$200,13,$A71)&amp;", ")),ISNUMBER(SEARCH(", "&amp;$B71&amp;", ", ", "&amp;INDEX('Form Responses'!$R$1:$R$200,13)&amp;", "))),1,""))</f>
        <v/>
      </c>
      <c r="P71">
        <f>IF(Wizards!$A$14="","",IF(OR(ISNUMBER(SEARCH(", "&amp;$B71&amp;", ", ", "&amp;INDEX('Form Responses'!$I$1:$Q$200,14,$A71)&amp;", ")),ISNUMBER(SEARCH(", "&amp;$B71&amp;", ", ", "&amp;INDEX('Form Responses'!$R$1:$R$200,14)&amp;", "))),1,""))</f>
        <v/>
      </c>
      <c r="Q71">
        <f>IF(Wizards!$A$15="","",IF(OR(ISNUMBER(SEARCH(", "&amp;$B71&amp;", ", ", "&amp;INDEX('Form Responses'!$I$1:$Q$200,15,$A71)&amp;", ")),ISNUMBER(SEARCH(", "&amp;$B71&amp;", ", ", "&amp;INDEX('Form Responses'!$R$1:$R$200,15)&amp;", "))),1,""))</f>
        <v/>
      </c>
      <c r="R71">
        <f>IF(Wizards!$A$16="","",IF(OR(ISNUMBER(SEARCH(", "&amp;$B71&amp;", ", ", "&amp;INDEX('Form Responses'!$I$1:$Q$200,16,$A71)&amp;", ")),ISNUMBER(SEARCH(", "&amp;$B71&amp;", ", ", "&amp;INDEX('Form Responses'!$R$1:$R$200,16)&amp;", "))),1,""))</f>
        <v/>
      </c>
      <c r="S71">
        <f>IF(Wizards!$A$17="","",IF(OR(ISNUMBER(SEARCH(", "&amp;$B71&amp;", ", ", "&amp;INDEX('Form Responses'!$I$1:$Q$200,17,$A71)&amp;", ")),ISNUMBER(SEARCH(", "&amp;$B71&amp;", ", ", "&amp;INDEX('Form Responses'!$R$1:$R$200,17)&amp;", "))),1,""))</f>
        <v/>
      </c>
      <c r="T71">
        <f>IF(Wizards!$A$18="","",IF(OR(ISNUMBER(SEARCH(", "&amp;$B71&amp;", ", ", "&amp;INDEX('Form Responses'!$I$1:$Q$200,18,$A71)&amp;", ")),ISNUMBER(SEARCH(", "&amp;$B71&amp;", ", ", "&amp;INDEX('Form Responses'!$R$1:$R$200,18)&amp;", "))),1,""))</f>
        <v/>
      </c>
      <c r="U71">
        <f>IF(Wizards!$A$19="","",IF(OR(ISNUMBER(SEARCH(", "&amp;$B71&amp;", ", ", "&amp;INDEX('Form Responses'!$I$1:$Q$200,19,$A71)&amp;", ")),ISNUMBER(SEARCH(", "&amp;$B71&amp;", ", ", "&amp;INDEX('Form Responses'!$R$1:$R$200,19)&amp;", "))),1,""))</f>
        <v/>
      </c>
      <c r="V71">
        <f>IF(Wizards!$A$20="","",IF(OR(ISNUMBER(SEARCH(", "&amp;$B71&amp;", ", ", "&amp;INDEX('Form Responses'!$I$1:$Q$200,20,$A71)&amp;", ")),ISNUMBER(SEARCH(", "&amp;$B71&amp;", ", ", "&amp;INDEX('Form Responses'!$R$1:$R$200,20)&amp;", "))),1,""))</f>
        <v/>
      </c>
      <c r="W71">
        <f>IF(Wizards!$A$21="","",IF(OR(ISNUMBER(SEARCH(", "&amp;$B71&amp;", ", ", "&amp;INDEX('Form Responses'!$I$1:$Q$200,21,$A71)&amp;", ")),ISNUMBER(SEARCH(", "&amp;$B71&amp;", ", ", "&amp;INDEX('Form Responses'!$R$1:$R$200,21)&amp;", "))),1,""))</f>
        <v/>
      </c>
      <c r="X71">
        <f>IF(Wizards!$A$22="","",IF(OR(ISNUMBER(SEARCH(", "&amp;$B71&amp;", ", ", "&amp;INDEX('Form Responses'!$I$1:$Q$200,22,$A71)&amp;", ")),ISNUMBER(SEARCH(", "&amp;$B71&amp;", ", ", "&amp;INDEX('Form Responses'!$R$1:$R$200,22)&amp;", "))),1,""))</f>
        <v/>
      </c>
      <c r="Y71">
        <f>IF(Wizards!$A$23="","",IF(OR(ISNUMBER(SEARCH(", "&amp;$B71&amp;", ", ", "&amp;INDEX('Form Responses'!$I$1:$Q$200,23,$A71)&amp;", ")),ISNUMBER(SEARCH(", "&amp;$B71&amp;", ", ", "&amp;INDEX('Form Responses'!$R$1:$R$200,23)&amp;", "))),1,""))</f>
        <v/>
      </c>
      <c r="Z71">
        <f>IF(Wizards!$A$24="","",IF(OR(ISNUMBER(SEARCH(", "&amp;$B71&amp;", ", ", "&amp;INDEX('Form Responses'!$I$1:$Q$200,24,$A71)&amp;", ")),ISNUMBER(SEARCH(", "&amp;$B71&amp;", ", ", "&amp;INDEX('Form Responses'!$R$1:$R$200,24)&amp;", "))),1,""))</f>
        <v/>
      </c>
      <c r="AA71">
        <f>IF(Wizards!$A$25="","",IF(OR(ISNUMBER(SEARCH(", "&amp;$B71&amp;", ", ", "&amp;INDEX('Form Responses'!$I$1:$Q$200,25,$A71)&amp;", ")),ISNUMBER(SEARCH(", "&amp;$B71&amp;", ", ", "&amp;INDEX('Form Responses'!$R$1:$R$200,25)&amp;", "))),1,""))</f>
        <v/>
      </c>
      <c r="AB71">
        <f>IF(D71=1,", "&amp;D$1,"")</f>
        <v/>
      </c>
      <c r="AC71">
        <f>IF(E71=1,", "&amp;E$1,"")</f>
        <v/>
      </c>
      <c r="AD71">
        <f>IF(F71=1,", "&amp;F$1,"")</f>
        <v/>
      </c>
      <c r="AE71">
        <f>IF(G71=1,", "&amp;G$1,"")</f>
        <v/>
      </c>
      <c r="AF71">
        <f>IF(H71=1,", "&amp;H$1,"")</f>
        <v/>
      </c>
      <c r="AG71">
        <f>IF(I71=1,", "&amp;I$1,"")</f>
        <v/>
      </c>
      <c r="AH71">
        <f>IF(J71=1,", "&amp;J$1,"")</f>
        <v/>
      </c>
      <c r="AI71">
        <f>IF(K71=1,", "&amp;K$1,"")</f>
        <v/>
      </c>
      <c r="AJ71">
        <f>IF(L71=1,", "&amp;L$1,"")</f>
        <v/>
      </c>
      <c r="AK71">
        <f>IF(M71=1,", "&amp;M$1,"")</f>
        <v/>
      </c>
      <c r="AL71">
        <f>IF(N71=1,", "&amp;N$1,"")</f>
        <v/>
      </c>
      <c r="AM71">
        <f>IF(O71=1,", "&amp;O$1,"")</f>
        <v/>
      </c>
      <c r="AN71">
        <f>IF(P71=1,", "&amp;P$1,"")</f>
        <v/>
      </c>
      <c r="AO71">
        <f>IF(Q71=1,", "&amp;Q$1,"")</f>
        <v/>
      </c>
      <c r="AP71">
        <f>IF(R71=1,", "&amp;R$1,"")</f>
        <v/>
      </c>
      <c r="AQ71">
        <f>IF(S71=1,", "&amp;S$1,"")</f>
        <v/>
      </c>
      <c r="AR71">
        <f>IF(T71=1,", "&amp;T$1,"")</f>
        <v/>
      </c>
      <c r="AS71">
        <f>IF(U71=1,", "&amp;U$1,"")</f>
        <v/>
      </c>
      <c r="AT71">
        <f>IF(V71=1,", "&amp;V$1,"")</f>
        <v/>
      </c>
      <c r="AU71">
        <f>IF(W71=1,", "&amp;W$1,"")</f>
        <v/>
      </c>
      <c r="AV71">
        <f>IF(X71=1,", "&amp;X$1,"")</f>
        <v/>
      </c>
      <c r="AW71">
        <f>IF(Y71=1,", "&amp;Y$1,"")</f>
        <v/>
      </c>
      <c r="AX71">
        <f>IF(Z71=1,", "&amp;Z$1,"")</f>
        <v/>
      </c>
      <c r="AY71">
        <f>IF(AA71=1,", "&amp;AA$1,"")</f>
        <v/>
      </c>
      <c r="AZ71">
        <f>MID($AB71&amp;$AC71&amp;$AD71&amp;$AE71&amp;$AF71&amp;$AG71&amp;$AH71&amp;$AI71&amp;$AJ71&amp;$AK71&amp;$AL71&amp;$AM71&amp;$AN71&amp;$AO71&amp;$AP71&amp;$AQ71&amp;$AR71&amp;$AS71&amp;$AT71&amp;$AU71&amp;$AV71&amp;$AW71&amp;$AX71&amp;$AY71,3,32767)</f>
        <v/>
      </c>
      <c r="BA71">
        <f>COUNT($D71:$AA71)</f>
        <v/>
      </c>
    </row>
    <row r="72">
      <c r="A72" t="n">
        <v>2</v>
      </c>
      <c r="B72" t="inlineStr">
        <is>
          <t>Invisibility</t>
        </is>
      </c>
      <c r="C72" t="inlineStr">
        <is>
          <t>Illusion</t>
        </is>
      </c>
      <c r="D72">
        <f>IF(Wizards!$A$2="","",IF(OR(ISNUMBER(SEARCH(", "&amp;$B72&amp;", ", ", "&amp;INDEX('Form Responses'!$I$1:$Q$200,2,$A72)&amp;", ")),ISNUMBER(SEARCH(", "&amp;$B72&amp;", ", ", "&amp;INDEX('Form Responses'!$R$1:$R$200,2)&amp;", "))),1,""))</f>
        <v/>
      </c>
      <c r="E72">
        <f>IF(Wizards!$A$3="","",IF(OR(ISNUMBER(SEARCH(", "&amp;$B72&amp;", ", ", "&amp;INDEX('Form Responses'!$I$1:$Q$200,3,$A72)&amp;", ")),ISNUMBER(SEARCH(", "&amp;$B72&amp;", ", ", "&amp;INDEX('Form Responses'!$R$1:$R$200,3)&amp;", "))),1,""))</f>
        <v/>
      </c>
      <c r="F72">
        <f>IF(Wizards!$A$4="","",IF(OR(ISNUMBER(SEARCH(", "&amp;$B72&amp;", ", ", "&amp;INDEX('Form Responses'!$I$1:$Q$200,4,$A72)&amp;", ")),ISNUMBER(SEARCH(", "&amp;$B72&amp;", ", ", "&amp;INDEX('Form Responses'!$R$1:$R$200,4)&amp;", "))),1,""))</f>
        <v/>
      </c>
      <c r="G72">
        <f>IF(Wizards!$A$5="","",IF(OR(ISNUMBER(SEARCH(", "&amp;$B72&amp;", ", ", "&amp;INDEX('Form Responses'!$I$1:$Q$200,5,$A72)&amp;", ")),ISNUMBER(SEARCH(", "&amp;$B72&amp;", ", ", "&amp;INDEX('Form Responses'!$R$1:$R$200,5)&amp;", "))),1,""))</f>
        <v/>
      </c>
      <c r="H72">
        <f>IF(Wizards!$A$6="","",IF(OR(ISNUMBER(SEARCH(", "&amp;$B72&amp;", ", ", "&amp;INDEX('Form Responses'!$I$1:$Q$200,6,$A72)&amp;", ")),ISNUMBER(SEARCH(", "&amp;$B72&amp;", ", ", "&amp;INDEX('Form Responses'!$R$1:$R$200,6)&amp;", "))),1,""))</f>
        <v/>
      </c>
      <c r="I72">
        <f>IF(Wizards!$A$7="","",IF(OR(ISNUMBER(SEARCH(", "&amp;$B72&amp;", ", ", "&amp;INDEX('Form Responses'!$I$1:$Q$200,7,$A72)&amp;", ")),ISNUMBER(SEARCH(", "&amp;$B72&amp;", ", ", "&amp;INDEX('Form Responses'!$R$1:$R$200,7)&amp;", "))),1,""))</f>
        <v/>
      </c>
      <c r="J72">
        <f>IF(Wizards!$A$8="","",IF(OR(ISNUMBER(SEARCH(", "&amp;$B72&amp;", ", ", "&amp;INDEX('Form Responses'!$I$1:$Q$200,8,$A72)&amp;", ")),ISNUMBER(SEARCH(", "&amp;$B72&amp;", ", ", "&amp;INDEX('Form Responses'!$R$1:$R$200,8)&amp;", "))),1,""))</f>
        <v/>
      </c>
      <c r="K72">
        <f>IF(Wizards!$A$9="","",IF(OR(ISNUMBER(SEARCH(", "&amp;$B72&amp;", ", ", "&amp;INDEX('Form Responses'!$I$1:$Q$200,9,$A72)&amp;", ")),ISNUMBER(SEARCH(", "&amp;$B72&amp;", ", ", "&amp;INDEX('Form Responses'!$R$1:$R$200,9)&amp;", "))),1,""))</f>
        <v/>
      </c>
      <c r="L72">
        <f>IF(Wizards!$A$10="","",IF(OR(ISNUMBER(SEARCH(", "&amp;$B72&amp;", ", ", "&amp;INDEX('Form Responses'!$I$1:$Q$200,10,$A72)&amp;", ")),ISNUMBER(SEARCH(", "&amp;$B72&amp;", ", ", "&amp;INDEX('Form Responses'!$R$1:$R$200,10)&amp;", "))),1,""))</f>
        <v/>
      </c>
      <c r="M72">
        <f>IF(Wizards!$A$11="","",IF(OR(ISNUMBER(SEARCH(", "&amp;$B72&amp;", ", ", "&amp;INDEX('Form Responses'!$I$1:$Q$200,11,$A72)&amp;", ")),ISNUMBER(SEARCH(", "&amp;$B72&amp;", ", ", "&amp;INDEX('Form Responses'!$R$1:$R$200,11)&amp;", "))),1,""))</f>
        <v/>
      </c>
      <c r="N72">
        <f>IF(Wizards!$A$12="","",IF(OR(ISNUMBER(SEARCH(", "&amp;$B72&amp;", ", ", "&amp;INDEX('Form Responses'!$I$1:$Q$200,12,$A72)&amp;", ")),ISNUMBER(SEARCH(", "&amp;$B72&amp;", ", ", "&amp;INDEX('Form Responses'!$R$1:$R$200,12)&amp;", "))),1,""))</f>
        <v/>
      </c>
      <c r="O72">
        <f>IF(Wizards!$A$13="","",IF(OR(ISNUMBER(SEARCH(", "&amp;$B72&amp;", ", ", "&amp;INDEX('Form Responses'!$I$1:$Q$200,13,$A72)&amp;", ")),ISNUMBER(SEARCH(", "&amp;$B72&amp;", ", ", "&amp;INDEX('Form Responses'!$R$1:$R$200,13)&amp;", "))),1,""))</f>
        <v/>
      </c>
      <c r="P72">
        <f>IF(Wizards!$A$14="","",IF(OR(ISNUMBER(SEARCH(", "&amp;$B72&amp;", ", ", "&amp;INDEX('Form Responses'!$I$1:$Q$200,14,$A72)&amp;", ")),ISNUMBER(SEARCH(", "&amp;$B72&amp;", ", ", "&amp;INDEX('Form Responses'!$R$1:$R$200,14)&amp;", "))),1,""))</f>
        <v/>
      </c>
      <c r="Q72">
        <f>IF(Wizards!$A$15="","",IF(OR(ISNUMBER(SEARCH(", "&amp;$B72&amp;", ", ", "&amp;INDEX('Form Responses'!$I$1:$Q$200,15,$A72)&amp;", ")),ISNUMBER(SEARCH(", "&amp;$B72&amp;", ", ", "&amp;INDEX('Form Responses'!$R$1:$R$200,15)&amp;", "))),1,""))</f>
        <v/>
      </c>
      <c r="R72">
        <f>IF(Wizards!$A$16="","",IF(OR(ISNUMBER(SEARCH(", "&amp;$B72&amp;", ", ", "&amp;INDEX('Form Responses'!$I$1:$Q$200,16,$A72)&amp;", ")),ISNUMBER(SEARCH(", "&amp;$B72&amp;", ", ", "&amp;INDEX('Form Responses'!$R$1:$R$200,16)&amp;", "))),1,""))</f>
        <v/>
      </c>
      <c r="S72">
        <f>IF(Wizards!$A$17="","",IF(OR(ISNUMBER(SEARCH(", "&amp;$B72&amp;", ", ", "&amp;INDEX('Form Responses'!$I$1:$Q$200,17,$A72)&amp;", ")),ISNUMBER(SEARCH(", "&amp;$B72&amp;", ", ", "&amp;INDEX('Form Responses'!$R$1:$R$200,17)&amp;", "))),1,""))</f>
        <v/>
      </c>
      <c r="T72">
        <f>IF(Wizards!$A$18="","",IF(OR(ISNUMBER(SEARCH(", "&amp;$B72&amp;", ", ", "&amp;INDEX('Form Responses'!$I$1:$Q$200,18,$A72)&amp;", ")),ISNUMBER(SEARCH(", "&amp;$B72&amp;", ", ", "&amp;INDEX('Form Responses'!$R$1:$R$200,18)&amp;", "))),1,""))</f>
        <v/>
      </c>
      <c r="U72">
        <f>IF(Wizards!$A$19="","",IF(OR(ISNUMBER(SEARCH(", "&amp;$B72&amp;", ", ", "&amp;INDEX('Form Responses'!$I$1:$Q$200,19,$A72)&amp;", ")),ISNUMBER(SEARCH(", "&amp;$B72&amp;", ", ", "&amp;INDEX('Form Responses'!$R$1:$R$200,19)&amp;", "))),1,""))</f>
        <v/>
      </c>
      <c r="V72">
        <f>IF(Wizards!$A$20="","",IF(OR(ISNUMBER(SEARCH(", "&amp;$B72&amp;", ", ", "&amp;INDEX('Form Responses'!$I$1:$Q$200,20,$A72)&amp;", ")),ISNUMBER(SEARCH(", "&amp;$B72&amp;", ", ", "&amp;INDEX('Form Responses'!$R$1:$R$200,20)&amp;", "))),1,""))</f>
        <v/>
      </c>
      <c r="W72">
        <f>IF(Wizards!$A$21="","",IF(OR(ISNUMBER(SEARCH(", "&amp;$B72&amp;", ", ", "&amp;INDEX('Form Responses'!$I$1:$Q$200,21,$A72)&amp;", ")),ISNUMBER(SEARCH(", "&amp;$B72&amp;", ", ", "&amp;INDEX('Form Responses'!$R$1:$R$200,21)&amp;", "))),1,""))</f>
        <v/>
      </c>
      <c r="X72">
        <f>IF(Wizards!$A$22="","",IF(OR(ISNUMBER(SEARCH(", "&amp;$B72&amp;", ", ", "&amp;INDEX('Form Responses'!$I$1:$Q$200,22,$A72)&amp;", ")),ISNUMBER(SEARCH(", "&amp;$B72&amp;", ", ", "&amp;INDEX('Form Responses'!$R$1:$R$200,22)&amp;", "))),1,""))</f>
        <v/>
      </c>
      <c r="Y72">
        <f>IF(Wizards!$A$23="","",IF(OR(ISNUMBER(SEARCH(", "&amp;$B72&amp;", ", ", "&amp;INDEX('Form Responses'!$I$1:$Q$200,23,$A72)&amp;", ")),ISNUMBER(SEARCH(", "&amp;$B72&amp;", ", ", "&amp;INDEX('Form Responses'!$R$1:$R$200,23)&amp;", "))),1,""))</f>
        <v/>
      </c>
      <c r="Z72">
        <f>IF(Wizards!$A$24="","",IF(OR(ISNUMBER(SEARCH(", "&amp;$B72&amp;", ", ", "&amp;INDEX('Form Responses'!$I$1:$Q$200,24,$A72)&amp;", ")),ISNUMBER(SEARCH(", "&amp;$B72&amp;", ", ", "&amp;INDEX('Form Responses'!$R$1:$R$200,24)&amp;", "))),1,""))</f>
        <v/>
      </c>
      <c r="AA72">
        <f>IF(Wizards!$A$25="","",IF(OR(ISNUMBER(SEARCH(", "&amp;$B72&amp;", ", ", "&amp;INDEX('Form Responses'!$I$1:$Q$200,25,$A72)&amp;", ")),ISNUMBER(SEARCH(", "&amp;$B72&amp;", ", ", "&amp;INDEX('Form Responses'!$R$1:$R$200,25)&amp;", "))),1,""))</f>
        <v/>
      </c>
      <c r="AB72">
        <f>IF(D72=1,", "&amp;D$1,"")</f>
        <v/>
      </c>
      <c r="AC72">
        <f>IF(E72=1,", "&amp;E$1,"")</f>
        <v/>
      </c>
      <c r="AD72">
        <f>IF(F72=1,", "&amp;F$1,"")</f>
        <v/>
      </c>
      <c r="AE72">
        <f>IF(G72=1,", "&amp;G$1,"")</f>
        <v/>
      </c>
      <c r="AF72">
        <f>IF(H72=1,", "&amp;H$1,"")</f>
        <v/>
      </c>
      <c r="AG72">
        <f>IF(I72=1,", "&amp;I$1,"")</f>
        <v/>
      </c>
      <c r="AH72">
        <f>IF(J72=1,", "&amp;J$1,"")</f>
        <v/>
      </c>
      <c r="AI72">
        <f>IF(K72=1,", "&amp;K$1,"")</f>
        <v/>
      </c>
      <c r="AJ72">
        <f>IF(L72=1,", "&amp;L$1,"")</f>
        <v/>
      </c>
      <c r="AK72">
        <f>IF(M72=1,", "&amp;M$1,"")</f>
        <v/>
      </c>
      <c r="AL72">
        <f>IF(N72=1,", "&amp;N$1,"")</f>
        <v/>
      </c>
      <c r="AM72">
        <f>IF(O72=1,", "&amp;O$1,"")</f>
        <v/>
      </c>
      <c r="AN72">
        <f>IF(P72=1,", "&amp;P$1,"")</f>
        <v/>
      </c>
      <c r="AO72">
        <f>IF(Q72=1,", "&amp;Q$1,"")</f>
        <v/>
      </c>
      <c r="AP72">
        <f>IF(R72=1,", "&amp;R$1,"")</f>
        <v/>
      </c>
      <c r="AQ72">
        <f>IF(S72=1,", "&amp;S$1,"")</f>
        <v/>
      </c>
      <c r="AR72">
        <f>IF(T72=1,", "&amp;T$1,"")</f>
        <v/>
      </c>
      <c r="AS72">
        <f>IF(U72=1,", "&amp;U$1,"")</f>
        <v/>
      </c>
      <c r="AT72">
        <f>IF(V72=1,", "&amp;V$1,"")</f>
        <v/>
      </c>
      <c r="AU72">
        <f>IF(W72=1,", "&amp;W$1,"")</f>
        <v/>
      </c>
      <c r="AV72">
        <f>IF(X72=1,", "&amp;X$1,"")</f>
        <v/>
      </c>
      <c r="AW72">
        <f>IF(Y72=1,", "&amp;Y$1,"")</f>
        <v/>
      </c>
      <c r="AX72">
        <f>IF(Z72=1,", "&amp;Z$1,"")</f>
        <v/>
      </c>
      <c r="AY72">
        <f>IF(AA72=1,", "&amp;AA$1,"")</f>
        <v/>
      </c>
      <c r="AZ72">
        <f>MID($AB72&amp;$AC72&amp;$AD72&amp;$AE72&amp;$AF72&amp;$AG72&amp;$AH72&amp;$AI72&amp;$AJ72&amp;$AK72&amp;$AL72&amp;$AM72&amp;$AN72&amp;$AO72&amp;$AP72&amp;$AQ72&amp;$AR72&amp;$AS72&amp;$AT72&amp;$AU72&amp;$AV72&amp;$AW72&amp;$AX72&amp;$AY72,3,32767)</f>
        <v/>
      </c>
      <c r="BA72">
        <f>COUNT($D72:$AA72)</f>
        <v/>
      </c>
    </row>
    <row r="73">
      <c r="A73" t="n">
        <v>2</v>
      </c>
      <c r="B73" t="inlineStr">
        <is>
          <t>Knock</t>
        </is>
      </c>
      <c r="C73" t="inlineStr">
        <is>
          <t>Transmutation</t>
        </is>
      </c>
      <c r="D73">
        <f>IF(Wizards!$A$2="","",IF(OR(ISNUMBER(SEARCH(", "&amp;$B73&amp;", ", ", "&amp;INDEX('Form Responses'!$I$1:$Q$200,2,$A73)&amp;", ")),ISNUMBER(SEARCH(", "&amp;$B73&amp;", ", ", "&amp;INDEX('Form Responses'!$R$1:$R$200,2)&amp;", "))),1,""))</f>
        <v/>
      </c>
      <c r="E73">
        <f>IF(Wizards!$A$3="","",IF(OR(ISNUMBER(SEARCH(", "&amp;$B73&amp;", ", ", "&amp;INDEX('Form Responses'!$I$1:$Q$200,3,$A73)&amp;", ")),ISNUMBER(SEARCH(", "&amp;$B73&amp;", ", ", "&amp;INDEX('Form Responses'!$R$1:$R$200,3)&amp;", "))),1,""))</f>
        <v/>
      </c>
      <c r="F73">
        <f>IF(Wizards!$A$4="","",IF(OR(ISNUMBER(SEARCH(", "&amp;$B73&amp;", ", ", "&amp;INDEX('Form Responses'!$I$1:$Q$200,4,$A73)&amp;", ")),ISNUMBER(SEARCH(", "&amp;$B73&amp;", ", ", "&amp;INDEX('Form Responses'!$R$1:$R$200,4)&amp;", "))),1,""))</f>
        <v/>
      </c>
      <c r="G73">
        <f>IF(Wizards!$A$5="","",IF(OR(ISNUMBER(SEARCH(", "&amp;$B73&amp;", ", ", "&amp;INDEX('Form Responses'!$I$1:$Q$200,5,$A73)&amp;", ")),ISNUMBER(SEARCH(", "&amp;$B73&amp;", ", ", "&amp;INDEX('Form Responses'!$R$1:$R$200,5)&amp;", "))),1,""))</f>
        <v/>
      </c>
      <c r="H73">
        <f>IF(Wizards!$A$6="","",IF(OR(ISNUMBER(SEARCH(", "&amp;$B73&amp;", ", ", "&amp;INDEX('Form Responses'!$I$1:$Q$200,6,$A73)&amp;", ")),ISNUMBER(SEARCH(", "&amp;$B73&amp;", ", ", "&amp;INDEX('Form Responses'!$R$1:$R$200,6)&amp;", "))),1,""))</f>
        <v/>
      </c>
      <c r="I73">
        <f>IF(Wizards!$A$7="","",IF(OR(ISNUMBER(SEARCH(", "&amp;$B73&amp;", ", ", "&amp;INDEX('Form Responses'!$I$1:$Q$200,7,$A73)&amp;", ")),ISNUMBER(SEARCH(", "&amp;$B73&amp;", ", ", "&amp;INDEX('Form Responses'!$R$1:$R$200,7)&amp;", "))),1,""))</f>
        <v/>
      </c>
      <c r="J73">
        <f>IF(Wizards!$A$8="","",IF(OR(ISNUMBER(SEARCH(", "&amp;$B73&amp;", ", ", "&amp;INDEX('Form Responses'!$I$1:$Q$200,8,$A73)&amp;", ")),ISNUMBER(SEARCH(", "&amp;$B73&amp;", ", ", "&amp;INDEX('Form Responses'!$R$1:$R$200,8)&amp;", "))),1,""))</f>
        <v/>
      </c>
      <c r="K73">
        <f>IF(Wizards!$A$9="","",IF(OR(ISNUMBER(SEARCH(", "&amp;$B73&amp;", ", ", "&amp;INDEX('Form Responses'!$I$1:$Q$200,9,$A73)&amp;", ")),ISNUMBER(SEARCH(", "&amp;$B73&amp;", ", ", "&amp;INDEX('Form Responses'!$R$1:$R$200,9)&amp;", "))),1,""))</f>
        <v/>
      </c>
      <c r="L73">
        <f>IF(Wizards!$A$10="","",IF(OR(ISNUMBER(SEARCH(", "&amp;$B73&amp;", ", ", "&amp;INDEX('Form Responses'!$I$1:$Q$200,10,$A73)&amp;", ")),ISNUMBER(SEARCH(", "&amp;$B73&amp;", ", ", "&amp;INDEX('Form Responses'!$R$1:$R$200,10)&amp;", "))),1,""))</f>
        <v/>
      </c>
      <c r="M73">
        <f>IF(Wizards!$A$11="","",IF(OR(ISNUMBER(SEARCH(", "&amp;$B73&amp;", ", ", "&amp;INDEX('Form Responses'!$I$1:$Q$200,11,$A73)&amp;", ")),ISNUMBER(SEARCH(", "&amp;$B73&amp;", ", ", "&amp;INDEX('Form Responses'!$R$1:$R$200,11)&amp;", "))),1,""))</f>
        <v/>
      </c>
      <c r="N73">
        <f>IF(Wizards!$A$12="","",IF(OR(ISNUMBER(SEARCH(", "&amp;$B73&amp;", ", ", "&amp;INDEX('Form Responses'!$I$1:$Q$200,12,$A73)&amp;", ")),ISNUMBER(SEARCH(", "&amp;$B73&amp;", ", ", "&amp;INDEX('Form Responses'!$R$1:$R$200,12)&amp;", "))),1,""))</f>
        <v/>
      </c>
      <c r="O73">
        <f>IF(Wizards!$A$13="","",IF(OR(ISNUMBER(SEARCH(", "&amp;$B73&amp;", ", ", "&amp;INDEX('Form Responses'!$I$1:$Q$200,13,$A73)&amp;", ")),ISNUMBER(SEARCH(", "&amp;$B73&amp;", ", ", "&amp;INDEX('Form Responses'!$R$1:$R$200,13)&amp;", "))),1,""))</f>
        <v/>
      </c>
      <c r="P73">
        <f>IF(Wizards!$A$14="","",IF(OR(ISNUMBER(SEARCH(", "&amp;$B73&amp;", ", ", "&amp;INDEX('Form Responses'!$I$1:$Q$200,14,$A73)&amp;", ")),ISNUMBER(SEARCH(", "&amp;$B73&amp;", ", ", "&amp;INDEX('Form Responses'!$R$1:$R$200,14)&amp;", "))),1,""))</f>
        <v/>
      </c>
      <c r="Q73">
        <f>IF(Wizards!$A$15="","",IF(OR(ISNUMBER(SEARCH(", "&amp;$B73&amp;", ", ", "&amp;INDEX('Form Responses'!$I$1:$Q$200,15,$A73)&amp;", ")),ISNUMBER(SEARCH(", "&amp;$B73&amp;", ", ", "&amp;INDEX('Form Responses'!$R$1:$R$200,15)&amp;", "))),1,""))</f>
        <v/>
      </c>
      <c r="R73">
        <f>IF(Wizards!$A$16="","",IF(OR(ISNUMBER(SEARCH(", "&amp;$B73&amp;", ", ", "&amp;INDEX('Form Responses'!$I$1:$Q$200,16,$A73)&amp;", ")),ISNUMBER(SEARCH(", "&amp;$B73&amp;", ", ", "&amp;INDEX('Form Responses'!$R$1:$R$200,16)&amp;", "))),1,""))</f>
        <v/>
      </c>
      <c r="S73">
        <f>IF(Wizards!$A$17="","",IF(OR(ISNUMBER(SEARCH(", "&amp;$B73&amp;", ", ", "&amp;INDEX('Form Responses'!$I$1:$Q$200,17,$A73)&amp;", ")),ISNUMBER(SEARCH(", "&amp;$B73&amp;", ", ", "&amp;INDEX('Form Responses'!$R$1:$R$200,17)&amp;", "))),1,""))</f>
        <v/>
      </c>
      <c r="T73">
        <f>IF(Wizards!$A$18="","",IF(OR(ISNUMBER(SEARCH(", "&amp;$B73&amp;", ", ", "&amp;INDEX('Form Responses'!$I$1:$Q$200,18,$A73)&amp;", ")),ISNUMBER(SEARCH(", "&amp;$B73&amp;", ", ", "&amp;INDEX('Form Responses'!$R$1:$R$200,18)&amp;", "))),1,""))</f>
        <v/>
      </c>
      <c r="U73">
        <f>IF(Wizards!$A$19="","",IF(OR(ISNUMBER(SEARCH(", "&amp;$B73&amp;", ", ", "&amp;INDEX('Form Responses'!$I$1:$Q$200,19,$A73)&amp;", ")),ISNUMBER(SEARCH(", "&amp;$B73&amp;", ", ", "&amp;INDEX('Form Responses'!$R$1:$R$200,19)&amp;", "))),1,""))</f>
        <v/>
      </c>
      <c r="V73">
        <f>IF(Wizards!$A$20="","",IF(OR(ISNUMBER(SEARCH(", "&amp;$B73&amp;", ", ", "&amp;INDEX('Form Responses'!$I$1:$Q$200,20,$A73)&amp;", ")),ISNUMBER(SEARCH(", "&amp;$B73&amp;", ", ", "&amp;INDEX('Form Responses'!$R$1:$R$200,20)&amp;", "))),1,""))</f>
        <v/>
      </c>
      <c r="W73">
        <f>IF(Wizards!$A$21="","",IF(OR(ISNUMBER(SEARCH(", "&amp;$B73&amp;", ", ", "&amp;INDEX('Form Responses'!$I$1:$Q$200,21,$A73)&amp;", ")),ISNUMBER(SEARCH(", "&amp;$B73&amp;", ", ", "&amp;INDEX('Form Responses'!$R$1:$R$200,21)&amp;", "))),1,""))</f>
        <v/>
      </c>
      <c r="X73">
        <f>IF(Wizards!$A$22="","",IF(OR(ISNUMBER(SEARCH(", "&amp;$B73&amp;", ", ", "&amp;INDEX('Form Responses'!$I$1:$Q$200,22,$A73)&amp;", ")),ISNUMBER(SEARCH(", "&amp;$B73&amp;", ", ", "&amp;INDEX('Form Responses'!$R$1:$R$200,22)&amp;", "))),1,""))</f>
        <v/>
      </c>
      <c r="Y73">
        <f>IF(Wizards!$A$23="","",IF(OR(ISNUMBER(SEARCH(", "&amp;$B73&amp;", ", ", "&amp;INDEX('Form Responses'!$I$1:$Q$200,23,$A73)&amp;", ")),ISNUMBER(SEARCH(", "&amp;$B73&amp;", ", ", "&amp;INDEX('Form Responses'!$R$1:$R$200,23)&amp;", "))),1,""))</f>
        <v/>
      </c>
      <c r="Z73">
        <f>IF(Wizards!$A$24="","",IF(OR(ISNUMBER(SEARCH(", "&amp;$B73&amp;", ", ", "&amp;INDEX('Form Responses'!$I$1:$Q$200,24,$A73)&amp;", ")),ISNUMBER(SEARCH(", "&amp;$B73&amp;", ", ", "&amp;INDEX('Form Responses'!$R$1:$R$200,24)&amp;", "))),1,""))</f>
        <v/>
      </c>
      <c r="AA73">
        <f>IF(Wizards!$A$25="","",IF(OR(ISNUMBER(SEARCH(", "&amp;$B73&amp;", ", ", "&amp;INDEX('Form Responses'!$I$1:$Q$200,25,$A73)&amp;", ")),ISNUMBER(SEARCH(", "&amp;$B73&amp;", ", ", "&amp;INDEX('Form Responses'!$R$1:$R$200,25)&amp;", "))),1,""))</f>
        <v/>
      </c>
      <c r="AB73">
        <f>IF(D73=1,", "&amp;D$1,"")</f>
        <v/>
      </c>
      <c r="AC73">
        <f>IF(E73=1,", "&amp;E$1,"")</f>
        <v/>
      </c>
      <c r="AD73">
        <f>IF(F73=1,", "&amp;F$1,"")</f>
        <v/>
      </c>
      <c r="AE73">
        <f>IF(G73=1,", "&amp;G$1,"")</f>
        <v/>
      </c>
      <c r="AF73">
        <f>IF(H73=1,", "&amp;H$1,"")</f>
        <v/>
      </c>
      <c r="AG73">
        <f>IF(I73=1,", "&amp;I$1,"")</f>
        <v/>
      </c>
      <c r="AH73">
        <f>IF(J73=1,", "&amp;J$1,"")</f>
        <v/>
      </c>
      <c r="AI73">
        <f>IF(K73=1,", "&amp;K$1,"")</f>
        <v/>
      </c>
      <c r="AJ73">
        <f>IF(L73=1,", "&amp;L$1,"")</f>
        <v/>
      </c>
      <c r="AK73">
        <f>IF(M73=1,", "&amp;M$1,"")</f>
        <v/>
      </c>
      <c r="AL73">
        <f>IF(N73=1,", "&amp;N$1,"")</f>
        <v/>
      </c>
      <c r="AM73">
        <f>IF(O73=1,", "&amp;O$1,"")</f>
        <v/>
      </c>
      <c r="AN73">
        <f>IF(P73=1,", "&amp;P$1,"")</f>
        <v/>
      </c>
      <c r="AO73">
        <f>IF(Q73=1,", "&amp;Q$1,"")</f>
        <v/>
      </c>
      <c r="AP73">
        <f>IF(R73=1,", "&amp;R$1,"")</f>
        <v/>
      </c>
      <c r="AQ73">
        <f>IF(S73=1,", "&amp;S$1,"")</f>
        <v/>
      </c>
      <c r="AR73">
        <f>IF(T73=1,", "&amp;T$1,"")</f>
        <v/>
      </c>
      <c r="AS73">
        <f>IF(U73=1,", "&amp;U$1,"")</f>
        <v/>
      </c>
      <c r="AT73">
        <f>IF(V73=1,", "&amp;V$1,"")</f>
        <v/>
      </c>
      <c r="AU73">
        <f>IF(W73=1,", "&amp;W$1,"")</f>
        <v/>
      </c>
      <c r="AV73">
        <f>IF(X73=1,", "&amp;X$1,"")</f>
        <v/>
      </c>
      <c r="AW73">
        <f>IF(Y73=1,", "&amp;Y$1,"")</f>
        <v/>
      </c>
      <c r="AX73">
        <f>IF(Z73=1,", "&amp;Z$1,"")</f>
        <v/>
      </c>
      <c r="AY73">
        <f>IF(AA73=1,", "&amp;AA$1,"")</f>
        <v/>
      </c>
      <c r="AZ73">
        <f>MID($AB73&amp;$AC73&amp;$AD73&amp;$AE73&amp;$AF73&amp;$AG73&amp;$AH73&amp;$AI73&amp;$AJ73&amp;$AK73&amp;$AL73&amp;$AM73&amp;$AN73&amp;$AO73&amp;$AP73&amp;$AQ73&amp;$AR73&amp;$AS73&amp;$AT73&amp;$AU73&amp;$AV73&amp;$AW73&amp;$AX73&amp;$AY73,3,32767)</f>
        <v/>
      </c>
      <c r="BA73">
        <f>COUNT($D73:$AA73)</f>
        <v/>
      </c>
    </row>
    <row r="74">
      <c r="A74" t="n">
        <v>2</v>
      </c>
      <c r="B74" t="inlineStr">
        <is>
          <t>Levitate</t>
        </is>
      </c>
      <c r="C74" t="inlineStr">
        <is>
          <t>Transmutation</t>
        </is>
      </c>
      <c r="D74">
        <f>IF(Wizards!$A$2="","",IF(OR(ISNUMBER(SEARCH(", "&amp;$B74&amp;", ", ", "&amp;INDEX('Form Responses'!$I$1:$Q$200,2,$A74)&amp;", ")),ISNUMBER(SEARCH(", "&amp;$B74&amp;", ", ", "&amp;INDEX('Form Responses'!$R$1:$R$200,2)&amp;", "))),1,""))</f>
        <v/>
      </c>
      <c r="E74">
        <f>IF(Wizards!$A$3="","",IF(OR(ISNUMBER(SEARCH(", "&amp;$B74&amp;", ", ", "&amp;INDEX('Form Responses'!$I$1:$Q$200,3,$A74)&amp;", ")),ISNUMBER(SEARCH(", "&amp;$B74&amp;", ", ", "&amp;INDEX('Form Responses'!$R$1:$R$200,3)&amp;", "))),1,""))</f>
        <v/>
      </c>
      <c r="F74">
        <f>IF(Wizards!$A$4="","",IF(OR(ISNUMBER(SEARCH(", "&amp;$B74&amp;", ", ", "&amp;INDEX('Form Responses'!$I$1:$Q$200,4,$A74)&amp;", ")),ISNUMBER(SEARCH(", "&amp;$B74&amp;", ", ", "&amp;INDEX('Form Responses'!$R$1:$R$200,4)&amp;", "))),1,""))</f>
        <v/>
      </c>
      <c r="G74">
        <f>IF(Wizards!$A$5="","",IF(OR(ISNUMBER(SEARCH(", "&amp;$B74&amp;", ", ", "&amp;INDEX('Form Responses'!$I$1:$Q$200,5,$A74)&amp;", ")),ISNUMBER(SEARCH(", "&amp;$B74&amp;", ", ", "&amp;INDEX('Form Responses'!$R$1:$R$200,5)&amp;", "))),1,""))</f>
        <v/>
      </c>
      <c r="H74">
        <f>IF(Wizards!$A$6="","",IF(OR(ISNUMBER(SEARCH(", "&amp;$B74&amp;", ", ", "&amp;INDEX('Form Responses'!$I$1:$Q$200,6,$A74)&amp;", ")),ISNUMBER(SEARCH(", "&amp;$B74&amp;", ", ", "&amp;INDEX('Form Responses'!$R$1:$R$200,6)&amp;", "))),1,""))</f>
        <v/>
      </c>
      <c r="I74">
        <f>IF(Wizards!$A$7="","",IF(OR(ISNUMBER(SEARCH(", "&amp;$B74&amp;", ", ", "&amp;INDEX('Form Responses'!$I$1:$Q$200,7,$A74)&amp;", ")),ISNUMBER(SEARCH(", "&amp;$B74&amp;", ", ", "&amp;INDEX('Form Responses'!$R$1:$R$200,7)&amp;", "))),1,""))</f>
        <v/>
      </c>
      <c r="J74">
        <f>IF(Wizards!$A$8="","",IF(OR(ISNUMBER(SEARCH(", "&amp;$B74&amp;", ", ", "&amp;INDEX('Form Responses'!$I$1:$Q$200,8,$A74)&amp;", ")),ISNUMBER(SEARCH(", "&amp;$B74&amp;", ", ", "&amp;INDEX('Form Responses'!$R$1:$R$200,8)&amp;", "))),1,""))</f>
        <v/>
      </c>
      <c r="K74">
        <f>IF(Wizards!$A$9="","",IF(OR(ISNUMBER(SEARCH(", "&amp;$B74&amp;", ", ", "&amp;INDEX('Form Responses'!$I$1:$Q$200,9,$A74)&amp;", ")),ISNUMBER(SEARCH(", "&amp;$B74&amp;", ", ", "&amp;INDEX('Form Responses'!$R$1:$R$200,9)&amp;", "))),1,""))</f>
        <v/>
      </c>
      <c r="L74">
        <f>IF(Wizards!$A$10="","",IF(OR(ISNUMBER(SEARCH(", "&amp;$B74&amp;", ", ", "&amp;INDEX('Form Responses'!$I$1:$Q$200,10,$A74)&amp;", ")),ISNUMBER(SEARCH(", "&amp;$B74&amp;", ", ", "&amp;INDEX('Form Responses'!$R$1:$R$200,10)&amp;", "))),1,""))</f>
        <v/>
      </c>
      <c r="M74">
        <f>IF(Wizards!$A$11="","",IF(OR(ISNUMBER(SEARCH(", "&amp;$B74&amp;", ", ", "&amp;INDEX('Form Responses'!$I$1:$Q$200,11,$A74)&amp;", ")),ISNUMBER(SEARCH(", "&amp;$B74&amp;", ", ", "&amp;INDEX('Form Responses'!$R$1:$R$200,11)&amp;", "))),1,""))</f>
        <v/>
      </c>
      <c r="N74">
        <f>IF(Wizards!$A$12="","",IF(OR(ISNUMBER(SEARCH(", "&amp;$B74&amp;", ", ", "&amp;INDEX('Form Responses'!$I$1:$Q$200,12,$A74)&amp;", ")),ISNUMBER(SEARCH(", "&amp;$B74&amp;", ", ", "&amp;INDEX('Form Responses'!$R$1:$R$200,12)&amp;", "))),1,""))</f>
        <v/>
      </c>
      <c r="O74">
        <f>IF(Wizards!$A$13="","",IF(OR(ISNUMBER(SEARCH(", "&amp;$B74&amp;", ", ", "&amp;INDEX('Form Responses'!$I$1:$Q$200,13,$A74)&amp;", ")),ISNUMBER(SEARCH(", "&amp;$B74&amp;", ", ", "&amp;INDEX('Form Responses'!$R$1:$R$200,13)&amp;", "))),1,""))</f>
        <v/>
      </c>
      <c r="P74">
        <f>IF(Wizards!$A$14="","",IF(OR(ISNUMBER(SEARCH(", "&amp;$B74&amp;", ", ", "&amp;INDEX('Form Responses'!$I$1:$Q$200,14,$A74)&amp;", ")),ISNUMBER(SEARCH(", "&amp;$B74&amp;", ", ", "&amp;INDEX('Form Responses'!$R$1:$R$200,14)&amp;", "))),1,""))</f>
        <v/>
      </c>
      <c r="Q74">
        <f>IF(Wizards!$A$15="","",IF(OR(ISNUMBER(SEARCH(", "&amp;$B74&amp;", ", ", "&amp;INDEX('Form Responses'!$I$1:$Q$200,15,$A74)&amp;", ")),ISNUMBER(SEARCH(", "&amp;$B74&amp;", ", ", "&amp;INDEX('Form Responses'!$R$1:$R$200,15)&amp;", "))),1,""))</f>
        <v/>
      </c>
      <c r="R74">
        <f>IF(Wizards!$A$16="","",IF(OR(ISNUMBER(SEARCH(", "&amp;$B74&amp;", ", ", "&amp;INDEX('Form Responses'!$I$1:$Q$200,16,$A74)&amp;", ")),ISNUMBER(SEARCH(", "&amp;$B74&amp;", ", ", "&amp;INDEX('Form Responses'!$R$1:$R$200,16)&amp;", "))),1,""))</f>
        <v/>
      </c>
      <c r="S74">
        <f>IF(Wizards!$A$17="","",IF(OR(ISNUMBER(SEARCH(", "&amp;$B74&amp;", ", ", "&amp;INDEX('Form Responses'!$I$1:$Q$200,17,$A74)&amp;", ")),ISNUMBER(SEARCH(", "&amp;$B74&amp;", ", ", "&amp;INDEX('Form Responses'!$R$1:$R$200,17)&amp;", "))),1,""))</f>
        <v/>
      </c>
      <c r="T74">
        <f>IF(Wizards!$A$18="","",IF(OR(ISNUMBER(SEARCH(", "&amp;$B74&amp;", ", ", "&amp;INDEX('Form Responses'!$I$1:$Q$200,18,$A74)&amp;", ")),ISNUMBER(SEARCH(", "&amp;$B74&amp;", ", ", "&amp;INDEX('Form Responses'!$R$1:$R$200,18)&amp;", "))),1,""))</f>
        <v/>
      </c>
      <c r="U74">
        <f>IF(Wizards!$A$19="","",IF(OR(ISNUMBER(SEARCH(", "&amp;$B74&amp;", ", ", "&amp;INDEX('Form Responses'!$I$1:$Q$200,19,$A74)&amp;", ")),ISNUMBER(SEARCH(", "&amp;$B74&amp;", ", ", "&amp;INDEX('Form Responses'!$R$1:$R$200,19)&amp;", "))),1,""))</f>
        <v/>
      </c>
      <c r="V74">
        <f>IF(Wizards!$A$20="","",IF(OR(ISNUMBER(SEARCH(", "&amp;$B74&amp;", ", ", "&amp;INDEX('Form Responses'!$I$1:$Q$200,20,$A74)&amp;", ")),ISNUMBER(SEARCH(", "&amp;$B74&amp;", ", ", "&amp;INDEX('Form Responses'!$R$1:$R$200,20)&amp;", "))),1,""))</f>
        <v/>
      </c>
      <c r="W74">
        <f>IF(Wizards!$A$21="","",IF(OR(ISNUMBER(SEARCH(", "&amp;$B74&amp;", ", ", "&amp;INDEX('Form Responses'!$I$1:$Q$200,21,$A74)&amp;", ")),ISNUMBER(SEARCH(", "&amp;$B74&amp;", ", ", "&amp;INDEX('Form Responses'!$R$1:$R$200,21)&amp;", "))),1,""))</f>
        <v/>
      </c>
      <c r="X74">
        <f>IF(Wizards!$A$22="","",IF(OR(ISNUMBER(SEARCH(", "&amp;$B74&amp;", ", ", "&amp;INDEX('Form Responses'!$I$1:$Q$200,22,$A74)&amp;", ")),ISNUMBER(SEARCH(", "&amp;$B74&amp;", ", ", "&amp;INDEX('Form Responses'!$R$1:$R$200,22)&amp;", "))),1,""))</f>
        <v/>
      </c>
      <c r="Y74">
        <f>IF(Wizards!$A$23="","",IF(OR(ISNUMBER(SEARCH(", "&amp;$B74&amp;", ", ", "&amp;INDEX('Form Responses'!$I$1:$Q$200,23,$A74)&amp;", ")),ISNUMBER(SEARCH(", "&amp;$B74&amp;", ", ", "&amp;INDEX('Form Responses'!$R$1:$R$200,23)&amp;", "))),1,""))</f>
        <v/>
      </c>
      <c r="Z74">
        <f>IF(Wizards!$A$24="","",IF(OR(ISNUMBER(SEARCH(", "&amp;$B74&amp;", ", ", "&amp;INDEX('Form Responses'!$I$1:$Q$200,24,$A74)&amp;", ")),ISNUMBER(SEARCH(", "&amp;$B74&amp;", ", ", "&amp;INDEX('Form Responses'!$R$1:$R$200,24)&amp;", "))),1,""))</f>
        <v/>
      </c>
      <c r="AA74">
        <f>IF(Wizards!$A$25="","",IF(OR(ISNUMBER(SEARCH(", "&amp;$B74&amp;", ", ", "&amp;INDEX('Form Responses'!$I$1:$Q$200,25,$A74)&amp;", ")),ISNUMBER(SEARCH(", "&amp;$B74&amp;", ", ", "&amp;INDEX('Form Responses'!$R$1:$R$200,25)&amp;", "))),1,""))</f>
        <v/>
      </c>
      <c r="AB74">
        <f>IF(D74=1,", "&amp;D$1,"")</f>
        <v/>
      </c>
      <c r="AC74">
        <f>IF(E74=1,", "&amp;E$1,"")</f>
        <v/>
      </c>
      <c r="AD74">
        <f>IF(F74=1,", "&amp;F$1,"")</f>
        <v/>
      </c>
      <c r="AE74">
        <f>IF(G74=1,", "&amp;G$1,"")</f>
        <v/>
      </c>
      <c r="AF74">
        <f>IF(H74=1,", "&amp;H$1,"")</f>
        <v/>
      </c>
      <c r="AG74">
        <f>IF(I74=1,", "&amp;I$1,"")</f>
        <v/>
      </c>
      <c r="AH74">
        <f>IF(J74=1,", "&amp;J$1,"")</f>
        <v/>
      </c>
      <c r="AI74">
        <f>IF(K74=1,", "&amp;K$1,"")</f>
        <v/>
      </c>
      <c r="AJ74">
        <f>IF(L74=1,", "&amp;L$1,"")</f>
        <v/>
      </c>
      <c r="AK74">
        <f>IF(M74=1,", "&amp;M$1,"")</f>
        <v/>
      </c>
      <c r="AL74">
        <f>IF(N74=1,", "&amp;N$1,"")</f>
        <v/>
      </c>
      <c r="AM74">
        <f>IF(O74=1,", "&amp;O$1,"")</f>
        <v/>
      </c>
      <c r="AN74">
        <f>IF(P74=1,", "&amp;P$1,"")</f>
        <v/>
      </c>
      <c r="AO74">
        <f>IF(Q74=1,", "&amp;Q$1,"")</f>
        <v/>
      </c>
      <c r="AP74">
        <f>IF(R74=1,", "&amp;R$1,"")</f>
        <v/>
      </c>
      <c r="AQ74">
        <f>IF(S74=1,", "&amp;S$1,"")</f>
        <v/>
      </c>
      <c r="AR74">
        <f>IF(T74=1,", "&amp;T$1,"")</f>
        <v/>
      </c>
      <c r="AS74">
        <f>IF(U74=1,", "&amp;U$1,"")</f>
        <v/>
      </c>
      <c r="AT74">
        <f>IF(V74=1,", "&amp;V$1,"")</f>
        <v/>
      </c>
      <c r="AU74">
        <f>IF(W74=1,", "&amp;W$1,"")</f>
        <v/>
      </c>
      <c r="AV74">
        <f>IF(X74=1,", "&amp;X$1,"")</f>
        <v/>
      </c>
      <c r="AW74">
        <f>IF(Y74=1,", "&amp;Y$1,"")</f>
        <v/>
      </c>
      <c r="AX74">
        <f>IF(Z74=1,", "&amp;Z$1,"")</f>
        <v/>
      </c>
      <c r="AY74">
        <f>IF(AA74=1,", "&amp;AA$1,"")</f>
        <v/>
      </c>
      <c r="AZ74">
        <f>MID($AB74&amp;$AC74&amp;$AD74&amp;$AE74&amp;$AF74&amp;$AG74&amp;$AH74&amp;$AI74&amp;$AJ74&amp;$AK74&amp;$AL74&amp;$AM74&amp;$AN74&amp;$AO74&amp;$AP74&amp;$AQ74&amp;$AR74&amp;$AS74&amp;$AT74&amp;$AU74&amp;$AV74&amp;$AW74&amp;$AX74&amp;$AY74,3,32767)</f>
        <v/>
      </c>
      <c r="BA74">
        <f>COUNT($D74:$AA74)</f>
        <v/>
      </c>
    </row>
    <row r="75">
      <c r="A75" t="n">
        <v>2</v>
      </c>
      <c r="B75" t="inlineStr">
        <is>
          <t>Locate Object</t>
        </is>
      </c>
      <c r="C75" t="inlineStr">
        <is>
          <t>Divination</t>
        </is>
      </c>
      <c r="D75">
        <f>IF(Wizards!$A$2="","",IF(OR(ISNUMBER(SEARCH(", "&amp;$B75&amp;", ", ", "&amp;INDEX('Form Responses'!$I$1:$Q$200,2,$A75)&amp;", ")),ISNUMBER(SEARCH(", "&amp;$B75&amp;", ", ", "&amp;INDEX('Form Responses'!$R$1:$R$200,2)&amp;", "))),1,""))</f>
        <v/>
      </c>
      <c r="E75">
        <f>IF(Wizards!$A$3="","",IF(OR(ISNUMBER(SEARCH(", "&amp;$B75&amp;", ", ", "&amp;INDEX('Form Responses'!$I$1:$Q$200,3,$A75)&amp;", ")),ISNUMBER(SEARCH(", "&amp;$B75&amp;", ", ", "&amp;INDEX('Form Responses'!$R$1:$R$200,3)&amp;", "))),1,""))</f>
        <v/>
      </c>
      <c r="F75">
        <f>IF(Wizards!$A$4="","",IF(OR(ISNUMBER(SEARCH(", "&amp;$B75&amp;", ", ", "&amp;INDEX('Form Responses'!$I$1:$Q$200,4,$A75)&amp;", ")),ISNUMBER(SEARCH(", "&amp;$B75&amp;", ", ", "&amp;INDEX('Form Responses'!$R$1:$R$200,4)&amp;", "))),1,""))</f>
        <v/>
      </c>
      <c r="G75">
        <f>IF(Wizards!$A$5="","",IF(OR(ISNUMBER(SEARCH(", "&amp;$B75&amp;", ", ", "&amp;INDEX('Form Responses'!$I$1:$Q$200,5,$A75)&amp;", ")),ISNUMBER(SEARCH(", "&amp;$B75&amp;", ", ", "&amp;INDEX('Form Responses'!$R$1:$R$200,5)&amp;", "))),1,""))</f>
        <v/>
      </c>
      <c r="H75">
        <f>IF(Wizards!$A$6="","",IF(OR(ISNUMBER(SEARCH(", "&amp;$B75&amp;", ", ", "&amp;INDEX('Form Responses'!$I$1:$Q$200,6,$A75)&amp;", ")),ISNUMBER(SEARCH(", "&amp;$B75&amp;", ", ", "&amp;INDEX('Form Responses'!$R$1:$R$200,6)&amp;", "))),1,""))</f>
        <v/>
      </c>
      <c r="I75">
        <f>IF(Wizards!$A$7="","",IF(OR(ISNUMBER(SEARCH(", "&amp;$B75&amp;", ", ", "&amp;INDEX('Form Responses'!$I$1:$Q$200,7,$A75)&amp;", ")),ISNUMBER(SEARCH(", "&amp;$B75&amp;", ", ", "&amp;INDEX('Form Responses'!$R$1:$R$200,7)&amp;", "))),1,""))</f>
        <v/>
      </c>
      <c r="J75">
        <f>IF(Wizards!$A$8="","",IF(OR(ISNUMBER(SEARCH(", "&amp;$B75&amp;", ", ", "&amp;INDEX('Form Responses'!$I$1:$Q$200,8,$A75)&amp;", ")),ISNUMBER(SEARCH(", "&amp;$B75&amp;", ", ", "&amp;INDEX('Form Responses'!$R$1:$R$200,8)&amp;", "))),1,""))</f>
        <v/>
      </c>
      <c r="K75">
        <f>IF(Wizards!$A$9="","",IF(OR(ISNUMBER(SEARCH(", "&amp;$B75&amp;", ", ", "&amp;INDEX('Form Responses'!$I$1:$Q$200,9,$A75)&amp;", ")),ISNUMBER(SEARCH(", "&amp;$B75&amp;", ", ", "&amp;INDEX('Form Responses'!$R$1:$R$200,9)&amp;", "))),1,""))</f>
        <v/>
      </c>
      <c r="L75">
        <f>IF(Wizards!$A$10="","",IF(OR(ISNUMBER(SEARCH(", "&amp;$B75&amp;", ", ", "&amp;INDEX('Form Responses'!$I$1:$Q$200,10,$A75)&amp;", ")),ISNUMBER(SEARCH(", "&amp;$B75&amp;", ", ", "&amp;INDEX('Form Responses'!$R$1:$R$200,10)&amp;", "))),1,""))</f>
        <v/>
      </c>
      <c r="M75">
        <f>IF(Wizards!$A$11="","",IF(OR(ISNUMBER(SEARCH(", "&amp;$B75&amp;", ", ", "&amp;INDEX('Form Responses'!$I$1:$Q$200,11,$A75)&amp;", ")),ISNUMBER(SEARCH(", "&amp;$B75&amp;", ", ", "&amp;INDEX('Form Responses'!$R$1:$R$200,11)&amp;", "))),1,""))</f>
        <v/>
      </c>
      <c r="N75">
        <f>IF(Wizards!$A$12="","",IF(OR(ISNUMBER(SEARCH(", "&amp;$B75&amp;", ", ", "&amp;INDEX('Form Responses'!$I$1:$Q$200,12,$A75)&amp;", ")),ISNUMBER(SEARCH(", "&amp;$B75&amp;", ", ", "&amp;INDEX('Form Responses'!$R$1:$R$200,12)&amp;", "))),1,""))</f>
        <v/>
      </c>
      <c r="O75">
        <f>IF(Wizards!$A$13="","",IF(OR(ISNUMBER(SEARCH(", "&amp;$B75&amp;", ", ", "&amp;INDEX('Form Responses'!$I$1:$Q$200,13,$A75)&amp;", ")),ISNUMBER(SEARCH(", "&amp;$B75&amp;", ", ", "&amp;INDEX('Form Responses'!$R$1:$R$200,13)&amp;", "))),1,""))</f>
        <v/>
      </c>
      <c r="P75">
        <f>IF(Wizards!$A$14="","",IF(OR(ISNUMBER(SEARCH(", "&amp;$B75&amp;", ", ", "&amp;INDEX('Form Responses'!$I$1:$Q$200,14,$A75)&amp;", ")),ISNUMBER(SEARCH(", "&amp;$B75&amp;", ", ", "&amp;INDEX('Form Responses'!$R$1:$R$200,14)&amp;", "))),1,""))</f>
        <v/>
      </c>
      <c r="Q75">
        <f>IF(Wizards!$A$15="","",IF(OR(ISNUMBER(SEARCH(", "&amp;$B75&amp;", ", ", "&amp;INDEX('Form Responses'!$I$1:$Q$200,15,$A75)&amp;", ")),ISNUMBER(SEARCH(", "&amp;$B75&amp;", ", ", "&amp;INDEX('Form Responses'!$R$1:$R$200,15)&amp;", "))),1,""))</f>
        <v/>
      </c>
      <c r="R75">
        <f>IF(Wizards!$A$16="","",IF(OR(ISNUMBER(SEARCH(", "&amp;$B75&amp;", ", ", "&amp;INDEX('Form Responses'!$I$1:$Q$200,16,$A75)&amp;", ")),ISNUMBER(SEARCH(", "&amp;$B75&amp;", ", ", "&amp;INDEX('Form Responses'!$R$1:$R$200,16)&amp;", "))),1,""))</f>
        <v/>
      </c>
      <c r="S75">
        <f>IF(Wizards!$A$17="","",IF(OR(ISNUMBER(SEARCH(", "&amp;$B75&amp;", ", ", "&amp;INDEX('Form Responses'!$I$1:$Q$200,17,$A75)&amp;", ")),ISNUMBER(SEARCH(", "&amp;$B75&amp;", ", ", "&amp;INDEX('Form Responses'!$R$1:$R$200,17)&amp;", "))),1,""))</f>
        <v/>
      </c>
      <c r="T75">
        <f>IF(Wizards!$A$18="","",IF(OR(ISNUMBER(SEARCH(", "&amp;$B75&amp;", ", ", "&amp;INDEX('Form Responses'!$I$1:$Q$200,18,$A75)&amp;", ")),ISNUMBER(SEARCH(", "&amp;$B75&amp;", ", ", "&amp;INDEX('Form Responses'!$R$1:$R$200,18)&amp;", "))),1,""))</f>
        <v/>
      </c>
      <c r="U75">
        <f>IF(Wizards!$A$19="","",IF(OR(ISNUMBER(SEARCH(", "&amp;$B75&amp;", ", ", "&amp;INDEX('Form Responses'!$I$1:$Q$200,19,$A75)&amp;", ")),ISNUMBER(SEARCH(", "&amp;$B75&amp;", ", ", "&amp;INDEX('Form Responses'!$R$1:$R$200,19)&amp;", "))),1,""))</f>
        <v/>
      </c>
      <c r="V75">
        <f>IF(Wizards!$A$20="","",IF(OR(ISNUMBER(SEARCH(", "&amp;$B75&amp;", ", ", "&amp;INDEX('Form Responses'!$I$1:$Q$200,20,$A75)&amp;", ")),ISNUMBER(SEARCH(", "&amp;$B75&amp;", ", ", "&amp;INDEX('Form Responses'!$R$1:$R$200,20)&amp;", "))),1,""))</f>
        <v/>
      </c>
      <c r="W75">
        <f>IF(Wizards!$A$21="","",IF(OR(ISNUMBER(SEARCH(", "&amp;$B75&amp;", ", ", "&amp;INDEX('Form Responses'!$I$1:$Q$200,21,$A75)&amp;", ")),ISNUMBER(SEARCH(", "&amp;$B75&amp;", ", ", "&amp;INDEX('Form Responses'!$R$1:$R$200,21)&amp;", "))),1,""))</f>
        <v/>
      </c>
      <c r="X75">
        <f>IF(Wizards!$A$22="","",IF(OR(ISNUMBER(SEARCH(", "&amp;$B75&amp;", ", ", "&amp;INDEX('Form Responses'!$I$1:$Q$200,22,$A75)&amp;", ")),ISNUMBER(SEARCH(", "&amp;$B75&amp;", ", ", "&amp;INDEX('Form Responses'!$R$1:$R$200,22)&amp;", "))),1,""))</f>
        <v/>
      </c>
      <c r="Y75">
        <f>IF(Wizards!$A$23="","",IF(OR(ISNUMBER(SEARCH(", "&amp;$B75&amp;", ", ", "&amp;INDEX('Form Responses'!$I$1:$Q$200,23,$A75)&amp;", ")),ISNUMBER(SEARCH(", "&amp;$B75&amp;", ", ", "&amp;INDEX('Form Responses'!$R$1:$R$200,23)&amp;", "))),1,""))</f>
        <v/>
      </c>
      <c r="Z75">
        <f>IF(Wizards!$A$24="","",IF(OR(ISNUMBER(SEARCH(", "&amp;$B75&amp;", ", ", "&amp;INDEX('Form Responses'!$I$1:$Q$200,24,$A75)&amp;", ")),ISNUMBER(SEARCH(", "&amp;$B75&amp;", ", ", "&amp;INDEX('Form Responses'!$R$1:$R$200,24)&amp;", "))),1,""))</f>
        <v/>
      </c>
      <c r="AA75">
        <f>IF(Wizards!$A$25="","",IF(OR(ISNUMBER(SEARCH(", "&amp;$B75&amp;", ", ", "&amp;INDEX('Form Responses'!$I$1:$Q$200,25,$A75)&amp;", ")),ISNUMBER(SEARCH(", "&amp;$B75&amp;", ", ", "&amp;INDEX('Form Responses'!$R$1:$R$200,25)&amp;", "))),1,""))</f>
        <v/>
      </c>
      <c r="AB75">
        <f>IF(D75=1,", "&amp;D$1,"")</f>
        <v/>
      </c>
      <c r="AC75">
        <f>IF(E75=1,", "&amp;E$1,"")</f>
        <v/>
      </c>
      <c r="AD75">
        <f>IF(F75=1,", "&amp;F$1,"")</f>
        <v/>
      </c>
      <c r="AE75">
        <f>IF(G75=1,", "&amp;G$1,"")</f>
        <v/>
      </c>
      <c r="AF75">
        <f>IF(H75=1,", "&amp;H$1,"")</f>
        <v/>
      </c>
      <c r="AG75">
        <f>IF(I75=1,", "&amp;I$1,"")</f>
        <v/>
      </c>
      <c r="AH75">
        <f>IF(J75=1,", "&amp;J$1,"")</f>
        <v/>
      </c>
      <c r="AI75">
        <f>IF(K75=1,", "&amp;K$1,"")</f>
        <v/>
      </c>
      <c r="AJ75">
        <f>IF(L75=1,", "&amp;L$1,"")</f>
        <v/>
      </c>
      <c r="AK75">
        <f>IF(M75=1,", "&amp;M$1,"")</f>
        <v/>
      </c>
      <c r="AL75">
        <f>IF(N75=1,", "&amp;N$1,"")</f>
        <v/>
      </c>
      <c r="AM75">
        <f>IF(O75=1,", "&amp;O$1,"")</f>
        <v/>
      </c>
      <c r="AN75">
        <f>IF(P75=1,", "&amp;P$1,"")</f>
        <v/>
      </c>
      <c r="AO75">
        <f>IF(Q75=1,", "&amp;Q$1,"")</f>
        <v/>
      </c>
      <c r="AP75">
        <f>IF(R75=1,", "&amp;R$1,"")</f>
        <v/>
      </c>
      <c r="AQ75">
        <f>IF(S75=1,", "&amp;S$1,"")</f>
        <v/>
      </c>
      <c r="AR75">
        <f>IF(T75=1,", "&amp;T$1,"")</f>
        <v/>
      </c>
      <c r="AS75">
        <f>IF(U75=1,", "&amp;U$1,"")</f>
        <v/>
      </c>
      <c r="AT75">
        <f>IF(V75=1,", "&amp;V$1,"")</f>
        <v/>
      </c>
      <c r="AU75">
        <f>IF(W75=1,", "&amp;W$1,"")</f>
        <v/>
      </c>
      <c r="AV75">
        <f>IF(X75=1,", "&amp;X$1,"")</f>
        <v/>
      </c>
      <c r="AW75">
        <f>IF(Y75=1,", "&amp;Y$1,"")</f>
        <v/>
      </c>
      <c r="AX75">
        <f>IF(Z75=1,", "&amp;Z$1,"")</f>
        <v/>
      </c>
      <c r="AY75">
        <f>IF(AA75=1,", "&amp;AA$1,"")</f>
        <v/>
      </c>
      <c r="AZ75">
        <f>MID($AB75&amp;$AC75&amp;$AD75&amp;$AE75&amp;$AF75&amp;$AG75&amp;$AH75&amp;$AI75&amp;$AJ75&amp;$AK75&amp;$AL75&amp;$AM75&amp;$AN75&amp;$AO75&amp;$AP75&amp;$AQ75&amp;$AR75&amp;$AS75&amp;$AT75&amp;$AU75&amp;$AV75&amp;$AW75&amp;$AX75&amp;$AY75,3,32767)</f>
        <v/>
      </c>
      <c r="BA75">
        <f>COUNT($D75:$AA75)</f>
        <v/>
      </c>
    </row>
    <row r="76">
      <c r="A76" t="n">
        <v>2</v>
      </c>
      <c r="B76" t="inlineStr">
        <is>
          <t>Magic Mouth</t>
        </is>
      </c>
      <c r="C76" t="inlineStr">
        <is>
          <t>Illusion</t>
        </is>
      </c>
      <c r="D76">
        <f>IF(Wizards!$A$2="","",IF(OR(ISNUMBER(SEARCH(", "&amp;$B76&amp;", ", ", "&amp;INDEX('Form Responses'!$I$1:$Q$200,2,$A76)&amp;", ")),ISNUMBER(SEARCH(", "&amp;$B76&amp;", ", ", "&amp;INDEX('Form Responses'!$R$1:$R$200,2)&amp;", "))),1,""))</f>
        <v/>
      </c>
      <c r="E76">
        <f>IF(Wizards!$A$3="","",IF(OR(ISNUMBER(SEARCH(", "&amp;$B76&amp;", ", ", "&amp;INDEX('Form Responses'!$I$1:$Q$200,3,$A76)&amp;", ")),ISNUMBER(SEARCH(", "&amp;$B76&amp;", ", ", "&amp;INDEX('Form Responses'!$R$1:$R$200,3)&amp;", "))),1,""))</f>
        <v/>
      </c>
      <c r="F76">
        <f>IF(Wizards!$A$4="","",IF(OR(ISNUMBER(SEARCH(", "&amp;$B76&amp;", ", ", "&amp;INDEX('Form Responses'!$I$1:$Q$200,4,$A76)&amp;", ")),ISNUMBER(SEARCH(", "&amp;$B76&amp;", ", ", "&amp;INDEX('Form Responses'!$R$1:$R$200,4)&amp;", "))),1,""))</f>
        <v/>
      </c>
      <c r="G76">
        <f>IF(Wizards!$A$5="","",IF(OR(ISNUMBER(SEARCH(", "&amp;$B76&amp;", ", ", "&amp;INDEX('Form Responses'!$I$1:$Q$200,5,$A76)&amp;", ")),ISNUMBER(SEARCH(", "&amp;$B76&amp;", ", ", "&amp;INDEX('Form Responses'!$R$1:$R$200,5)&amp;", "))),1,""))</f>
        <v/>
      </c>
      <c r="H76">
        <f>IF(Wizards!$A$6="","",IF(OR(ISNUMBER(SEARCH(", "&amp;$B76&amp;", ", ", "&amp;INDEX('Form Responses'!$I$1:$Q$200,6,$A76)&amp;", ")),ISNUMBER(SEARCH(", "&amp;$B76&amp;", ", ", "&amp;INDEX('Form Responses'!$R$1:$R$200,6)&amp;", "))),1,""))</f>
        <v/>
      </c>
      <c r="I76">
        <f>IF(Wizards!$A$7="","",IF(OR(ISNUMBER(SEARCH(", "&amp;$B76&amp;", ", ", "&amp;INDEX('Form Responses'!$I$1:$Q$200,7,$A76)&amp;", ")),ISNUMBER(SEARCH(", "&amp;$B76&amp;", ", ", "&amp;INDEX('Form Responses'!$R$1:$R$200,7)&amp;", "))),1,""))</f>
        <v/>
      </c>
      <c r="J76">
        <f>IF(Wizards!$A$8="","",IF(OR(ISNUMBER(SEARCH(", "&amp;$B76&amp;", ", ", "&amp;INDEX('Form Responses'!$I$1:$Q$200,8,$A76)&amp;", ")),ISNUMBER(SEARCH(", "&amp;$B76&amp;", ", ", "&amp;INDEX('Form Responses'!$R$1:$R$200,8)&amp;", "))),1,""))</f>
        <v/>
      </c>
      <c r="K76">
        <f>IF(Wizards!$A$9="","",IF(OR(ISNUMBER(SEARCH(", "&amp;$B76&amp;", ", ", "&amp;INDEX('Form Responses'!$I$1:$Q$200,9,$A76)&amp;", ")),ISNUMBER(SEARCH(", "&amp;$B76&amp;", ", ", "&amp;INDEX('Form Responses'!$R$1:$R$200,9)&amp;", "))),1,""))</f>
        <v/>
      </c>
      <c r="L76">
        <f>IF(Wizards!$A$10="","",IF(OR(ISNUMBER(SEARCH(", "&amp;$B76&amp;", ", ", "&amp;INDEX('Form Responses'!$I$1:$Q$200,10,$A76)&amp;", ")),ISNUMBER(SEARCH(", "&amp;$B76&amp;", ", ", "&amp;INDEX('Form Responses'!$R$1:$R$200,10)&amp;", "))),1,""))</f>
        <v/>
      </c>
      <c r="M76">
        <f>IF(Wizards!$A$11="","",IF(OR(ISNUMBER(SEARCH(", "&amp;$B76&amp;", ", ", "&amp;INDEX('Form Responses'!$I$1:$Q$200,11,$A76)&amp;", ")),ISNUMBER(SEARCH(", "&amp;$B76&amp;", ", ", "&amp;INDEX('Form Responses'!$R$1:$R$200,11)&amp;", "))),1,""))</f>
        <v/>
      </c>
      <c r="N76">
        <f>IF(Wizards!$A$12="","",IF(OR(ISNUMBER(SEARCH(", "&amp;$B76&amp;", ", ", "&amp;INDEX('Form Responses'!$I$1:$Q$200,12,$A76)&amp;", ")),ISNUMBER(SEARCH(", "&amp;$B76&amp;", ", ", "&amp;INDEX('Form Responses'!$R$1:$R$200,12)&amp;", "))),1,""))</f>
        <v/>
      </c>
      <c r="O76">
        <f>IF(Wizards!$A$13="","",IF(OR(ISNUMBER(SEARCH(", "&amp;$B76&amp;", ", ", "&amp;INDEX('Form Responses'!$I$1:$Q$200,13,$A76)&amp;", ")),ISNUMBER(SEARCH(", "&amp;$B76&amp;", ", ", "&amp;INDEX('Form Responses'!$R$1:$R$200,13)&amp;", "))),1,""))</f>
        <v/>
      </c>
      <c r="P76">
        <f>IF(Wizards!$A$14="","",IF(OR(ISNUMBER(SEARCH(", "&amp;$B76&amp;", ", ", "&amp;INDEX('Form Responses'!$I$1:$Q$200,14,$A76)&amp;", ")),ISNUMBER(SEARCH(", "&amp;$B76&amp;", ", ", "&amp;INDEX('Form Responses'!$R$1:$R$200,14)&amp;", "))),1,""))</f>
        <v/>
      </c>
      <c r="Q76">
        <f>IF(Wizards!$A$15="","",IF(OR(ISNUMBER(SEARCH(", "&amp;$B76&amp;", ", ", "&amp;INDEX('Form Responses'!$I$1:$Q$200,15,$A76)&amp;", ")),ISNUMBER(SEARCH(", "&amp;$B76&amp;", ", ", "&amp;INDEX('Form Responses'!$R$1:$R$200,15)&amp;", "))),1,""))</f>
        <v/>
      </c>
      <c r="R76">
        <f>IF(Wizards!$A$16="","",IF(OR(ISNUMBER(SEARCH(", "&amp;$B76&amp;", ", ", "&amp;INDEX('Form Responses'!$I$1:$Q$200,16,$A76)&amp;", ")),ISNUMBER(SEARCH(", "&amp;$B76&amp;", ", ", "&amp;INDEX('Form Responses'!$R$1:$R$200,16)&amp;", "))),1,""))</f>
        <v/>
      </c>
      <c r="S76">
        <f>IF(Wizards!$A$17="","",IF(OR(ISNUMBER(SEARCH(", "&amp;$B76&amp;", ", ", "&amp;INDEX('Form Responses'!$I$1:$Q$200,17,$A76)&amp;", ")),ISNUMBER(SEARCH(", "&amp;$B76&amp;", ", ", "&amp;INDEX('Form Responses'!$R$1:$R$200,17)&amp;", "))),1,""))</f>
        <v/>
      </c>
      <c r="T76">
        <f>IF(Wizards!$A$18="","",IF(OR(ISNUMBER(SEARCH(", "&amp;$B76&amp;", ", ", "&amp;INDEX('Form Responses'!$I$1:$Q$200,18,$A76)&amp;", ")),ISNUMBER(SEARCH(", "&amp;$B76&amp;", ", ", "&amp;INDEX('Form Responses'!$R$1:$R$200,18)&amp;", "))),1,""))</f>
        <v/>
      </c>
      <c r="U76">
        <f>IF(Wizards!$A$19="","",IF(OR(ISNUMBER(SEARCH(", "&amp;$B76&amp;", ", ", "&amp;INDEX('Form Responses'!$I$1:$Q$200,19,$A76)&amp;", ")),ISNUMBER(SEARCH(", "&amp;$B76&amp;", ", ", "&amp;INDEX('Form Responses'!$R$1:$R$200,19)&amp;", "))),1,""))</f>
        <v/>
      </c>
      <c r="V76">
        <f>IF(Wizards!$A$20="","",IF(OR(ISNUMBER(SEARCH(", "&amp;$B76&amp;", ", ", "&amp;INDEX('Form Responses'!$I$1:$Q$200,20,$A76)&amp;", ")),ISNUMBER(SEARCH(", "&amp;$B76&amp;", ", ", "&amp;INDEX('Form Responses'!$R$1:$R$200,20)&amp;", "))),1,""))</f>
        <v/>
      </c>
      <c r="W76">
        <f>IF(Wizards!$A$21="","",IF(OR(ISNUMBER(SEARCH(", "&amp;$B76&amp;", ", ", "&amp;INDEX('Form Responses'!$I$1:$Q$200,21,$A76)&amp;", ")),ISNUMBER(SEARCH(", "&amp;$B76&amp;", ", ", "&amp;INDEX('Form Responses'!$R$1:$R$200,21)&amp;", "))),1,""))</f>
        <v/>
      </c>
      <c r="X76">
        <f>IF(Wizards!$A$22="","",IF(OR(ISNUMBER(SEARCH(", "&amp;$B76&amp;", ", ", "&amp;INDEX('Form Responses'!$I$1:$Q$200,22,$A76)&amp;", ")),ISNUMBER(SEARCH(", "&amp;$B76&amp;", ", ", "&amp;INDEX('Form Responses'!$R$1:$R$200,22)&amp;", "))),1,""))</f>
        <v/>
      </c>
      <c r="Y76">
        <f>IF(Wizards!$A$23="","",IF(OR(ISNUMBER(SEARCH(", "&amp;$B76&amp;", ", ", "&amp;INDEX('Form Responses'!$I$1:$Q$200,23,$A76)&amp;", ")),ISNUMBER(SEARCH(", "&amp;$B76&amp;", ", ", "&amp;INDEX('Form Responses'!$R$1:$R$200,23)&amp;", "))),1,""))</f>
        <v/>
      </c>
      <c r="Z76">
        <f>IF(Wizards!$A$24="","",IF(OR(ISNUMBER(SEARCH(", "&amp;$B76&amp;", ", ", "&amp;INDEX('Form Responses'!$I$1:$Q$200,24,$A76)&amp;", ")),ISNUMBER(SEARCH(", "&amp;$B76&amp;", ", ", "&amp;INDEX('Form Responses'!$R$1:$R$200,24)&amp;", "))),1,""))</f>
        <v/>
      </c>
      <c r="AA76">
        <f>IF(Wizards!$A$25="","",IF(OR(ISNUMBER(SEARCH(", "&amp;$B76&amp;", ", ", "&amp;INDEX('Form Responses'!$I$1:$Q$200,25,$A76)&amp;", ")),ISNUMBER(SEARCH(", "&amp;$B76&amp;", ", ", "&amp;INDEX('Form Responses'!$R$1:$R$200,25)&amp;", "))),1,""))</f>
        <v/>
      </c>
      <c r="AB76">
        <f>IF(D76=1,", "&amp;D$1,"")</f>
        <v/>
      </c>
      <c r="AC76">
        <f>IF(E76=1,", "&amp;E$1,"")</f>
        <v/>
      </c>
      <c r="AD76">
        <f>IF(F76=1,", "&amp;F$1,"")</f>
        <v/>
      </c>
      <c r="AE76">
        <f>IF(G76=1,", "&amp;G$1,"")</f>
        <v/>
      </c>
      <c r="AF76">
        <f>IF(H76=1,", "&amp;H$1,"")</f>
        <v/>
      </c>
      <c r="AG76">
        <f>IF(I76=1,", "&amp;I$1,"")</f>
        <v/>
      </c>
      <c r="AH76">
        <f>IF(J76=1,", "&amp;J$1,"")</f>
        <v/>
      </c>
      <c r="AI76">
        <f>IF(K76=1,", "&amp;K$1,"")</f>
        <v/>
      </c>
      <c r="AJ76">
        <f>IF(L76=1,", "&amp;L$1,"")</f>
        <v/>
      </c>
      <c r="AK76">
        <f>IF(M76=1,", "&amp;M$1,"")</f>
        <v/>
      </c>
      <c r="AL76">
        <f>IF(N76=1,", "&amp;N$1,"")</f>
        <v/>
      </c>
      <c r="AM76">
        <f>IF(O76=1,", "&amp;O$1,"")</f>
        <v/>
      </c>
      <c r="AN76">
        <f>IF(P76=1,", "&amp;P$1,"")</f>
        <v/>
      </c>
      <c r="AO76">
        <f>IF(Q76=1,", "&amp;Q$1,"")</f>
        <v/>
      </c>
      <c r="AP76">
        <f>IF(R76=1,", "&amp;R$1,"")</f>
        <v/>
      </c>
      <c r="AQ76">
        <f>IF(S76=1,", "&amp;S$1,"")</f>
        <v/>
      </c>
      <c r="AR76">
        <f>IF(T76=1,", "&amp;T$1,"")</f>
        <v/>
      </c>
      <c r="AS76">
        <f>IF(U76=1,", "&amp;U$1,"")</f>
        <v/>
      </c>
      <c r="AT76">
        <f>IF(V76=1,", "&amp;V$1,"")</f>
        <v/>
      </c>
      <c r="AU76">
        <f>IF(W76=1,", "&amp;W$1,"")</f>
        <v/>
      </c>
      <c r="AV76">
        <f>IF(X76=1,", "&amp;X$1,"")</f>
        <v/>
      </c>
      <c r="AW76">
        <f>IF(Y76=1,", "&amp;Y$1,"")</f>
        <v/>
      </c>
      <c r="AX76">
        <f>IF(Z76=1,", "&amp;Z$1,"")</f>
        <v/>
      </c>
      <c r="AY76">
        <f>IF(AA76=1,", "&amp;AA$1,"")</f>
        <v/>
      </c>
      <c r="AZ76">
        <f>MID($AB76&amp;$AC76&amp;$AD76&amp;$AE76&amp;$AF76&amp;$AG76&amp;$AH76&amp;$AI76&amp;$AJ76&amp;$AK76&amp;$AL76&amp;$AM76&amp;$AN76&amp;$AO76&amp;$AP76&amp;$AQ76&amp;$AR76&amp;$AS76&amp;$AT76&amp;$AU76&amp;$AV76&amp;$AW76&amp;$AX76&amp;$AY76,3,32767)</f>
        <v/>
      </c>
      <c r="BA76">
        <f>COUNT($D76:$AA76)</f>
        <v/>
      </c>
    </row>
    <row r="77">
      <c r="A77" t="n">
        <v>2</v>
      </c>
      <c r="B77" t="inlineStr">
        <is>
          <t>Magic Weapon</t>
        </is>
      </c>
      <c r="C77" t="inlineStr">
        <is>
          <t>Transmutation</t>
        </is>
      </c>
      <c r="D77">
        <f>IF(Wizards!$A$2="","",IF(OR(ISNUMBER(SEARCH(", "&amp;$B77&amp;", ", ", "&amp;INDEX('Form Responses'!$I$1:$Q$200,2,$A77)&amp;", ")),ISNUMBER(SEARCH(", "&amp;$B77&amp;", ", ", "&amp;INDEX('Form Responses'!$R$1:$R$200,2)&amp;", "))),1,""))</f>
        <v/>
      </c>
      <c r="E77">
        <f>IF(Wizards!$A$3="","",IF(OR(ISNUMBER(SEARCH(", "&amp;$B77&amp;", ", ", "&amp;INDEX('Form Responses'!$I$1:$Q$200,3,$A77)&amp;", ")),ISNUMBER(SEARCH(", "&amp;$B77&amp;", ", ", "&amp;INDEX('Form Responses'!$R$1:$R$200,3)&amp;", "))),1,""))</f>
        <v/>
      </c>
      <c r="F77">
        <f>IF(Wizards!$A$4="","",IF(OR(ISNUMBER(SEARCH(", "&amp;$B77&amp;", ", ", "&amp;INDEX('Form Responses'!$I$1:$Q$200,4,$A77)&amp;", ")),ISNUMBER(SEARCH(", "&amp;$B77&amp;", ", ", "&amp;INDEX('Form Responses'!$R$1:$R$200,4)&amp;", "))),1,""))</f>
        <v/>
      </c>
      <c r="G77">
        <f>IF(Wizards!$A$5="","",IF(OR(ISNUMBER(SEARCH(", "&amp;$B77&amp;", ", ", "&amp;INDEX('Form Responses'!$I$1:$Q$200,5,$A77)&amp;", ")),ISNUMBER(SEARCH(", "&amp;$B77&amp;", ", ", "&amp;INDEX('Form Responses'!$R$1:$R$200,5)&amp;", "))),1,""))</f>
        <v/>
      </c>
      <c r="H77">
        <f>IF(Wizards!$A$6="","",IF(OR(ISNUMBER(SEARCH(", "&amp;$B77&amp;", ", ", "&amp;INDEX('Form Responses'!$I$1:$Q$200,6,$A77)&amp;", ")),ISNUMBER(SEARCH(", "&amp;$B77&amp;", ", ", "&amp;INDEX('Form Responses'!$R$1:$R$200,6)&amp;", "))),1,""))</f>
        <v/>
      </c>
      <c r="I77">
        <f>IF(Wizards!$A$7="","",IF(OR(ISNUMBER(SEARCH(", "&amp;$B77&amp;", ", ", "&amp;INDEX('Form Responses'!$I$1:$Q$200,7,$A77)&amp;", ")),ISNUMBER(SEARCH(", "&amp;$B77&amp;", ", ", "&amp;INDEX('Form Responses'!$R$1:$R$200,7)&amp;", "))),1,""))</f>
        <v/>
      </c>
      <c r="J77">
        <f>IF(Wizards!$A$8="","",IF(OR(ISNUMBER(SEARCH(", "&amp;$B77&amp;", ", ", "&amp;INDEX('Form Responses'!$I$1:$Q$200,8,$A77)&amp;", ")),ISNUMBER(SEARCH(", "&amp;$B77&amp;", ", ", "&amp;INDEX('Form Responses'!$R$1:$R$200,8)&amp;", "))),1,""))</f>
        <v/>
      </c>
      <c r="K77">
        <f>IF(Wizards!$A$9="","",IF(OR(ISNUMBER(SEARCH(", "&amp;$B77&amp;", ", ", "&amp;INDEX('Form Responses'!$I$1:$Q$200,9,$A77)&amp;", ")),ISNUMBER(SEARCH(", "&amp;$B77&amp;", ", ", "&amp;INDEX('Form Responses'!$R$1:$R$200,9)&amp;", "))),1,""))</f>
        <v/>
      </c>
      <c r="L77">
        <f>IF(Wizards!$A$10="","",IF(OR(ISNUMBER(SEARCH(", "&amp;$B77&amp;", ", ", "&amp;INDEX('Form Responses'!$I$1:$Q$200,10,$A77)&amp;", ")),ISNUMBER(SEARCH(", "&amp;$B77&amp;", ", ", "&amp;INDEX('Form Responses'!$R$1:$R$200,10)&amp;", "))),1,""))</f>
        <v/>
      </c>
      <c r="M77">
        <f>IF(Wizards!$A$11="","",IF(OR(ISNUMBER(SEARCH(", "&amp;$B77&amp;", ", ", "&amp;INDEX('Form Responses'!$I$1:$Q$200,11,$A77)&amp;", ")),ISNUMBER(SEARCH(", "&amp;$B77&amp;", ", ", "&amp;INDEX('Form Responses'!$R$1:$R$200,11)&amp;", "))),1,""))</f>
        <v/>
      </c>
      <c r="N77">
        <f>IF(Wizards!$A$12="","",IF(OR(ISNUMBER(SEARCH(", "&amp;$B77&amp;", ", ", "&amp;INDEX('Form Responses'!$I$1:$Q$200,12,$A77)&amp;", ")),ISNUMBER(SEARCH(", "&amp;$B77&amp;", ", ", "&amp;INDEX('Form Responses'!$R$1:$R$200,12)&amp;", "))),1,""))</f>
        <v/>
      </c>
      <c r="O77">
        <f>IF(Wizards!$A$13="","",IF(OR(ISNUMBER(SEARCH(", "&amp;$B77&amp;", ", ", "&amp;INDEX('Form Responses'!$I$1:$Q$200,13,$A77)&amp;", ")),ISNUMBER(SEARCH(", "&amp;$B77&amp;", ", ", "&amp;INDEX('Form Responses'!$R$1:$R$200,13)&amp;", "))),1,""))</f>
        <v/>
      </c>
      <c r="P77">
        <f>IF(Wizards!$A$14="","",IF(OR(ISNUMBER(SEARCH(", "&amp;$B77&amp;", ", ", "&amp;INDEX('Form Responses'!$I$1:$Q$200,14,$A77)&amp;", ")),ISNUMBER(SEARCH(", "&amp;$B77&amp;", ", ", "&amp;INDEX('Form Responses'!$R$1:$R$200,14)&amp;", "))),1,""))</f>
        <v/>
      </c>
      <c r="Q77">
        <f>IF(Wizards!$A$15="","",IF(OR(ISNUMBER(SEARCH(", "&amp;$B77&amp;", ", ", "&amp;INDEX('Form Responses'!$I$1:$Q$200,15,$A77)&amp;", ")),ISNUMBER(SEARCH(", "&amp;$B77&amp;", ", ", "&amp;INDEX('Form Responses'!$R$1:$R$200,15)&amp;", "))),1,""))</f>
        <v/>
      </c>
      <c r="R77">
        <f>IF(Wizards!$A$16="","",IF(OR(ISNUMBER(SEARCH(", "&amp;$B77&amp;", ", ", "&amp;INDEX('Form Responses'!$I$1:$Q$200,16,$A77)&amp;", ")),ISNUMBER(SEARCH(", "&amp;$B77&amp;", ", ", "&amp;INDEX('Form Responses'!$R$1:$R$200,16)&amp;", "))),1,""))</f>
        <v/>
      </c>
      <c r="S77">
        <f>IF(Wizards!$A$17="","",IF(OR(ISNUMBER(SEARCH(", "&amp;$B77&amp;", ", ", "&amp;INDEX('Form Responses'!$I$1:$Q$200,17,$A77)&amp;", ")),ISNUMBER(SEARCH(", "&amp;$B77&amp;", ", ", "&amp;INDEX('Form Responses'!$R$1:$R$200,17)&amp;", "))),1,""))</f>
        <v/>
      </c>
      <c r="T77">
        <f>IF(Wizards!$A$18="","",IF(OR(ISNUMBER(SEARCH(", "&amp;$B77&amp;", ", ", "&amp;INDEX('Form Responses'!$I$1:$Q$200,18,$A77)&amp;", ")),ISNUMBER(SEARCH(", "&amp;$B77&amp;", ", ", "&amp;INDEX('Form Responses'!$R$1:$R$200,18)&amp;", "))),1,""))</f>
        <v/>
      </c>
      <c r="U77">
        <f>IF(Wizards!$A$19="","",IF(OR(ISNUMBER(SEARCH(", "&amp;$B77&amp;", ", ", "&amp;INDEX('Form Responses'!$I$1:$Q$200,19,$A77)&amp;", ")),ISNUMBER(SEARCH(", "&amp;$B77&amp;", ", ", "&amp;INDEX('Form Responses'!$R$1:$R$200,19)&amp;", "))),1,""))</f>
        <v/>
      </c>
      <c r="V77">
        <f>IF(Wizards!$A$20="","",IF(OR(ISNUMBER(SEARCH(", "&amp;$B77&amp;", ", ", "&amp;INDEX('Form Responses'!$I$1:$Q$200,20,$A77)&amp;", ")),ISNUMBER(SEARCH(", "&amp;$B77&amp;", ", ", "&amp;INDEX('Form Responses'!$R$1:$R$200,20)&amp;", "))),1,""))</f>
        <v/>
      </c>
      <c r="W77">
        <f>IF(Wizards!$A$21="","",IF(OR(ISNUMBER(SEARCH(", "&amp;$B77&amp;", ", ", "&amp;INDEX('Form Responses'!$I$1:$Q$200,21,$A77)&amp;", ")),ISNUMBER(SEARCH(", "&amp;$B77&amp;", ", ", "&amp;INDEX('Form Responses'!$R$1:$R$200,21)&amp;", "))),1,""))</f>
        <v/>
      </c>
      <c r="X77">
        <f>IF(Wizards!$A$22="","",IF(OR(ISNUMBER(SEARCH(", "&amp;$B77&amp;", ", ", "&amp;INDEX('Form Responses'!$I$1:$Q$200,22,$A77)&amp;", ")),ISNUMBER(SEARCH(", "&amp;$B77&amp;", ", ", "&amp;INDEX('Form Responses'!$R$1:$R$200,22)&amp;", "))),1,""))</f>
        <v/>
      </c>
      <c r="Y77">
        <f>IF(Wizards!$A$23="","",IF(OR(ISNUMBER(SEARCH(", "&amp;$B77&amp;", ", ", "&amp;INDEX('Form Responses'!$I$1:$Q$200,23,$A77)&amp;", ")),ISNUMBER(SEARCH(", "&amp;$B77&amp;", ", ", "&amp;INDEX('Form Responses'!$R$1:$R$200,23)&amp;", "))),1,""))</f>
        <v/>
      </c>
      <c r="Z77">
        <f>IF(Wizards!$A$24="","",IF(OR(ISNUMBER(SEARCH(", "&amp;$B77&amp;", ", ", "&amp;INDEX('Form Responses'!$I$1:$Q$200,24,$A77)&amp;", ")),ISNUMBER(SEARCH(", "&amp;$B77&amp;", ", ", "&amp;INDEX('Form Responses'!$R$1:$R$200,24)&amp;", "))),1,""))</f>
        <v/>
      </c>
      <c r="AA77">
        <f>IF(Wizards!$A$25="","",IF(OR(ISNUMBER(SEARCH(", "&amp;$B77&amp;", ", ", "&amp;INDEX('Form Responses'!$I$1:$Q$200,25,$A77)&amp;", ")),ISNUMBER(SEARCH(", "&amp;$B77&amp;", ", ", "&amp;INDEX('Form Responses'!$R$1:$R$200,25)&amp;", "))),1,""))</f>
        <v/>
      </c>
      <c r="AB77">
        <f>IF(D77=1,", "&amp;D$1,"")</f>
        <v/>
      </c>
      <c r="AC77">
        <f>IF(E77=1,", "&amp;E$1,"")</f>
        <v/>
      </c>
      <c r="AD77">
        <f>IF(F77=1,", "&amp;F$1,"")</f>
        <v/>
      </c>
      <c r="AE77">
        <f>IF(G77=1,", "&amp;G$1,"")</f>
        <v/>
      </c>
      <c r="AF77">
        <f>IF(H77=1,", "&amp;H$1,"")</f>
        <v/>
      </c>
      <c r="AG77">
        <f>IF(I77=1,", "&amp;I$1,"")</f>
        <v/>
      </c>
      <c r="AH77">
        <f>IF(J77=1,", "&amp;J$1,"")</f>
        <v/>
      </c>
      <c r="AI77">
        <f>IF(K77=1,", "&amp;K$1,"")</f>
        <v/>
      </c>
      <c r="AJ77">
        <f>IF(L77=1,", "&amp;L$1,"")</f>
        <v/>
      </c>
      <c r="AK77">
        <f>IF(M77=1,", "&amp;M$1,"")</f>
        <v/>
      </c>
      <c r="AL77">
        <f>IF(N77=1,", "&amp;N$1,"")</f>
        <v/>
      </c>
      <c r="AM77">
        <f>IF(O77=1,", "&amp;O$1,"")</f>
        <v/>
      </c>
      <c r="AN77">
        <f>IF(P77=1,", "&amp;P$1,"")</f>
        <v/>
      </c>
      <c r="AO77">
        <f>IF(Q77=1,", "&amp;Q$1,"")</f>
        <v/>
      </c>
      <c r="AP77">
        <f>IF(R77=1,", "&amp;R$1,"")</f>
        <v/>
      </c>
      <c r="AQ77">
        <f>IF(S77=1,", "&amp;S$1,"")</f>
        <v/>
      </c>
      <c r="AR77">
        <f>IF(T77=1,", "&amp;T$1,"")</f>
        <v/>
      </c>
      <c r="AS77">
        <f>IF(U77=1,", "&amp;U$1,"")</f>
        <v/>
      </c>
      <c r="AT77">
        <f>IF(V77=1,", "&amp;V$1,"")</f>
        <v/>
      </c>
      <c r="AU77">
        <f>IF(W77=1,", "&amp;W$1,"")</f>
        <v/>
      </c>
      <c r="AV77">
        <f>IF(X77=1,", "&amp;X$1,"")</f>
        <v/>
      </c>
      <c r="AW77">
        <f>IF(Y77=1,", "&amp;Y$1,"")</f>
        <v/>
      </c>
      <c r="AX77">
        <f>IF(Z77=1,", "&amp;Z$1,"")</f>
        <v/>
      </c>
      <c r="AY77">
        <f>IF(AA77=1,", "&amp;AA$1,"")</f>
        <v/>
      </c>
      <c r="AZ77">
        <f>MID($AB77&amp;$AC77&amp;$AD77&amp;$AE77&amp;$AF77&amp;$AG77&amp;$AH77&amp;$AI77&amp;$AJ77&amp;$AK77&amp;$AL77&amp;$AM77&amp;$AN77&amp;$AO77&amp;$AP77&amp;$AQ77&amp;$AR77&amp;$AS77&amp;$AT77&amp;$AU77&amp;$AV77&amp;$AW77&amp;$AX77&amp;$AY77,3,32767)</f>
        <v/>
      </c>
      <c r="BA77">
        <f>COUNT($D77:$AA77)</f>
        <v/>
      </c>
    </row>
    <row r="78">
      <c r="A78" t="n">
        <v>2</v>
      </c>
      <c r="B78" t="inlineStr">
        <is>
          <t>Maximilian's Earthen Grasp</t>
        </is>
      </c>
      <c r="C78" t="inlineStr">
        <is>
          <t>Transmutation</t>
        </is>
      </c>
      <c r="D78">
        <f>IF(Wizards!$A$2="","",IF(OR(ISNUMBER(SEARCH(", "&amp;$B78&amp;", ", ", "&amp;INDEX('Form Responses'!$I$1:$Q$200,2,$A78)&amp;", ")),ISNUMBER(SEARCH(", "&amp;$B78&amp;", ", ", "&amp;INDEX('Form Responses'!$R$1:$R$200,2)&amp;", "))),1,""))</f>
        <v/>
      </c>
      <c r="E78">
        <f>IF(Wizards!$A$3="","",IF(OR(ISNUMBER(SEARCH(", "&amp;$B78&amp;", ", ", "&amp;INDEX('Form Responses'!$I$1:$Q$200,3,$A78)&amp;", ")),ISNUMBER(SEARCH(", "&amp;$B78&amp;", ", ", "&amp;INDEX('Form Responses'!$R$1:$R$200,3)&amp;", "))),1,""))</f>
        <v/>
      </c>
      <c r="F78">
        <f>IF(Wizards!$A$4="","",IF(OR(ISNUMBER(SEARCH(", "&amp;$B78&amp;", ", ", "&amp;INDEX('Form Responses'!$I$1:$Q$200,4,$A78)&amp;", ")),ISNUMBER(SEARCH(", "&amp;$B78&amp;", ", ", "&amp;INDEX('Form Responses'!$R$1:$R$200,4)&amp;", "))),1,""))</f>
        <v/>
      </c>
      <c r="G78">
        <f>IF(Wizards!$A$5="","",IF(OR(ISNUMBER(SEARCH(", "&amp;$B78&amp;", ", ", "&amp;INDEX('Form Responses'!$I$1:$Q$200,5,$A78)&amp;", ")),ISNUMBER(SEARCH(", "&amp;$B78&amp;", ", ", "&amp;INDEX('Form Responses'!$R$1:$R$200,5)&amp;", "))),1,""))</f>
        <v/>
      </c>
      <c r="H78">
        <f>IF(Wizards!$A$6="","",IF(OR(ISNUMBER(SEARCH(", "&amp;$B78&amp;", ", ", "&amp;INDEX('Form Responses'!$I$1:$Q$200,6,$A78)&amp;", ")),ISNUMBER(SEARCH(", "&amp;$B78&amp;", ", ", "&amp;INDEX('Form Responses'!$R$1:$R$200,6)&amp;", "))),1,""))</f>
        <v/>
      </c>
      <c r="I78">
        <f>IF(Wizards!$A$7="","",IF(OR(ISNUMBER(SEARCH(", "&amp;$B78&amp;", ", ", "&amp;INDEX('Form Responses'!$I$1:$Q$200,7,$A78)&amp;", ")),ISNUMBER(SEARCH(", "&amp;$B78&amp;", ", ", "&amp;INDEX('Form Responses'!$R$1:$R$200,7)&amp;", "))),1,""))</f>
        <v/>
      </c>
      <c r="J78">
        <f>IF(Wizards!$A$8="","",IF(OR(ISNUMBER(SEARCH(", "&amp;$B78&amp;", ", ", "&amp;INDEX('Form Responses'!$I$1:$Q$200,8,$A78)&amp;", ")),ISNUMBER(SEARCH(", "&amp;$B78&amp;", ", ", "&amp;INDEX('Form Responses'!$R$1:$R$200,8)&amp;", "))),1,""))</f>
        <v/>
      </c>
      <c r="K78">
        <f>IF(Wizards!$A$9="","",IF(OR(ISNUMBER(SEARCH(", "&amp;$B78&amp;", ", ", "&amp;INDEX('Form Responses'!$I$1:$Q$200,9,$A78)&amp;", ")),ISNUMBER(SEARCH(", "&amp;$B78&amp;", ", ", "&amp;INDEX('Form Responses'!$R$1:$R$200,9)&amp;", "))),1,""))</f>
        <v/>
      </c>
      <c r="L78">
        <f>IF(Wizards!$A$10="","",IF(OR(ISNUMBER(SEARCH(", "&amp;$B78&amp;", ", ", "&amp;INDEX('Form Responses'!$I$1:$Q$200,10,$A78)&amp;", ")),ISNUMBER(SEARCH(", "&amp;$B78&amp;", ", ", "&amp;INDEX('Form Responses'!$R$1:$R$200,10)&amp;", "))),1,""))</f>
        <v/>
      </c>
      <c r="M78">
        <f>IF(Wizards!$A$11="","",IF(OR(ISNUMBER(SEARCH(", "&amp;$B78&amp;", ", ", "&amp;INDEX('Form Responses'!$I$1:$Q$200,11,$A78)&amp;", ")),ISNUMBER(SEARCH(", "&amp;$B78&amp;", ", ", "&amp;INDEX('Form Responses'!$R$1:$R$200,11)&amp;", "))),1,""))</f>
        <v/>
      </c>
      <c r="N78">
        <f>IF(Wizards!$A$12="","",IF(OR(ISNUMBER(SEARCH(", "&amp;$B78&amp;", ", ", "&amp;INDEX('Form Responses'!$I$1:$Q$200,12,$A78)&amp;", ")),ISNUMBER(SEARCH(", "&amp;$B78&amp;", ", ", "&amp;INDEX('Form Responses'!$R$1:$R$200,12)&amp;", "))),1,""))</f>
        <v/>
      </c>
      <c r="O78">
        <f>IF(Wizards!$A$13="","",IF(OR(ISNUMBER(SEARCH(", "&amp;$B78&amp;", ", ", "&amp;INDEX('Form Responses'!$I$1:$Q$200,13,$A78)&amp;", ")),ISNUMBER(SEARCH(", "&amp;$B78&amp;", ", ", "&amp;INDEX('Form Responses'!$R$1:$R$200,13)&amp;", "))),1,""))</f>
        <v/>
      </c>
      <c r="P78">
        <f>IF(Wizards!$A$14="","",IF(OR(ISNUMBER(SEARCH(", "&amp;$B78&amp;", ", ", "&amp;INDEX('Form Responses'!$I$1:$Q$200,14,$A78)&amp;", ")),ISNUMBER(SEARCH(", "&amp;$B78&amp;", ", ", "&amp;INDEX('Form Responses'!$R$1:$R$200,14)&amp;", "))),1,""))</f>
        <v/>
      </c>
      <c r="Q78">
        <f>IF(Wizards!$A$15="","",IF(OR(ISNUMBER(SEARCH(", "&amp;$B78&amp;", ", ", "&amp;INDEX('Form Responses'!$I$1:$Q$200,15,$A78)&amp;", ")),ISNUMBER(SEARCH(", "&amp;$B78&amp;", ", ", "&amp;INDEX('Form Responses'!$R$1:$R$200,15)&amp;", "))),1,""))</f>
        <v/>
      </c>
      <c r="R78">
        <f>IF(Wizards!$A$16="","",IF(OR(ISNUMBER(SEARCH(", "&amp;$B78&amp;", ", ", "&amp;INDEX('Form Responses'!$I$1:$Q$200,16,$A78)&amp;", ")),ISNUMBER(SEARCH(", "&amp;$B78&amp;", ", ", "&amp;INDEX('Form Responses'!$R$1:$R$200,16)&amp;", "))),1,""))</f>
        <v/>
      </c>
      <c r="S78">
        <f>IF(Wizards!$A$17="","",IF(OR(ISNUMBER(SEARCH(", "&amp;$B78&amp;", ", ", "&amp;INDEX('Form Responses'!$I$1:$Q$200,17,$A78)&amp;", ")),ISNUMBER(SEARCH(", "&amp;$B78&amp;", ", ", "&amp;INDEX('Form Responses'!$R$1:$R$200,17)&amp;", "))),1,""))</f>
        <v/>
      </c>
      <c r="T78">
        <f>IF(Wizards!$A$18="","",IF(OR(ISNUMBER(SEARCH(", "&amp;$B78&amp;", ", ", "&amp;INDEX('Form Responses'!$I$1:$Q$200,18,$A78)&amp;", ")),ISNUMBER(SEARCH(", "&amp;$B78&amp;", ", ", "&amp;INDEX('Form Responses'!$R$1:$R$200,18)&amp;", "))),1,""))</f>
        <v/>
      </c>
      <c r="U78">
        <f>IF(Wizards!$A$19="","",IF(OR(ISNUMBER(SEARCH(", "&amp;$B78&amp;", ", ", "&amp;INDEX('Form Responses'!$I$1:$Q$200,19,$A78)&amp;", ")),ISNUMBER(SEARCH(", "&amp;$B78&amp;", ", ", "&amp;INDEX('Form Responses'!$R$1:$R$200,19)&amp;", "))),1,""))</f>
        <v/>
      </c>
      <c r="V78">
        <f>IF(Wizards!$A$20="","",IF(OR(ISNUMBER(SEARCH(", "&amp;$B78&amp;", ", ", "&amp;INDEX('Form Responses'!$I$1:$Q$200,20,$A78)&amp;", ")),ISNUMBER(SEARCH(", "&amp;$B78&amp;", ", ", "&amp;INDEX('Form Responses'!$R$1:$R$200,20)&amp;", "))),1,""))</f>
        <v/>
      </c>
      <c r="W78">
        <f>IF(Wizards!$A$21="","",IF(OR(ISNUMBER(SEARCH(", "&amp;$B78&amp;", ", ", "&amp;INDEX('Form Responses'!$I$1:$Q$200,21,$A78)&amp;", ")),ISNUMBER(SEARCH(", "&amp;$B78&amp;", ", ", "&amp;INDEX('Form Responses'!$R$1:$R$200,21)&amp;", "))),1,""))</f>
        <v/>
      </c>
      <c r="X78">
        <f>IF(Wizards!$A$22="","",IF(OR(ISNUMBER(SEARCH(", "&amp;$B78&amp;", ", ", "&amp;INDEX('Form Responses'!$I$1:$Q$200,22,$A78)&amp;", ")),ISNUMBER(SEARCH(", "&amp;$B78&amp;", ", ", "&amp;INDEX('Form Responses'!$R$1:$R$200,22)&amp;", "))),1,""))</f>
        <v/>
      </c>
      <c r="Y78">
        <f>IF(Wizards!$A$23="","",IF(OR(ISNUMBER(SEARCH(", "&amp;$B78&amp;", ", ", "&amp;INDEX('Form Responses'!$I$1:$Q$200,23,$A78)&amp;", ")),ISNUMBER(SEARCH(", "&amp;$B78&amp;", ", ", "&amp;INDEX('Form Responses'!$R$1:$R$200,23)&amp;", "))),1,""))</f>
        <v/>
      </c>
      <c r="Z78">
        <f>IF(Wizards!$A$24="","",IF(OR(ISNUMBER(SEARCH(", "&amp;$B78&amp;", ", ", "&amp;INDEX('Form Responses'!$I$1:$Q$200,24,$A78)&amp;", ")),ISNUMBER(SEARCH(", "&amp;$B78&amp;", ", ", "&amp;INDEX('Form Responses'!$R$1:$R$200,24)&amp;", "))),1,""))</f>
        <v/>
      </c>
      <c r="AA78">
        <f>IF(Wizards!$A$25="","",IF(OR(ISNUMBER(SEARCH(", "&amp;$B78&amp;", ", ", "&amp;INDEX('Form Responses'!$I$1:$Q$200,25,$A78)&amp;", ")),ISNUMBER(SEARCH(", "&amp;$B78&amp;", ", ", "&amp;INDEX('Form Responses'!$R$1:$R$200,25)&amp;", "))),1,""))</f>
        <v/>
      </c>
      <c r="AB78">
        <f>IF(D78=1,", "&amp;D$1,"")</f>
        <v/>
      </c>
      <c r="AC78">
        <f>IF(E78=1,", "&amp;E$1,"")</f>
        <v/>
      </c>
      <c r="AD78">
        <f>IF(F78=1,", "&amp;F$1,"")</f>
        <v/>
      </c>
      <c r="AE78">
        <f>IF(G78=1,", "&amp;G$1,"")</f>
        <v/>
      </c>
      <c r="AF78">
        <f>IF(H78=1,", "&amp;H$1,"")</f>
        <v/>
      </c>
      <c r="AG78">
        <f>IF(I78=1,", "&amp;I$1,"")</f>
        <v/>
      </c>
      <c r="AH78">
        <f>IF(J78=1,", "&amp;J$1,"")</f>
        <v/>
      </c>
      <c r="AI78">
        <f>IF(K78=1,", "&amp;K$1,"")</f>
        <v/>
      </c>
      <c r="AJ78">
        <f>IF(L78=1,", "&amp;L$1,"")</f>
        <v/>
      </c>
      <c r="AK78">
        <f>IF(M78=1,", "&amp;M$1,"")</f>
        <v/>
      </c>
      <c r="AL78">
        <f>IF(N78=1,", "&amp;N$1,"")</f>
        <v/>
      </c>
      <c r="AM78">
        <f>IF(O78=1,", "&amp;O$1,"")</f>
        <v/>
      </c>
      <c r="AN78">
        <f>IF(P78=1,", "&amp;P$1,"")</f>
        <v/>
      </c>
      <c r="AO78">
        <f>IF(Q78=1,", "&amp;Q$1,"")</f>
        <v/>
      </c>
      <c r="AP78">
        <f>IF(R78=1,", "&amp;R$1,"")</f>
        <v/>
      </c>
      <c r="AQ78">
        <f>IF(S78=1,", "&amp;S$1,"")</f>
        <v/>
      </c>
      <c r="AR78">
        <f>IF(T78=1,", "&amp;T$1,"")</f>
        <v/>
      </c>
      <c r="AS78">
        <f>IF(U78=1,", "&amp;U$1,"")</f>
        <v/>
      </c>
      <c r="AT78">
        <f>IF(V78=1,", "&amp;V$1,"")</f>
        <v/>
      </c>
      <c r="AU78">
        <f>IF(W78=1,", "&amp;W$1,"")</f>
        <v/>
      </c>
      <c r="AV78">
        <f>IF(X78=1,", "&amp;X$1,"")</f>
        <v/>
      </c>
      <c r="AW78">
        <f>IF(Y78=1,", "&amp;Y$1,"")</f>
        <v/>
      </c>
      <c r="AX78">
        <f>IF(Z78=1,", "&amp;Z$1,"")</f>
        <v/>
      </c>
      <c r="AY78">
        <f>IF(AA78=1,", "&amp;AA$1,"")</f>
        <v/>
      </c>
      <c r="AZ78">
        <f>MID($AB78&amp;$AC78&amp;$AD78&amp;$AE78&amp;$AF78&amp;$AG78&amp;$AH78&amp;$AI78&amp;$AJ78&amp;$AK78&amp;$AL78&amp;$AM78&amp;$AN78&amp;$AO78&amp;$AP78&amp;$AQ78&amp;$AR78&amp;$AS78&amp;$AT78&amp;$AU78&amp;$AV78&amp;$AW78&amp;$AX78&amp;$AY78,3,32767)</f>
        <v/>
      </c>
      <c r="BA78">
        <f>COUNT($D78:$AA78)</f>
        <v/>
      </c>
    </row>
    <row r="79">
      <c r="A79" t="n">
        <v>2</v>
      </c>
      <c r="B79" t="inlineStr">
        <is>
          <t>Melf's Acid Arrow</t>
        </is>
      </c>
      <c r="C79" t="inlineStr">
        <is>
          <t>Evocation</t>
        </is>
      </c>
      <c r="D79">
        <f>IF(Wizards!$A$2="","",IF(OR(ISNUMBER(SEARCH(", "&amp;$B79&amp;", ", ", "&amp;INDEX('Form Responses'!$I$1:$Q$200,2,$A79)&amp;", ")),ISNUMBER(SEARCH(", "&amp;$B79&amp;", ", ", "&amp;INDEX('Form Responses'!$R$1:$R$200,2)&amp;", "))),1,""))</f>
        <v/>
      </c>
      <c r="E79">
        <f>IF(Wizards!$A$3="","",IF(OR(ISNUMBER(SEARCH(", "&amp;$B79&amp;", ", ", "&amp;INDEX('Form Responses'!$I$1:$Q$200,3,$A79)&amp;", ")),ISNUMBER(SEARCH(", "&amp;$B79&amp;", ", ", "&amp;INDEX('Form Responses'!$R$1:$R$200,3)&amp;", "))),1,""))</f>
        <v/>
      </c>
      <c r="F79">
        <f>IF(Wizards!$A$4="","",IF(OR(ISNUMBER(SEARCH(", "&amp;$B79&amp;", ", ", "&amp;INDEX('Form Responses'!$I$1:$Q$200,4,$A79)&amp;", ")),ISNUMBER(SEARCH(", "&amp;$B79&amp;", ", ", "&amp;INDEX('Form Responses'!$R$1:$R$200,4)&amp;", "))),1,""))</f>
        <v/>
      </c>
      <c r="G79">
        <f>IF(Wizards!$A$5="","",IF(OR(ISNUMBER(SEARCH(", "&amp;$B79&amp;", ", ", "&amp;INDEX('Form Responses'!$I$1:$Q$200,5,$A79)&amp;", ")),ISNUMBER(SEARCH(", "&amp;$B79&amp;", ", ", "&amp;INDEX('Form Responses'!$R$1:$R$200,5)&amp;", "))),1,""))</f>
        <v/>
      </c>
      <c r="H79">
        <f>IF(Wizards!$A$6="","",IF(OR(ISNUMBER(SEARCH(", "&amp;$B79&amp;", ", ", "&amp;INDEX('Form Responses'!$I$1:$Q$200,6,$A79)&amp;", ")),ISNUMBER(SEARCH(", "&amp;$B79&amp;", ", ", "&amp;INDEX('Form Responses'!$R$1:$R$200,6)&amp;", "))),1,""))</f>
        <v/>
      </c>
      <c r="I79">
        <f>IF(Wizards!$A$7="","",IF(OR(ISNUMBER(SEARCH(", "&amp;$B79&amp;", ", ", "&amp;INDEX('Form Responses'!$I$1:$Q$200,7,$A79)&amp;", ")),ISNUMBER(SEARCH(", "&amp;$B79&amp;", ", ", "&amp;INDEX('Form Responses'!$R$1:$R$200,7)&amp;", "))),1,""))</f>
        <v/>
      </c>
      <c r="J79">
        <f>IF(Wizards!$A$8="","",IF(OR(ISNUMBER(SEARCH(", "&amp;$B79&amp;", ", ", "&amp;INDEX('Form Responses'!$I$1:$Q$200,8,$A79)&amp;", ")),ISNUMBER(SEARCH(", "&amp;$B79&amp;", ", ", "&amp;INDEX('Form Responses'!$R$1:$R$200,8)&amp;", "))),1,""))</f>
        <v/>
      </c>
      <c r="K79">
        <f>IF(Wizards!$A$9="","",IF(OR(ISNUMBER(SEARCH(", "&amp;$B79&amp;", ", ", "&amp;INDEX('Form Responses'!$I$1:$Q$200,9,$A79)&amp;", ")),ISNUMBER(SEARCH(", "&amp;$B79&amp;", ", ", "&amp;INDEX('Form Responses'!$R$1:$R$200,9)&amp;", "))),1,""))</f>
        <v/>
      </c>
      <c r="L79">
        <f>IF(Wizards!$A$10="","",IF(OR(ISNUMBER(SEARCH(", "&amp;$B79&amp;", ", ", "&amp;INDEX('Form Responses'!$I$1:$Q$200,10,$A79)&amp;", ")),ISNUMBER(SEARCH(", "&amp;$B79&amp;", ", ", "&amp;INDEX('Form Responses'!$R$1:$R$200,10)&amp;", "))),1,""))</f>
        <v/>
      </c>
      <c r="M79">
        <f>IF(Wizards!$A$11="","",IF(OR(ISNUMBER(SEARCH(", "&amp;$B79&amp;", ", ", "&amp;INDEX('Form Responses'!$I$1:$Q$200,11,$A79)&amp;", ")),ISNUMBER(SEARCH(", "&amp;$B79&amp;", ", ", "&amp;INDEX('Form Responses'!$R$1:$R$200,11)&amp;", "))),1,""))</f>
        <v/>
      </c>
      <c r="N79">
        <f>IF(Wizards!$A$12="","",IF(OR(ISNUMBER(SEARCH(", "&amp;$B79&amp;", ", ", "&amp;INDEX('Form Responses'!$I$1:$Q$200,12,$A79)&amp;", ")),ISNUMBER(SEARCH(", "&amp;$B79&amp;", ", ", "&amp;INDEX('Form Responses'!$R$1:$R$200,12)&amp;", "))),1,""))</f>
        <v/>
      </c>
      <c r="O79">
        <f>IF(Wizards!$A$13="","",IF(OR(ISNUMBER(SEARCH(", "&amp;$B79&amp;", ", ", "&amp;INDEX('Form Responses'!$I$1:$Q$200,13,$A79)&amp;", ")),ISNUMBER(SEARCH(", "&amp;$B79&amp;", ", ", "&amp;INDEX('Form Responses'!$R$1:$R$200,13)&amp;", "))),1,""))</f>
        <v/>
      </c>
      <c r="P79">
        <f>IF(Wizards!$A$14="","",IF(OR(ISNUMBER(SEARCH(", "&amp;$B79&amp;", ", ", "&amp;INDEX('Form Responses'!$I$1:$Q$200,14,$A79)&amp;", ")),ISNUMBER(SEARCH(", "&amp;$B79&amp;", ", ", "&amp;INDEX('Form Responses'!$R$1:$R$200,14)&amp;", "))),1,""))</f>
        <v/>
      </c>
      <c r="Q79">
        <f>IF(Wizards!$A$15="","",IF(OR(ISNUMBER(SEARCH(", "&amp;$B79&amp;", ", ", "&amp;INDEX('Form Responses'!$I$1:$Q$200,15,$A79)&amp;", ")),ISNUMBER(SEARCH(", "&amp;$B79&amp;", ", ", "&amp;INDEX('Form Responses'!$R$1:$R$200,15)&amp;", "))),1,""))</f>
        <v/>
      </c>
      <c r="R79">
        <f>IF(Wizards!$A$16="","",IF(OR(ISNUMBER(SEARCH(", "&amp;$B79&amp;", ", ", "&amp;INDEX('Form Responses'!$I$1:$Q$200,16,$A79)&amp;", ")),ISNUMBER(SEARCH(", "&amp;$B79&amp;", ", ", "&amp;INDEX('Form Responses'!$R$1:$R$200,16)&amp;", "))),1,""))</f>
        <v/>
      </c>
      <c r="S79">
        <f>IF(Wizards!$A$17="","",IF(OR(ISNUMBER(SEARCH(", "&amp;$B79&amp;", ", ", "&amp;INDEX('Form Responses'!$I$1:$Q$200,17,$A79)&amp;", ")),ISNUMBER(SEARCH(", "&amp;$B79&amp;", ", ", "&amp;INDEX('Form Responses'!$R$1:$R$200,17)&amp;", "))),1,""))</f>
        <v/>
      </c>
      <c r="T79">
        <f>IF(Wizards!$A$18="","",IF(OR(ISNUMBER(SEARCH(", "&amp;$B79&amp;", ", ", "&amp;INDEX('Form Responses'!$I$1:$Q$200,18,$A79)&amp;", ")),ISNUMBER(SEARCH(", "&amp;$B79&amp;", ", ", "&amp;INDEX('Form Responses'!$R$1:$R$200,18)&amp;", "))),1,""))</f>
        <v/>
      </c>
      <c r="U79">
        <f>IF(Wizards!$A$19="","",IF(OR(ISNUMBER(SEARCH(", "&amp;$B79&amp;", ", ", "&amp;INDEX('Form Responses'!$I$1:$Q$200,19,$A79)&amp;", ")),ISNUMBER(SEARCH(", "&amp;$B79&amp;", ", ", "&amp;INDEX('Form Responses'!$R$1:$R$200,19)&amp;", "))),1,""))</f>
        <v/>
      </c>
      <c r="V79">
        <f>IF(Wizards!$A$20="","",IF(OR(ISNUMBER(SEARCH(", "&amp;$B79&amp;", ", ", "&amp;INDEX('Form Responses'!$I$1:$Q$200,20,$A79)&amp;", ")),ISNUMBER(SEARCH(", "&amp;$B79&amp;", ", ", "&amp;INDEX('Form Responses'!$R$1:$R$200,20)&amp;", "))),1,""))</f>
        <v/>
      </c>
      <c r="W79">
        <f>IF(Wizards!$A$21="","",IF(OR(ISNUMBER(SEARCH(", "&amp;$B79&amp;", ", ", "&amp;INDEX('Form Responses'!$I$1:$Q$200,21,$A79)&amp;", ")),ISNUMBER(SEARCH(", "&amp;$B79&amp;", ", ", "&amp;INDEX('Form Responses'!$R$1:$R$200,21)&amp;", "))),1,""))</f>
        <v/>
      </c>
      <c r="X79">
        <f>IF(Wizards!$A$22="","",IF(OR(ISNUMBER(SEARCH(", "&amp;$B79&amp;", ", ", "&amp;INDEX('Form Responses'!$I$1:$Q$200,22,$A79)&amp;", ")),ISNUMBER(SEARCH(", "&amp;$B79&amp;", ", ", "&amp;INDEX('Form Responses'!$R$1:$R$200,22)&amp;", "))),1,""))</f>
        <v/>
      </c>
      <c r="Y79">
        <f>IF(Wizards!$A$23="","",IF(OR(ISNUMBER(SEARCH(", "&amp;$B79&amp;", ", ", "&amp;INDEX('Form Responses'!$I$1:$Q$200,23,$A79)&amp;", ")),ISNUMBER(SEARCH(", "&amp;$B79&amp;", ", ", "&amp;INDEX('Form Responses'!$R$1:$R$200,23)&amp;", "))),1,""))</f>
        <v/>
      </c>
      <c r="Z79">
        <f>IF(Wizards!$A$24="","",IF(OR(ISNUMBER(SEARCH(", "&amp;$B79&amp;", ", ", "&amp;INDEX('Form Responses'!$I$1:$Q$200,24,$A79)&amp;", ")),ISNUMBER(SEARCH(", "&amp;$B79&amp;", ", ", "&amp;INDEX('Form Responses'!$R$1:$R$200,24)&amp;", "))),1,""))</f>
        <v/>
      </c>
      <c r="AA79">
        <f>IF(Wizards!$A$25="","",IF(OR(ISNUMBER(SEARCH(", "&amp;$B79&amp;", ", ", "&amp;INDEX('Form Responses'!$I$1:$Q$200,25,$A79)&amp;", ")),ISNUMBER(SEARCH(", "&amp;$B79&amp;", ", ", "&amp;INDEX('Form Responses'!$R$1:$R$200,25)&amp;", "))),1,""))</f>
        <v/>
      </c>
      <c r="AB79">
        <f>IF(D79=1,", "&amp;D$1,"")</f>
        <v/>
      </c>
      <c r="AC79">
        <f>IF(E79=1,", "&amp;E$1,"")</f>
        <v/>
      </c>
      <c r="AD79">
        <f>IF(F79=1,", "&amp;F$1,"")</f>
        <v/>
      </c>
      <c r="AE79">
        <f>IF(G79=1,", "&amp;G$1,"")</f>
        <v/>
      </c>
      <c r="AF79">
        <f>IF(H79=1,", "&amp;H$1,"")</f>
        <v/>
      </c>
      <c r="AG79">
        <f>IF(I79=1,", "&amp;I$1,"")</f>
        <v/>
      </c>
      <c r="AH79">
        <f>IF(J79=1,", "&amp;J$1,"")</f>
        <v/>
      </c>
      <c r="AI79">
        <f>IF(K79=1,", "&amp;K$1,"")</f>
        <v/>
      </c>
      <c r="AJ79">
        <f>IF(L79=1,", "&amp;L$1,"")</f>
        <v/>
      </c>
      <c r="AK79">
        <f>IF(M79=1,", "&amp;M$1,"")</f>
        <v/>
      </c>
      <c r="AL79">
        <f>IF(N79=1,", "&amp;N$1,"")</f>
        <v/>
      </c>
      <c r="AM79">
        <f>IF(O79=1,", "&amp;O$1,"")</f>
        <v/>
      </c>
      <c r="AN79">
        <f>IF(P79=1,", "&amp;P$1,"")</f>
        <v/>
      </c>
      <c r="AO79">
        <f>IF(Q79=1,", "&amp;Q$1,"")</f>
        <v/>
      </c>
      <c r="AP79">
        <f>IF(R79=1,", "&amp;R$1,"")</f>
        <v/>
      </c>
      <c r="AQ79">
        <f>IF(S79=1,", "&amp;S$1,"")</f>
        <v/>
      </c>
      <c r="AR79">
        <f>IF(T79=1,", "&amp;T$1,"")</f>
        <v/>
      </c>
      <c r="AS79">
        <f>IF(U79=1,", "&amp;U$1,"")</f>
        <v/>
      </c>
      <c r="AT79">
        <f>IF(V79=1,", "&amp;V$1,"")</f>
        <v/>
      </c>
      <c r="AU79">
        <f>IF(W79=1,", "&amp;W$1,"")</f>
        <v/>
      </c>
      <c r="AV79">
        <f>IF(X79=1,", "&amp;X$1,"")</f>
        <v/>
      </c>
      <c r="AW79">
        <f>IF(Y79=1,", "&amp;Y$1,"")</f>
        <v/>
      </c>
      <c r="AX79">
        <f>IF(Z79=1,", "&amp;Z$1,"")</f>
        <v/>
      </c>
      <c r="AY79">
        <f>IF(AA79=1,", "&amp;AA$1,"")</f>
        <v/>
      </c>
      <c r="AZ79">
        <f>MID($AB79&amp;$AC79&amp;$AD79&amp;$AE79&amp;$AF79&amp;$AG79&amp;$AH79&amp;$AI79&amp;$AJ79&amp;$AK79&amp;$AL79&amp;$AM79&amp;$AN79&amp;$AO79&amp;$AP79&amp;$AQ79&amp;$AR79&amp;$AS79&amp;$AT79&amp;$AU79&amp;$AV79&amp;$AW79&amp;$AX79&amp;$AY79,3,32767)</f>
        <v/>
      </c>
      <c r="BA79">
        <f>COUNT($D79:$AA79)</f>
        <v/>
      </c>
    </row>
    <row r="80">
      <c r="A80" t="n">
        <v>2</v>
      </c>
      <c r="B80" t="inlineStr">
        <is>
          <t>Mind Spike</t>
        </is>
      </c>
      <c r="C80" t="inlineStr">
        <is>
          <t>Divination</t>
        </is>
      </c>
      <c r="D80">
        <f>IF(Wizards!$A$2="","",IF(OR(ISNUMBER(SEARCH(", "&amp;$B80&amp;", ", ", "&amp;INDEX('Form Responses'!$I$1:$Q$200,2,$A80)&amp;", ")),ISNUMBER(SEARCH(", "&amp;$B80&amp;", ", ", "&amp;INDEX('Form Responses'!$R$1:$R$200,2)&amp;", "))),1,""))</f>
        <v/>
      </c>
      <c r="E80">
        <f>IF(Wizards!$A$3="","",IF(OR(ISNUMBER(SEARCH(", "&amp;$B80&amp;", ", ", "&amp;INDEX('Form Responses'!$I$1:$Q$200,3,$A80)&amp;", ")),ISNUMBER(SEARCH(", "&amp;$B80&amp;", ", ", "&amp;INDEX('Form Responses'!$R$1:$R$200,3)&amp;", "))),1,""))</f>
        <v/>
      </c>
      <c r="F80">
        <f>IF(Wizards!$A$4="","",IF(OR(ISNUMBER(SEARCH(", "&amp;$B80&amp;", ", ", "&amp;INDEX('Form Responses'!$I$1:$Q$200,4,$A80)&amp;", ")),ISNUMBER(SEARCH(", "&amp;$B80&amp;", ", ", "&amp;INDEX('Form Responses'!$R$1:$R$200,4)&amp;", "))),1,""))</f>
        <v/>
      </c>
      <c r="G80">
        <f>IF(Wizards!$A$5="","",IF(OR(ISNUMBER(SEARCH(", "&amp;$B80&amp;", ", ", "&amp;INDEX('Form Responses'!$I$1:$Q$200,5,$A80)&amp;", ")),ISNUMBER(SEARCH(", "&amp;$B80&amp;", ", ", "&amp;INDEX('Form Responses'!$R$1:$R$200,5)&amp;", "))),1,""))</f>
        <v/>
      </c>
      <c r="H80">
        <f>IF(Wizards!$A$6="","",IF(OR(ISNUMBER(SEARCH(", "&amp;$B80&amp;", ", ", "&amp;INDEX('Form Responses'!$I$1:$Q$200,6,$A80)&amp;", ")),ISNUMBER(SEARCH(", "&amp;$B80&amp;", ", ", "&amp;INDEX('Form Responses'!$R$1:$R$200,6)&amp;", "))),1,""))</f>
        <v/>
      </c>
      <c r="I80">
        <f>IF(Wizards!$A$7="","",IF(OR(ISNUMBER(SEARCH(", "&amp;$B80&amp;", ", ", "&amp;INDEX('Form Responses'!$I$1:$Q$200,7,$A80)&amp;", ")),ISNUMBER(SEARCH(", "&amp;$B80&amp;", ", ", "&amp;INDEX('Form Responses'!$R$1:$R$200,7)&amp;", "))),1,""))</f>
        <v/>
      </c>
      <c r="J80">
        <f>IF(Wizards!$A$8="","",IF(OR(ISNUMBER(SEARCH(", "&amp;$B80&amp;", ", ", "&amp;INDEX('Form Responses'!$I$1:$Q$200,8,$A80)&amp;", ")),ISNUMBER(SEARCH(", "&amp;$B80&amp;", ", ", "&amp;INDEX('Form Responses'!$R$1:$R$200,8)&amp;", "))),1,""))</f>
        <v/>
      </c>
      <c r="K80">
        <f>IF(Wizards!$A$9="","",IF(OR(ISNUMBER(SEARCH(", "&amp;$B80&amp;", ", ", "&amp;INDEX('Form Responses'!$I$1:$Q$200,9,$A80)&amp;", ")),ISNUMBER(SEARCH(", "&amp;$B80&amp;", ", ", "&amp;INDEX('Form Responses'!$R$1:$R$200,9)&amp;", "))),1,""))</f>
        <v/>
      </c>
      <c r="L80">
        <f>IF(Wizards!$A$10="","",IF(OR(ISNUMBER(SEARCH(", "&amp;$B80&amp;", ", ", "&amp;INDEX('Form Responses'!$I$1:$Q$200,10,$A80)&amp;", ")),ISNUMBER(SEARCH(", "&amp;$B80&amp;", ", ", "&amp;INDEX('Form Responses'!$R$1:$R$200,10)&amp;", "))),1,""))</f>
        <v/>
      </c>
      <c r="M80">
        <f>IF(Wizards!$A$11="","",IF(OR(ISNUMBER(SEARCH(", "&amp;$B80&amp;", ", ", "&amp;INDEX('Form Responses'!$I$1:$Q$200,11,$A80)&amp;", ")),ISNUMBER(SEARCH(", "&amp;$B80&amp;", ", ", "&amp;INDEX('Form Responses'!$R$1:$R$200,11)&amp;", "))),1,""))</f>
        <v/>
      </c>
      <c r="N80">
        <f>IF(Wizards!$A$12="","",IF(OR(ISNUMBER(SEARCH(", "&amp;$B80&amp;", ", ", "&amp;INDEX('Form Responses'!$I$1:$Q$200,12,$A80)&amp;", ")),ISNUMBER(SEARCH(", "&amp;$B80&amp;", ", ", "&amp;INDEX('Form Responses'!$R$1:$R$200,12)&amp;", "))),1,""))</f>
        <v/>
      </c>
      <c r="O80">
        <f>IF(Wizards!$A$13="","",IF(OR(ISNUMBER(SEARCH(", "&amp;$B80&amp;", ", ", "&amp;INDEX('Form Responses'!$I$1:$Q$200,13,$A80)&amp;", ")),ISNUMBER(SEARCH(", "&amp;$B80&amp;", ", ", "&amp;INDEX('Form Responses'!$R$1:$R$200,13)&amp;", "))),1,""))</f>
        <v/>
      </c>
      <c r="P80">
        <f>IF(Wizards!$A$14="","",IF(OR(ISNUMBER(SEARCH(", "&amp;$B80&amp;", ", ", "&amp;INDEX('Form Responses'!$I$1:$Q$200,14,$A80)&amp;", ")),ISNUMBER(SEARCH(", "&amp;$B80&amp;", ", ", "&amp;INDEX('Form Responses'!$R$1:$R$200,14)&amp;", "))),1,""))</f>
        <v/>
      </c>
      <c r="Q80">
        <f>IF(Wizards!$A$15="","",IF(OR(ISNUMBER(SEARCH(", "&amp;$B80&amp;", ", ", "&amp;INDEX('Form Responses'!$I$1:$Q$200,15,$A80)&amp;", ")),ISNUMBER(SEARCH(", "&amp;$B80&amp;", ", ", "&amp;INDEX('Form Responses'!$R$1:$R$200,15)&amp;", "))),1,""))</f>
        <v/>
      </c>
      <c r="R80">
        <f>IF(Wizards!$A$16="","",IF(OR(ISNUMBER(SEARCH(", "&amp;$B80&amp;", ", ", "&amp;INDEX('Form Responses'!$I$1:$Q$200,16,$A80)&amp;", ")),ISNUMBER(SEARCH(", "&amp;$B80&amp;", ", ", "&amp;INDEX('Form Responses'!$R$1:$R$200,16)&amp;", "))),1,""))</f>
        <v/>
      </c>
      <c r="S80">
        <f>IF(Wizards!$A$17="","",IF(OR(ISNUMBER(SEARCH(", "&amp;$B80&amp;", ", ", "&amp;INDEX('Form Responses'!$I$1:$Q$200,17,$A80)&amp;", ")),ISNUMBER(SEARCH(", "&amp;$B80&amp;", ", ", "&amp;INDEX('Form Responses'!$R$1:$R$200,17)&amp;", "))),1,""))</f>
        <v/>
      </c>
      <c r="T80">
        <f>IF(Wizards!$A$18="","",IF(OR(ISNUMBER(SEARCH(", "&amp;$B80&amp;", ", ", "&amp;INDEX('Form Responses'!$I$1:$Q$200,18,$A80)&amp;", ")),ISNUMBER(SEARCH(", "&amp;$B80&amp;", ", ", "&amp;INDEX('Form Responses'!$R$1:$R$200,18)&amp;", "))),1,""))</f>
        <v/>
      </c>
      <c r="U80">
        <f>IF(Wizards!$A$19="","",IF(OR(ISNUMBER(SEARCH(", "&amp;$B80&amp;", ", ", "&amp;INDEX('Form Responses'!$I$1:$Q$200,19,$A80)&amp;", ")),ISNUMBER(SEARCH(", "&amp;$B80&amp;", ", ", "&amp;INDEX('Form Responses'!$R$1:$R$200,19)&amp;", "))),1,""))</f>
        <v/>
      </c>
      <c r="V80">
        <f>IF(Wizards!$A$20="","",IF(OR(ISNUMBER(SEARCH(", "&amp;$B80&amp;", ", ", "&amp;INDEX('Form Responses'!$I$1:$Q$200,20,$A80)&amp;", ")),ISNUMBER(SEARCH(", "&amp;$B80&amp;", ", ", "&amp;INDEX('Form Responses'!$R$1:$R$200,20)&amp;", "))),1,""))</f>
        <v/>
      </c>
      <c r="W80">
        <f>IF(Wizards!$A$21="","",IF(OR(ISNUMBER(SEARCH(", "&amp;$B80&amp;", ", ", "&amp;INDEX('Form Responses'!$I$1:$Q$200,21,$A80)&amp;", ")),ISNUMBER(SEARCH(", "&amp;$B80&amp;", ", ", "&amp;INDEX('Form Responses'!$R$1:$R$200,21)&amp;", "))),1,""))</f>
        <v/>
      </c>
      <c r="X80">
        <f>IF(Wizards!$A$22="","",IF(OR(ISNUMBER(SEARCH(", "&amp;$B80&amp;", ", ", "&amp;INDEX('Form Responses'!$I$1:$Q$200,22,$A80)&amp;", ")),ISNUMBER(SEARCH(", "&amp;$B80&amp;", ", ", "&amp;INDEX('Form Responses'!$R$1:$R$200,22)&amp;", "))),1,""))</f>
        <v/>
      </c>
      <c r="Y80">
        <f>IF(Wizards!$A$23="","",IF(OR(ISNUMBER(SEARCH(", "&amp;$B80&amp;", ", ", "&amp;INDEX('Form Responses'!$I$1:$Q$200,23,$A80)&amp;", ")),ISNUMBER(SEARCH(", "&amp;$B80&amp;", ", ", "&amp;INDEX('Form Responses'!$R$1:$R$200,23)&amp;", "))),1,""))</f>
        <v/>
      </c>
      <c r="Z80">
        <f>IF(Wizards!$A$24="","",IF(OR(ISNUMBER(SEARCH(", "&amp;$B80&amp;", ", ", "&amp;INDEX('Form Responses'!$I$1:$Q$200,24,$A80)&amp;", ")),ISNUMBER(SEARCH(", "&amp;$B80&amp;", ", ", "&amp;INDEX('Form Responses'!$R$1:$R$200,24)&amp;", "))),1,""))</f>
        <v/>
      </c>
      <c r="AA80">
        <f>IF(Wizards!$A$25="","",IF(OR(ISNUMBER(SEARCH(", "&amp;$B80&amp;", ", ", "&amp;INDEX('Form Responses'!$I$1:$Q$200,25,$A80)&amp;", ")),ISNUMBER(SEARCH(", "&amp;$B80&amp;", ", ", "&amp;INDEX('Form Responses'!$R$1:$R$200,25)&amp;", "))),1,""))</f>
        <v/>
      </c>
      <c r="AB80">
        <f>IF(D80=1,", "&amp;D$1,"")</f>
        <v/>
      </c>
      <c r="AC80">
        <f>IF(E80=1,", "&amp;E$1,"")</f>
        <v/>
      </c>
      <c r="AD80">
        <f>IF(F80=1,", "&amp;F$1,"")</f>
        <v/>
      </c>
      <c r="AE80">
        <f>IF(G80=1,", "&amp;G$1,"")</f>
        <v/>
      </c>
      <c r="AF80">
        <f>IF(H80=1,", "&amp;H$1,"")</f>
        <v/>
      </c>
      <c r="AG80">
        <f>IF(I80=1,", "&amp;I$1,"")</f>
        <v/>
      </c>
      <c r="AH80">
        <f>IF(J80=1,", "&amp;J$1,"")</f>
        <v/>
      </c>
      <c r="AI80">
        <f>IF(K80=1,", "&amp;K$1,"")</f>
        <v/>
      </c>
      <c r="AJ80">
        <f>IF(L80=1,", "&amp;L$1,"")</f>
        <v/>
      </c>
      <c r="AK80">
        <f>IF(M80=1,", "&amp;M$1,"")</f>
        <v/>
      </c>
      <c r="AL80">
        <f>IF(N80=1,", "&amp;N$1,"")</f>
        <v/>
      </c>
      <c r="AM80">
        <f>IF(O80=1,", "&amp;O$1,"")</f>
        <v/>
      </c>
      <c r="AN80">
        <f>IF(P80=1,", "&amp;P$1,"")</f>
        <v/>
      </c>
      <c r="AO80">
        <f>IF(Q80=1,", "&amp;Q$1,"")</f>
        <v/>
      </c>
      <c r="AP80">
        <f>IF(R80=1,", "&amp;R$1,"")</f>
        <v/>
      </c>
      <c r="AQ80">
        <f>IF(S80=1,", "&amp;S$1,"")</f>
        <v/>
      </c>
      <c r="AR80">
        <f>IF(T80=1,", "&amp;T$1,"")</f>
        <v/>
      </c>
      <c r="AS80">
        <f>IF(U80=1,", "&amp;U$1,"")</f>
        <v/>
      </c>
      <c r="AT80">
        <f>IF(V80=1,", "&amp;V$1,"")</f>
        <v/>
      </c>
      <c r="AU80">
        <f>IF(W80=1,", "&amp;W$1,"")</f>
        <v/>
      </c>
      <c r="AV80">
        <f>IF(X80=1,", "&amp;X$1,"")</f>
        <v/>
      </c>
      <c r="AW80">
        <f>IF(Y80=1,", "&amp;Y$1,"")</f>
        <v/>
      </c>
      <c r="AX80">
        <f>IF(Z80=1,", "&amp;Z$1,"")</f>
        <v/>
      </c>
      <c r="AY80">
        <f>IF(AA80=1,", "&amp;AA$1,"")</f>
        <v/>
      </c>
      <c r="AZ80">
        <f>MID($AB80&amp;$AC80&amp;$AD80&amp;$AE80&amp;$AF80&amp;$AG80&amp;$AH80&amp;$AI80&amp;$AJ80&amp;$AK80&amp;$AL80&amp;$AM80&amp;$AN80&amp;$AO80&amp;$AP80&amp;$AQ80&amp;$AR80&amp;$AS80&amp;$AT80&amp;$AU80&amp;$AV80&amp;$AW80&amp;$AX80&amp;$AY80,3,32767)</f>
        <v/>
      </c>
      <c r="BA80">
        <f>COUNT($D80:$AA80)</f>
        <v/>
      </c>
    </row>
    <row r="81">
      <c r="A81" t="n">
        <v>2</v>
      </c>
      <c r="B81" t="inlineStr">
        <is>
          <t>Mirror Image</t>
        </is>
      </c>
      <c r="C81" t="inlineStr">
        <is>
          <t>Illusion</t>
        </is>
      </c>
      <c r="D81">
        <f>IF(Wizards!$A$2="","",IF(OR(ISNUMBER(SEARCH(", "&amp;$B81&amp;", ", ", "&amp;INDEX('Form Responses'!$I$1:$Q$200,2,$A81)&amp;", ")),ISNUMBER(SEARCH(", "&amp;$B81&amp;", ", ", "&amp;INDEX('Form Responses'!$R$1:$R$200,2)&amp;", "))),1,""))</f>
        <v/>
      </c>
      <c r="E81">
        <f>IF(Wizards!$A$3="","",IF(OR(ISNUMBER(SEARCH(", "&amp;$B81&amp;", ", ", "&amp;INDEX('Form Responses'!$I$1:$Q$200,3,$A81)&amp;", ")),ISNUMBER(SEARCH(", "&amp;$B81&amp;", ", ", "&amp;INDEX('Form Responses'!$R$1:$R$200,3)&amp;", "))),1,""))</f>
        <v/>
      </c>
      <c r="F81">
        <f>IF(Wizards!$A$4="","",IF(OR(ISNUMBER(SEARCH(", "&amp;$B81&amp;", ", ", "&amp;INDEX('Form Responses'!$I$1:$Q$200,4,$A81)&amp;", ")),ISNUMBER(SEARCH(", "&amp;$B81&amp;", ", ", "&amp;INDEX('Form Responses'!$R$1:$R$200,4)&amp;", "))),1,""))</f>
        <v/>
      </c>
      <c r="G81">
        <f>IF(Wizards!$A$5="","",IF(OR(ISNUMBER(SEARCH(", "&amp;$B81&amp;", ", ", "&amp;INDEX('Form Responses'!$I$1:$Q$200,5,$A81)&amp;", ")),ISNUMBER(SEARCH(", "&amp;$B81&amp;", ", ", "&amp;INDEX('Form Responses'!$R$1:$R$200,5)&amp;", "))),1,""))</f>
        <v/>
      </c>
      <c r="H81">
        <f>IF(Wizards!$A$6="","",IF(OR(ISNUMBER(SEARCH(", "&amp;$B81&amp;", ", ", "&amp;INDEX('Form Responses'!$I$1:$Q$200,6,$A81)&amp;", ")),ISNUMBER(SEARCH(", "&amp;$B81&amp;", ", ", "&amp;INDEX('Form Responses'!$R$1:$R$200,6)&amp;", "))),1,""))</f>
        <v/>
      </c>
      <c r="I81">
        <f>IF(Wizards!$A$7="","",IF(OR(ISNUMBER(SEARCH(", "&amp;$B81&amp;", ", ", "&amp;INDEX('Form Responses'!$I$1:$Q$200,7,$A81)&amp;", ")),ISNUMBER(SEARCH(", "&amp;$B81&amp;", ", ", "&amp;INDEX('Form Responses'!$R$1:$R$200,7)&amp;", "))),1,""))</f>
        <v/>
      </c>
      <c r="J81">
        <f>IF(Wizards!$A$8="","",IF(OR(ISNUMBER(SEARCH(", "&amp;$B81&amp;", ", ", "&amp;INDEX('Form Responses'!$I$1:$Q$200,8,$A81)&amp;", ")),ISNUMBER(SEARCH(", "&amp;$B81&amp;", ", ", "&amp;INDEX('Form Responses'!$R$1:$R$200,8)&amp;", "))),1,""))</f>
        <v/>
      </c>
      <c r="K81">
        <f>IF(Wizards!$A$9="","",IF(OR(ISNUMBER(SEARCH(", "&amp;$B81&amp;", ", ", "&amp;INDEX('Form Responses'!$I$1:$Q$200,9,$A81)&amp;", ")),ISNUMBER(SEARCH(", "&amp;$B81&amp;", ", ", "&amp;INDEX('Form Responses'!$R$1:$R$200,9)&amp;", "))),1,""))</f>
        <v/>
      </c>
      <c r="L81">
        <f>IF(Wizards!$A$10="","",IF(OR(ISNUMBER(SEARCH(", "&amp;$B81&amp;", ", ", "&amp;INDEX('Form Responses'!$I$1:$Q$200,10,$A81)&amp;", ")),ISNUMBER(SEARCH(", "&amp;$B81&amp;", ", ", "&amp;INDEX('Form Responses'!$R$1:$R$200,10)&amp;", "))),1,""))</f>
        <v/>
      </c>
      <c r="M81">
        <f>IF(Wizards!$A$11="","",IF(OR(ISNUMBER(SEARCH(", "&amp;$B81&amp;", ", ", "&amp;INDEX('Form Responses'!$I$1:$Q$200,11,$A81)&amp;", ")),ISNUMBER(SEARCH(", "&amp;$B81&amp;", ", ", "&amp;INDEX('Form Responses'!$R$1:$R$200,11)&amp;", "))),1,""))</f>
        <v/>
      </c>
      <c r="N81">
        <f>IF(Wizards!$A$12="","",IF(OR(ISNUMBER(SEARCH(", "&amp;$B81&amp;", ", ", "&amp;INDEX('Form Responses'!$I$1:$Q$200,12,$A81)&amp;", ")),ISNUMBER(SEARCH(", "&amp;$B81&amp;", ", ", "&amp;INDEX('Form Responses'!$R$1:$R$200,12)&amp;", "))),1,""))</f>
        <v/>
      </c>
      <c r="O81">
        <f>IF(Wizards!$A$13="","",IF(OR(ISNUMBER(SEARCH(", "&amp;$B81&amp;", ", ", "&amp;INDEX('Form Responses'!$I$1:$Q$200,13,$A81)&amp;", ")),ISNUMBER(SEARCH(", "&amp;$B81&amp;", ", ", "&amp;INDEX('Form Responses'!$R$1:$R$200,13)&amp;", "))),1,""))</f>
        <v/>
      </c>
      <c r="P81">
        <f>IF(Wizards!$A$14="","",IF(OR(ISNUMBER(SEARCH(", "&amp;$B81&amp;", ", ", "&amp;INDEX('Form Responses'!$I$1:$Q$200,14,$A81)&amp;", ")),ISNUMBER(SEARCH(", "&amp;$B81&amp;", ", ", "&amp;INDEX('Form Responses'!$R$1:$R$200,14)&amp;", "))),1,""))</f>
        <v/>
      </c>
      <c r="Q81">
        <f>IF(Wizards!$A$15="","",IF(OR(ISNUMBER(SEARCH(", "&amp;$B81&amp;", ", ", "&amp;INDEX('Form Responses'!$I$1:$Q$200,15,$A81)&amp;", ")),ISNUMBER(SEARCH(", "&amp;$B81&amp;", ", ", "&amp;INDEX('Form Responses'!$R$1:$R$200,15)&amp;", "))),1,""))</f>
        <v/>
      </c>
      <c r="R81">
        <f>IF(Wizards!$A$16="","",IF(OR(ISNUMBER(SEARCH(", "&amp;$B81&amp;", ", ", "&amp;INDEX('Form Responses'!$I$1:$Q$200,16,$A81)&amp;", ")),ISNUMBER(SEARCH(", "&amp;$B81&amp;", ", ", "&amp;INDEX('Form Responses'!$R$1:$R$200,16)&amp;", "))),1,""))</f>
        <v/>
      </c>
      <c r="S81">
        <f>IF(Wizards!$A$17="","",IF(OR(ISNUMBER(SEARCH(", "&amp;$B81&amp;", ", ", "&amp;INDEX('Form Responses'!$I$1:$Q$200,17,$A81)&amp;", ")),ISNUMBER(SEARCH(", "&amp;$B81&amp;", ", ", "&amp;INDEX('Form Responses'!$R$1:$R$200,17)&amp;", "))),1,""))</f>
        <v/>
      </c>
      <c r="T81">
        <f>IF(Wizards!$A$18="","",IF(OR(ISNUMBER(SEARCH(", "&amp;$B81&amp;", ", ", "&amp;INDEX('Form Responses'!$I$1:$Q$200,18,$A81)&amp;", ")),ISNUMBER(SEARCH(", "&amp;$B81&amp;", ", ", "&amp;INDEX('Form Responses'!$R$1:$R$200,18)&amp;", "))),1,""))</f>
        <v/>
      </c>
      <c r="U81">
        <f>IF(Wizards!$A$19="","",IF(OR(ISNUMBER(SEARCH(", "&amp;$B81&amp;", ", ", "&amp;INDEX('Form Responses'!$I$1:$Q$200,19,$A81)&amp;", ")),ISNUMBER(SEARCH(", "&amp;$B81&amp;", ", ", "&amp;INDEX('Form Responses'!$R$1:$R$200,19)&amp;", "))),1,""))</f>
        <v/>
      </c>
      <c r="V81">
        <f>IF(Wizards!$A$20="","",IF(OR(ISNUMBER(SEARCH(", "&amp;$B81&amp;", ", ", "&amp;INDEX('Form Responses'!$I$1:$Q$200,20,$A81)&amp;", ")),ISNUMBER(SEARCH(", "&amp;$B81&amp;", ", ", "&amp;INDEX('Form Responses'!$R$1:$R$200,20)&amp;", "))),1,""))</f>
        <v/>
      </c>
      <c r="W81">
        <f>IF(Wizards!$A$21="","",IF(OR(ISNUMBER(SEARCH(", "&amp;$B81&amp;", ", ", "&amp;INDEX('Form Responses'!$I$1:$Q$200,21,$A81)&amp;", ")),ISNUMBER(SEARCH(", "&amp;$B81&amp;", ", ", "&amp;INDEX('Form Responses'!$R$1:$R$200,21)&amp;", "))),1,""))</f>
        <v/>
      </c>
      <c r="X81">
        <f>IF(Wizards!$A$22="","",IF(OR(ISNUMBER(SEARCH(", "&amp;$B81&amp;", ", ", "&amp;INDEX('Form Responses'!$I$1:$Q$200,22,$A81)&amp;", ")),ISNUMBER(SEARCH(", "&amp;$B81&amp;", ", ", "&amp;INDEX('Form Responses'!$R$1:$R$200,22)&amp;", "))),1,""))</f>
        <v/>
      </c>
      <c r="Y81">
        <f>IF(Wizards!$A$23="","",IF(OR(ISNUMBER(SEARCH(", "&amp;$B81&amp;", ", ", "&amp;INDEX('Form Responses'!$I$1:$Q$200,23,$A81)&amp;", ")),ISNUMBER(SEARCH(", "&amp;$B81&amp;", ", ", "&amp;INDEX('Form Responses'!$R$1:$R$200,23)&amp;", "))),1,""))</f>
        <v/>
      </c>
      <c r="Z81">
        <f>IF(Wizards!$A$24="","",IF(OR(ISNUMBER(SEARCH(", "&amp;$B81&amp;", ", ", "&amp;INDEX('Form Responses'!$I$1:$Q$200,24,$A81)&amp;", ")),ISNUMBER(SEARCH(", "&amp;$B81&amp;", ", ", "&amp;INDEX('Form Responses'!$R$1:$R$200,24)&amp;", "))),1,""))</f>
        <v/>
      </c>
      <c r="AA81">
        <f>IF(Wizards!$A$25="","",IF(OR(ISNUMBER(SEARCH(", "&amp;$B81&amp;", ", ", "&amp;INDEX('Form Responses'!$I$1:$Q$200,25,$A81)&amp;", ")),ISNUMBER(SEARCH(", "&amp;$B81&amp;", ", ", "&amp;INDEX('Form Responses'!$R$1:$R$200,25)&amp;", "))),1,""))</f>
        <v/>
      </c>
      <c r="AB81">
        <f>IF(D81=1,", "&amp;D$1,"")</f>
        <v/>
      </c>
      <c r="AC81">
        <f>IF(E81=1,", "&amp;E$1,"")</f>
        <v/>
      </c>
      <c r="AD81">
        <f>IF(F81=1,", "&amp;F$1,"")</f>
        <v/>
      </c>
      <c r="AE81">
        <f>IF(G81=1,", "&amp;G$1,"")</f>
        <v/>
      </c>
      <c r="AF81">
        <f>IF(H81=1,", "&amp;H$1,"")</f>
        <v/>
      </c>
      <c r="AG81">
        <f>IF(I81=1,", "&amp;I$1,"")</f>
        <v/>
      </c>
      <c r="AH81">
        <f>IF(J81=1,", "&amp;J$1,"")</f>
        <v/>
      </c>
      <c r="AI81">
        <f>IF(K81=1,", "&amp;K$1,"")</f>
        <v/>
      </c>
      <c r="AJ81">
        <f>IF(L81=1,", "&amp;L$1,"")</f>
        <v/>
      </c>
      <c r="AK81">
        <f>IF(M81=1,", "&amp;M$1,"")</f>
        <v/>
      </c>
      <c r="AL81">
        <f>IF(N81=1,", "&amp;N$1,"")</f>
        <v/>
      </c>
      <c r="AM81">
        <f>IF(O81=1,", "&amp;O$1,"")</f>
        <v/>
      </c>
      <c r="AN81">
        <f>IF(P81=1,", "&amp;P$1,"")</f>
        <v/>
      </c>
      <c r="AO81">
        <f>IF(Q81=1,", "&amp;Q$1,"")</f>
        <v/>
      </c>
      <c r="AP81">
        <f>IF(R81=1,", "&amp;R$1,"")</f>
        <v/>
      </c>
      <c r="AQ81">
        <f>IF(S81=1,", "&amp;S$1,"")</f>
        <v/>
      </c>
      <c r="AR81">
        <f>IF(T81=1,", "&amp;T$1,"")</f>
        <v/>
      </c>
      <c r="AS81">
        <f>IF(U81=1,", "&amp;U$1,"")</f>
        <v/>
      </c>
      <c r="AT81">
        <f>IF(V81=1,", "&amp;V$1,"")</f>
        <v/>
      </c>
      <c r="AU81">
        <f>IF(W81=1,", "&amp;W$1,"")</f>
        <v/>
      </c>
      <c r="AV81">
        <f>IF(X81=1,", "&amp;X$1,"")</f>
        <v/>
      </c>
      <c r="AW81">
        <f>IF(Y81=1,", "&amp;Y$1,"")</f>
        <v/>
      </c>
      <c r="AX81">
        <f>IF(Z81=1,", "&amp;Z$1,"")</f>
        <v/>
      </c>
      <c r="AY81">
        <f>IF(AA81=1,", "&amp;AA$1,"")</f>
        <v/>
      </c>
      <c r="AZ81">
        <f>MID($AB81&amp;$AC81&amp;$AD81&amp;$AE81&amp;$AF81&amp;$AG81&amp;$AH81&amp;$AI81&amp;$AJ81&amp;$AK81&amp;$AL81&amp;$AM81&amp;$AN81&amp;$AO81&amp;$AP81&amp;$AQ81&amp;$AR81&amp;$AS81&amp;$AT81&amp;$AU81&amp;$AV81&amp;$AW81&amp;$AX81&amp;$AY81,3,32767)</f>
        <v/>
      </c>
      <c r="BA81">
        <f>COUNT($D81:$AA81)</f>
        <v/>
      </c>
    </row>
    <row r="82">
      <c r="A82" t="n">
        <v>2</v>
      </c>
      <c r="B82" t="inlineStr">
        <is>
          <t>Misty Step</t>
        </is>
      </c>
      <c r="C82" t="inlineStr">
        <is>
          <t>Conjuration</t>
        </is>
      </c>
      <c r="D82">
        <f>IF(Wizards!$A$2="","",IF(OR(ISNUMBER(SEARCH(", "&amp;$B82&amp;", ", ", "&amp;INDEX('Form Responses'!$I$1:$Q$200,2,$A82)&amp;", ")),ISNUMBER(SEARCH(", "&amp;$B82&amp;", ", ", "&amp;INDEX('Form Responses'!$R$1:$R$200,2)&amp;", "))),1,""))</f>
        <v/>
      </c>
      <c r="E82">
        <f>IF(Wizards!$A$3="","",IF(OR(ISNUMBER(SEARCH(", "&amp;$B82&amp;", ", ", "&amp;INDEX('Form Responses'!$I$1:$Q$200,3,$A82)&amp;", ")),ISNUMBER(SEARCH(", "&amp;$B82&amp;", ", ", "&amp;INDEX('Form Responses'!$R$1:$R$200,3)&amp;", "))),1,""))</f>
        <v/>
      </c>
      <c r="F82">
        <f>IF(Wizards!$A$4="","",IF(OR(ISNUMBER(SEARCH(", "&amp;$B82&amp;", ", ", "&amp;INDEX('Form Responses'!$I$1:$Q$200,4,$A82)&amp;", ")),ISNUMBER(SEARCH(", "&amp;$B82&amp;", ", ", "&amp;INDEX('Form Responses'!$R$1:$R$200,4)&amp;", "))),1,""))</f>
        <v/>
      </c>
      <c r="G82">
        <f>IF(Wizards!$A$5="","",IF(OR(ISNUMBER(SEARCH(", "&amp;$B82&amp;", ", ", "&amp;INDEX('Form Responses'!$I$1:$Q$200,5,$A82)&amp;", ")),ISNUMBER(SEARCH(", "&amp;$B82&amp;", ", ", "&amp;INDEX('Form Responses'!$R$1:$R$200,5)&amp;", "))),1,""))</f>
        <v/>
      </c>
      <c r="H82">
        <f>IF(Wizards!$A$6="","",IF(OR(ISNUMBER(SEARCH(", "&amp;$B82&amp;", ", ", "&amp;INDEX('Form Responses'!$I$1:$Q$200,6,$A82)&amp;", ")),ISNUMBER(SEARCH(", "&amp;$B82&amp;", ", ", "&amp;INDEX('Form Responses'!$R$1:$R$200,6)&amp;", "))),1,""))</f>
        <v/>
      </c>
      <c r="I82">
        <f>IF(Wizards!$A$7="","",IF(OR(ISNUMBER(SEARCH(", "&amp;$B82&amp;", ", ", "&amp;INDEX('Form Responses'!$I$1:$Q$200,7,$A82)&amp;", ")),ISNUMBER(SEARCH(", "&amp;$B82&amp;", ", ", "&amp;INDEX('Form Responses'!$R$1:$R$200,7)&amp;", "))),1,""))</f>
        <v/>
      </c>
      <c r="J82">
        <f>IF(Wizards!$A$8="","",IF(OR(ISNUMBER(SEARCH(", "&amp;$B82&amp;", ", ", "&amp;INDEX('Form Responses'!$I$1:$Q$200,8,$A82)&amp;", ")),ISNUMBER(SEARCH(", "&amp;$B82&amp;", ", ", "&amp;INDEX('Form Responses'!$R$1:$R$200,8)&amp;", "))),1,""))</f>
        <v/>
      </c>
      <c r="K82">
        <f>IF(Wizards!$A$9="","",IF(OR(ISNUMBER(SEARCH(", "&amp;$B82&amp;", ", ", "&amp;INDEX('Form Responses'!$I$1:$Q$200,9,$A82)&amp;", ")),ISNUMBER(SEARCH(", "&amp;$B82&amp;", ", ", "&amp;INDEX('Form Responses'!$R$1:$R$200,9)&amp;", "))),1,""))</f>
        <v/>
      </c>
      <c r="L82">
        <f>IF(Wizards!$A$10="","",IF(OR(ISNUMBER(SEARCH(", "&amp;$B82&amp;", ", ", "&amp;INDEX('Form Responses'!$I$1:$Q$200,10,$A82)&amp;", ")),ISNUMBER(SEARCH(", "&amp;$B82&amp;", ", ", "&amp;INDEX('Form Responses'!$R$1:$R$200,10)&amp;", "))),1,""))</f>
        <v/>
      </c>
      <c r="M82">
        <f>IF(Wizards!$A$11="","",IF(OR(ISNUMBER(SEARCH(", "&amp;$B82&amp;", ", ", "&amp;INDEX('Form Responses'!$I$1:$Q$200,11,$A82)&amp;", ")),ISNUMBER(SEARCH(", "&amp;$B82&amp;", ", ", "&amp;INDEX('Form Responses'!$R$1:$R$200,11)&amp;", "))),1,""))</f>
        <v/>
      </c>
      <c r="N82">
        <f>IF(Wizards!$A$12="","",IF(OR(ISNUMBER(SEARCH(", "&amp;$B82&amp;", ", ", "&amp;INDEX('Form Responses'!$I$1:$Q$200,12,$A82)&amp;", ")),ISNUMBER(SEARCH(", "&amp;$B82&amp;", ", ", "&amp;INDEX('Form Responses'!$R$1:$R$200,12)&amp;", "))),1,""))</f>
        <v/>
      </c>
      <c r="O82">
        <f>IF(Wizards!$A$13="","",IF(OR(ISNUMBER(SEARCH(", "&amp;$B82&amp;", ", ", "&amp;INDEX('Form Responses'!$I$1:$Q$200,13,$A82)&amp;", ")),ISNUMBER(SEARCH(", "&amp;$B82&amp;", ", ", "&amp;INDEX('Form Responses'!$R$1:$R$200,13)&amp;", "))),1,""))</f>
        <v/>
      </c>
      <c r="P82">
        <f>IF(Wizards!$A$14="","",IF(OR(ISNUMBER(SEARCH(", "&amp;$B82&amp;", ", ", "&amp;INDEX('Form Responses'!$I$1:$Q$200,14,$A82)&amp;", ")),ISNUMBER(SEARCH(", "&amp;$B82&amp;", ", ", "&amp;INDEX('Form Responses'!$R$1:$R$200,14)&amp;", "))),1,""))</f>
        <v/>
      </c>
      <c r="Q82">
        <f>IF(Wizards!$A$15="","",IF(OR(ISNUMBER(SEARCH(", "&amp;$B82&amp;", ", ", "&amp;INDEX('Form Responses'!$I$1:$Q$200,15,$A82)&amp;", ")),ISNUMBER(SEARCH(", "&amp;$B82&amp;", ", ", "&amp;INDEX('Form Responses'!$R$1:$R$200,15)&amp;", "))),1,""))</f>
        <v/>
      </c>
      <c r="R82">
        <f>IF(Wizards!$A$16="","",IF(OR(ISNUMBER(SEARCH(", "&amp;$B82&amp;", ", ", "&amp;INDEX('Form Responses'!$I$1:$Q$200,16,$A82)&amp;", ")),ISNUMBER(SEARCH(", "&amp;$B82&amp;", ", ", "&amp;INDEX('Form Responses'!$R$1:$R$200,16)&amp;", "))),1,""))</f>
        <v/>
      </c>
      <c r="S82">
        <f>IF(Wizards!$A$17="","",IF(OR(ISNUMBER(SEARCH(", "&amp;$B82&amp;", ", ", "&amp;INDEX('Form Responses'!$I$1:$Q$200,17,$A82)&amp;", ")),ISNUMBER(SEARCH(", "&amp;$B82&amp;", ", ", "&amp;INDEX('Form Responses'!$R$1:$R$200,17)&amp;", "))),1,""))</f>
        <v/>
      </c>
      <c r="T82">
        <f>IF(Wizards!$A$18="","",IF(OR(ISNUMBER(SEARCH(", "&amp;$B82&amp;", ", ", "&amp;INDEX('Form Responses'!$I$1:$Q$200,18,$A82)&amp;", ")),ISNUMBER(SEARCH(", "&amp;$B82&amp;", ", ", "&amp;INDEX('Form Responses'!$R$1:$R$200,18)&amp;", "))),1,""))</f>
        <v/>
      </c>
      <c r="U82">
        <f>IF(Wizards!$A$19="","",IF(OR(ISNUMBER(SEARCH(", "&amp;$B82&amp;", ", ", "&amp;INDEX('Form Responses'!$I$1:$Q$200,19,$A82)&amp;", ")),ISNUMBER(SEARCH(", "&amp;$B82&amp;", ", ", "&amp;INDEX('Form Responses'!$R$1:$R$200,19)&amp;", "))),1,""))</f>
        <v/>
      </c>
      <c r="V82">
        <f>IF(Wizards!$A$20="","",IF(OR(ISNUMBER(SEARCH(", "&amp;$B82&amp;", ", ", "&amp;INDEX('Form Responses'!$I$1:$Q$200,20,$A82)&amp;", ")),ISNUMBER(SEARCH(", "&amp;$B82&amp;", ", ", "&amp;INDEX('Form Responses'!$R$1:$R$200,20)&amp;", "))),1,""))</f>
        <v/>
      </c>
      <c r="W82">
        <f>IF(Wizards!$A$21="","",IF(OR(ISNUMBER(SEARCH(", "&amp;$B82&amp;", ", ", "&amp;INDEX('Form Responses'!$I$1:$Q$200,21,$A82)&amp;", ")),ISNUMBER(SEARCH(", "&amp;$B82&amp;", ", ", "&amp;INDEX('Form Responses'!$R$1:$R$200,21)&amp;", "))),1,""))</f>
        <v/>
      </c>
      <c r="X82">
        <f>IF(Wizards!$A$22="","",IF(OR(ISNUMBER(SEARCH(", "&amp;$B82&amp;", ", ", "&amp;INDEX('Form Responses'!$I$1:$Q$200,22,$A82)&amp;", ")),ISNUMBER(SEARCH(", "&amp;$B82&amp;", ", ", "&amp;INDEX('Form Responses'!$R$1:$R$200,22)&amp;", "))),1,""))</f>
        <v/>
      </c>
      <c r="Y82">
        <f>IF(Wizards!$A$23="","",IF(OR(ISNUMBER(SEARCH(", "&amp;$B82&amp;", ", ", "&amp;INDEX('Form Responses'!$I$1:$Q$200,23,$A82)&amp;", ")),ISNUMBER(SEARCH(", "&amp;$B82&amp;", ", ", "&amp;INDEX('Form Responses'!$R$1:$R$200,23)&amp;", "))),1,""))</f>
        <v/>
      </c>
      <c r="Z82">
        <f>IF(Wizards!$A$24="","",IF(OR(ISNUMBER(SEARCH(", "&amp;$B82&amp;", ", ", "&amp;INDEX('Form Responses'!$I$1:$Q$200,24,$A82)&amp;", ")),ISNUMBER(SEARCH(", "&amp;$B82&amp;", ", ", "&amp;INDEX('Form Responses'!$R$1:$R$200,24)&amp;", "))),1,""))</f>
        <v/>
      </c>
      <c r="AA82">
        <f>IF(Wizards!$A$25="","",IF(OR(ISNUMBER(SEARCH(", "&amp;$B82&amp;", ", ", "&amp;INDEX('Form Responses'!$I$1:$Q$200,25,$A82)&amp;", ")),ISNUMBER(SEARCH(", "&amp;$B82&amp;", ", ", "&amp;INDEX('Form Responses'!$R$1:$R$200,25)&amp;", "))),1,""))</f>
        <v/>
      </c>
      <c r="AB82">
        <f>IF(D82=1,", "&amp;D$1,"")</f>
        <v/>
      </c>
      <c r="AC82">
        <f>IF(E82=1,", "&amp;E$1,"")</f>
        <v/>
      </c>
      <c r="AD82">
        <f>IF(F82=1,", "&amp;F$1,"")</f>
        <v/>
      </c>
      <c r="AE82">
        <f>IF(G82=1,", "&amp;G$1,"")</f>
        <v/>
      </c>
      <c r="AF82">
        <f>IF(H82=1,", "&amp;H$1,"")</f>
        <v/>
      </c>
      <c r="AG82">
        <f>IF(I82=1,", "&amp;I$1,"")</f>
        <v/>
      </c>
      <c r="AH82">
        <f>IF(J82=1,", "&amp;J$1,"")</f>
        <v/>
      </c>
      <c r="AI82">
        <f>IF(K82=1,", "&amp;K$1,"")</f>
        <v/>
      </c>
      <c r="AJ82">
        <f>IF(L82=1,", "&amp;L$1,"")</f>
        <v/>
      </c>
      <c r="AK82">
        <f>IF(M82=1,", "&amp;M$1,"")</f>
        <v/>
      </c>
      <c r="AL82">
        <f>IF(N82=1,", "&amp;N$1,"")</f>
        <v/>
      </c>
      <c r="AM82">
        <f>IF(O82=1,", "&amp;O$1,"")</f>
        <v/>
      </c>
      <c r="AN82">
        <f>IF(P82=1,", "&amp;P$1,"")</f>
        <v/>
      </c>
      <c r="AO82">
        <f>IF(Q82=1,", "&amp;Q$1,"")</f>
        <v/>
      </c>
      <c r="AP82">
        <f>IF(R82=1,", "&amp;R$1,"")</f>
        <v/>
      </c>
      <c r="AQ82">
        <f>IF(S82=1,", "&amp;S$1,"")</f>
        <v/>
      </c>
      <c r="AR82">
        <f>IF(T82=1,", "&amp;T$1,"")</f>
        <v/>
      </c>
      <c r="AS82">
        <f>IF(U82=1,", "&amp;U$1,"")</f>
        <v/>
      </c>
      <c r="AT82">
        <f>IF(V82=1,", "&amp;V$1,"")</f>
        <v/>
      </c>
      <c r="AU82">
        <f>IF(W82=1,", "&amp;W$1,"")</f>
        <v/>
      </c>
      <c r="AV82">
        <f>IF(X82=1,", "&amp;X$1,"")</f>
        <v/>
      </c>
      <c r="AW82">
        <f>IF(Y82=1,", "&amp;Y$1,"")</f>
        <v/>
      </c>
      <c r="AX82">
        <f>IF(Z82=1,", "&amp;Z$1,"")</f>
        <v/>
      </c>
      <c r="AY82">
        <f>IF(AA82=1,", "&amp;AA$1,"")</f>
        <v/>
      </c>
      <c r="AZ82">
        <f>MID($AB82&amp;$AC82&amp;$AD82&amp;$AE82&amp;$AF82&amp;$AG82&amp;$AH82&amp;$AI82&amp;$AJ82&amp;$AK82&amp;$AL82&amp;$AM82&amp;$AN82&amp;$AO82&amp;$AP82&amp;$AQ82&amp;$AR82&amp;$AS82&amp;$AT82&amp;$AU82&amp;$AV82&amp;$AW82&amp;$AX82&amp;$AY82,3,32767)</f>
        <v/>
      </c>
      <c r="BA82">
        <f>COUNT($D82:$AA82)</f>
        <v/>
      </c>
    </row>
    <row r="83">
      <c r="A83" t="n">
        <v>2</v>
      </c>
      <c r="B83" t="inlineStr">
        <is>
          <t>Nathair's Mischief</t>
        </is>
      </c>
      <c r="C83" t="inlineStr">
        <is>
          <t>Illusion</t>
        </is>
      </c>
      <c r="D83">
        <f>IF(Wizards!$A$2="","",IF(OR(ISNUMBER(SEARCH(", "&amp;$B83&amp;", ", ", "&amp;INDEX('Form Responses'!$I$1:$Q$200,2,$A83)&amp;", ")),ISNUMBER(SEARCH(", "&amp;$B83&amp;", ", ", "&amp;INDEX('Form Responses'!$R$1:$R$200,2)&amp;", "))),1,""))</f>
        <v/>
      </c>
      <c r="E83">
        <f>IF(Wizards!$A$3="","",IF(OR(ISNUMBER(SEARCH(", "&amp;$B83&amp;", ", ", "&amp;INDEX('Form Responses'!$I$1:$Q$200,3,$A83)&amp;", ")),ISNUMBER(SEARCH(", "&amp;$B83&amp;", ", ", "&amp;INDEX('Form Responses'!$R$1:$R$200,3)&amp;", "))),1,""))</f>
        <v/>
      </c>
      <c r="F83">
        <f>IF(Wizards!$A$4="","",IF(OR(ISNUMBER(SEARCH(", "&amp;$B83&amp;", ", ", "&amp;INDEX('Form Responses'!$I$1:$Q$200,4,$A83)&amp;", ")),ISNUMBER(SEARCH(", "&amp;$B83&amp;", ", ", "&amp;INDEX('Form Responses'!$R$1:$R$200,4)&amp;", "))),1,""))</f>
        <v/>
      </c>
      <c r="G83">
        <f>IF(Wizards!$A$5="","",IF(OR(ISNUMBER(SEARCH(", "&amp;$B83&amp;", ", ", "&amp;INDEX('Form Responses'!$I$1:$Q$200,5,$A83)&amp;", ")),ISNUMBER(SEARCH(", "&amp;$B83&amp;", ", ", "&amp;INDEX('Form Responses'!$R$1:$R$200,5)&amp;", "))),1,""))</f>
        <v/>
      </c>
      <c r="H83">
        <f>IF(Wizards!$A$6="","",IF(OR(ISNUMBER(SEARCH(", "&amp;$B83&amp;", ", ", "&amp;INDEX('Form Responses'!$I$1:$Q$200,6,$A83)&amp;", ")),ISNUMBER(SEARCH(", "&amp;$B83&amp;", ", ", "&amp;INDEX('Form Responses'!$R$1:$R$200,6)&amp;", "))),1,""))</f>
        <v/>
      </c>
      <c r="I83">
        <f>IF(Wizards!$A$7="","",IF(OR(ISNUMBER(SEARCH(", "&amp;$B83&amp;", ", ", "&amp;INDEX('Form Responses'!$I$1:$Q$200,7,$A83)&amp;", ")),ISNUMBER(SEARCH(", "&amp;$B83&amp;", ", ", "&amp;INDEX('Form Responses'!$R$1:$R$200,7)&amp;", "))),1,""))</f>
        <v/>
      </c>
      <c r="J83">
        <f>IF(Wizards!$A$8="","",IF(OR(ISNUMBER(SEARCH(", "&amp;$B83&amp;", ", ", "&amp;INDEX('Form Responses'!$I$1:$Q$200,8,$A83)&amp;", ")),ISNUMBER(SEARCH(", "&amp;$B83&amp;", ", ", "&amp;INDEX('Form Responses'!$R$1:$R$200,8)&amp;", "))),1,""))</f>
        <v/>
      </c>
      <c r="K83">
        <f>IF(Wizards!$A$9="","",IF(OR(ISNUMBER(SEARCH(", "&amp;$B83&amp;", ", ", "&amp;INDEX('Form Responses'!$I$1:$Q$200,9,$A83)&amp;", ")),ISNUMBER(SEARCH(", "&amp;$B83&amp;", ", ", "&amp;INDEX('Form Responses'!$R$1:$R$200,9)&amp;", "))),1,""))</f>
        <v/>
      </c>
      <c r="L83">
        <f>IF(Wizards!$A$10="","",IF(OR(ISNUMBER(SEARCH(", "&amp;$B83&amp;", ", ", "&amp;INDEX('Form Responses'!$I$1:$Q$200,10,$A83)&amp;", ")),ISNUMBER(SEARCH(", "&amp;$B83&amp;", ", ", "&amp;INDEX('Form Responses'!$R$1:$R$200,10)&amp;", "))),1,""))</f>
        <v/>
      </c>
      <c r="M83">
        <f>IF(Wizards!$A$11="","",IF(OR(ISNUMBER(SEARCH(", "&amp;$B83&amp;", ", ", "&amp;INDEX('Form Responses'!$I$1:$Q$200,11,$A83)&amp;", ")),ISNUMBER(SEARCH(", "&amp;$B83&amp;", ", ", "&amp;INDEX('Form Responses'!$R$1:$R$200,11)&amp;", "))),1,""))</f>
        <v/>
      </c>
      <c r="N83">
        <f>IF(Wizards!$A$12="","",IF(OR(ISNUMBER(SEARCH(", "&amp;$B83&amp;", ", ", "&amp;INDEX('Form Responses'!$I$1:$Q$200,12,$A83)&amp;", ")),ISNUMBER(SEARCH(", "&amp;$B83&amp;", ", ", "&amp;INDEX('Form Responses'!$R$1:$R$200,12)&amp;", "))),1,""))</f>
        <v/>
      </c>
      <c r="O83">
        <f>IF(Wizards!$A$13="","",IF(OR(ISNUMBER(SEARCH(", "&amp;$B83&amp;", ", ", "&amp;INDEX('Form Responses'!$I$1:$Q$200,13,$A83)&amp;", ")),ISNUMBER(SEARCH(", "&amp;$B83&amp;", ", ", "&amp;INDEX('Form Responses'!$R$1:$R$200,13)&amp;", "))),1,""))</f>
        <v/>
      </c>
      <c r="P83">
        <f>IF(Wizards!$A$14="","",IF(OR(ISNUMBER(SEARCH(", "&amp;$B83&amp;", ", ", "&amp;INDEX('Form Responses'!$I$1:$Q$200,14,$A83)&amp;", ")),ISNUMBER(SEARCH(", "&amp;$B83&amp;", ", ", "&amp;INDEX('Form Responses'!$R$1:$R$200,14)&amp;", "))),1,""))</f>
        <v/>
      </c>
      <c r="Q83">
        <f>IF(Wizards!$A$15="","",IF(OR(ISNUMBER(SEARCH(", "&amp;$B83&amp;", ", ", "&amp;INDEX('Form Responses'!$I$1:$Q$200,15,$A83)&amp;", ")),ISNUMBER(SEARCH(", "&amp;$B83&amp;", ", ", "&amp;INDEX('Form Responses'!$R$1:$R$200,15)&amp;", "))),1,""))</f>
        <v/>
      </c>
      <c r="R83">
        <f>IF(Wizards!$A$16="","",IF(OR(ISNUMBER(SEARCH(", "&amp;$B83&amp;", ", ", "&amp;INDEX('Form Responses'!$I$1:$Q$200,16,$A83)&amp;", ")),ISNUMBER(SEARCH(", "&amp;$B83&amp;", ", ", "&amp;INDEX('Form Responses'!$R$1:$R$200,16)&amp;", "))),1,""))</f>
        <v/>
      </c>
      <c r="S83">
        <f>IF(Wizards!$A$17="","",IF(OR(ISNUMBER(SEARCH(", "&amp;$B83&amp;", ", ", "&amp;INDEX('Form Responses'!$I$1:$Q$200,17,$A83)&amp;", ")),ISNUMBER(SEARCH(", "&amp;$B83&amp;", ", ", "&amp;INDEX('Form Responses'!$R$1:$R$200,17)&amp;", "))),1,""))</f>
        <v/>
      </c>
      <c r="T83">
        <f>IF(Wizards!$A$18="","",IF(OR(ISNUMBER(SEARCH(", "&amp;$B83&amp;", ", ", "&amp;INDEX('Form Responses'!$I$1:$Q$200,18,$A83)&amp;", ")),ISNUMBER(SEARCH(", "&amp;$B83&amp;", ", ", "&amp;INDEX('Form Responses'!$R$1:$R$200,18)&amp;", "))),1,""))</f>
        <v/>
      </c>
      <c r="U83">
        <f>IF(Wizards!$A$19="","",IF(OR(ISNUMBER(SEARCH(", "&amp;$B83&amp;", ", ", "&amp;INDEX('Form Responses'!$I$1:$Q$200,19,$A83)&amp;", ")),ISNUMBER(SEARCH(", "&amp;$B83&amp;", ", ", "&amp;INDEX('Form Responses'!$R$1:$R$200,19)&amp;", "))),1,""))</f>
        <v/>
      </c>
      <c r="V83">
        <f>IF(Wizards!$A$20="","",IF(OR(ISNUMBER(SEARCH(", "&amp;$B83&amp;", ", ", "&amp;INDEX('Form Responses'!$I$1:$Q$200,20,$A83)&amp;", ")),ISNUMBER(SEARCH(", "&amp;$B83&amp;", ", ", "&amp;INDEX('Form Responses'!$R$1:$R$200,20)&amp;", "))),1,""))</f>
        <v/>
      </c>
      <c r="W83">
        <f>IF(Wizards!$A$21="","",IF(OR(ISNUMBER(SEARCH(", "&amp;$B83&amp;", ", ", "&amp;INDEX('Form Responses'!$I$1:$Q$200,21,$A83)&amp;", ")),ISNUMBER(SEARCH(", "&amp;$B83&amp;", ", ", "&amp;INDEX('Form Responses'!$R$1:$R$200,21)&amp;", "))),1,""))</f>
        <v/>
      </c>
      <c r="X83">
        <f>IF(Wizards!$A$22="","",IF(OR(ISNUMBER(SEARCH(", "&amp;$B83&amp;", ", ", "&amp;INDEX('Form Responses'!$I$1:$Q$200,22,$A83)&amp;", ")),ISNUMBER(SEARCH(", "&amp;$B83&amp;", ", ", "&amp;INDEX('Form Responses'!$R$1:$R$200,22)&amp;", "))),1,""))</f>
        <v/>
      </c>
      <c r="Y83">
        <f>IF(Wizards!$A$23="","",IF(OR(ISNUMBER(SEARCH(", "&amp;$B83&amp;", ", ", "&amp;INDEX('Form Responses'!$I$1:$Q$200,23,$A83)&amp;", ")),ISNUMBER(SEARCH(", "&amp;$B83&amp;", ", ", "&amp;INDEX('Form Responses'!$R$1:$R$200,23)&amp;", "))),1,""))</f>
        <v/>
      </c>
      <c r="Z83">
        <f>IF(Wizards!$A$24="","",IF(OR(ISNUMBER(SEARCH(", "&amp;$B83&amp;", ", ", "&amp;INDEX('Form Responses'!$I$1:$Q$200,24,$A83)&amp;", ")),ISNUMBER(SEARCH(", "&amp;$B83&amp;", ", ", "&amp;INDEX('Form Responses'!$R$1:$R$200,24)&amp;", "))),1,""))</f>
        <v/>
      </c>
      <c r="AA83">
        <f>IF(Wizards!$A$25="","",IF(OR(ISNUMBER(SEARCH(", "&amp;$B83&amp;", ", ", "&amp;INDEX('Form Responses'!$I$1:$Q$200,25,$A83)&amp;", ")),ISNUMBER(SEARCH(", "&amp;$B83&amp;", ", ", "&amp;INDEX('Form Responses'!$R$1:$R$200,25)&amp;", "))),1,""))</f>
        <v/>
      </c>
      <c r="AB83">
        <f>IF(D83=1,", "&amp;D$1,"")</f>
        <v/>
      </c>
      <c r="AC83">
        <f>IF(E83=1,", "&amp;E$1,"")</f>
        <v/>
      </c>
      <c r="AD83">
        <f>IF(F83=1,", "&amp;F$1,"")</f>
        <v/>
      </c>
      <c r="AE83">
        <f>IF(G83=1,", "&amp;G$1,"")</f>
        <v/>
      </c>
      <c r="AF83">
        <f>IF(H83=1,", "&amp;H$1,"")</f>
        <v/>
      </c>
      <c r="AG83">
        <f>IF(I83=1,", "&amp;I$1,"")</f>
        <v/>
      </c>
      <c r="AH83">
        <f>IF(J83=1,", "&amp;J$1,"")</f>
        <v/>
      </c>
      <c r="AI83">
        <f>IF(K83=1,", "&amp;K$1,"")</f>
        <v/>
      </c>
      <c r="AJ83">
        <f>IF(L83=1,", "&amp;L$1,"")</f>
        <v/>
      </c>
      <c r="AK83">
        <f>IF(M83=1,", "&amp;M$1,"")</f>
        <v/>
      </c>
      <c r="AL83">
        <f>IF(N83=1,", "&amp;N$1,"")</f>
        <v/>
      </c>
      <c r="AM83">
        <f>IF(O83=1,", "&amp;O$1,"")</f>
        <v/>
      </c>
      <c r="AN83">
        <f>IF(P83=1,", "&amp;P$1,"")</f>
        <v/>
      </c>
      <c r="AO83">
        <f>IF(Q83=1,", "&amp;Q$1,"")</f>
        <v/>
      </c>
      <c r="AP83">
        <f>IF(R83=1,", "&amp;R$1,"")</f>
        <v/>
      </c>
      <c r="AQ83">
        <f>IF(S83=1,", "&amp;S$1,"")</f>
        <v/>
      </c>
      <c r="AR83">
        <f>IF(T83=1,", "&amp;T$1,"")</f>
        <v/>
      </c>
      <c r="AS83">
        <f>IF(U83=1,", "&amp;U$1,"")</f>
        <v/>
      </c>
      <c r="AT83">
        <f>IF(V83=1,", "&amp;V$1,"")</f>
        <v/>
      </c>
      <c r="AU83">
        <f>IF(W83=1,", "&amp;W$1,"")</f>
        <v/>
      </c>
      <c r="AV83">
        <f>IF(X83=1,", "&amp;X$1,"")</f>
        <v/>
      </c>
      <c r="AW83">
        <f>IF(Y83=1,", "&amp;Y$1,"")</f>
        <v/>
      </c>
      <c r="AX83">
        <f>IF(Z83=1,", "&amp;Z$1,"")</f>
        <v/>
      </c>
      <c r="AY83">
        <f>IF(AA83=1,", "&amp;AA$1,"")</f>
        <v/>
      </c>
      <c r="AZ83">
        <f>MID($AB83&amp;$AC83&amp;$AD83&amp;$AE83&amp;$AF83&amp;$AG83&amp;$AH83&amp;$AI83&amp;$AJ83&amp;$AK83&amp;$AL83&amp;$AM83&amp;$AN83&amp;$AO83&amp;$AP83&amp;$AQ83&amp;$AR83&amp;$AS83&amp;$AT83&amp;$AU83&amp;$AV83&amp;$AW83&amp;$AX83&amp;$AY83,3,32767)</f>
        <v/>
      </c>
      <c r="BA83">
        <f>COUNT($D83:$AA83)</f>
        <v/>
      </c>
    </row>
    <row r="84">
      <c r="A84" t="n">
        <v>2</v>
      </c>
      <c r="B84" t="inlineStr">
        <is>
          <t>Nystul's Magic Aura</t>
        </is>
      </c>
      <c r="C84" t="inlineStr">
        <is>
          <t>Illusion</t>
        </is>
      </c>
      <c r="D84">
        <f>IF(Wizards!$A$2="","",IF(OR(ISNUMBER(SEARCH(", "&amp;$B84&amp;", ", ", "&amp;INDEX('Form Responses'!$I$1:$Q$200,2,$A84)&amp;", ")),ISNUMBER(SEARCH(", "&amp;$B84&amp;", ", ", "&amp;INDEX('Form Responses'!$R$1:$R$200,2)&amp;", "))),1,""))</f>
        <v/>
      </c>
      <c r="E84">
        <f>IF(Wizards!$A$3="","",IF(OR(ISNUMBER(SEARCH(", "&amp;$B84&amp;", ", ", "&amp;INDEX('Form Responses'!$I$1:$Q$200,3,$A84)&amp;", ")),ISNUMBER(SEARCH(", "&amp;$B84&amp;", ", ", "&amp;INDEX('Form Responses'!$R$1:$R$200,3)&amp;", "))),1,""))</f>
        <v/>
      </c>
      <c r="F84">
        <f>IF(Wizards!$A$4="","",IF(OR(ISNUMBER(SEARCH(", "&amp;$B84&amp;", ", ", "&amp;INDEX('Form Responses'!$I$1:$Q$200,4,$A84)&amp;", ")),ISNUMBER(SEARCH(", "&amp;$B84&amp;", ", ", "&amp;INDEX('Form Responses'!$R$1:$R$200,4)&amp;", "))),1,""))</f>
        <v/>
      </c>
      <c r="G84">
        <f>IF(Wizards!$A$5="","",IF(OR(ISNUMBER(SEARCH(", "&amp;$B84&amp;", ", ", "&amp;INDEX('Form Responses'!$I$1:$Q$200,5,$A84)&amp;", ")),ISNUMBER(SEARCH(", "&amp;$B84&amp;", ", ", "&amp;INDEX('Form Responses'!$R$1:$R$200,5)&amp;", "))),1,""))</f>
        <v/>
      </c>
      <c r="H84">
        <f>IF(Wizards!$A$6="","",IF(OR(ISNUMBER(SEARCH(", "&amp;$B84&amp;", ", ", "&amp;INDEX('Form Responses'!$I$1:$Q$200,6,$A84)&amp;", ")),ISNUMBER(SEARCH(", "&amp;$B84&amp;", ", ", "&amp;INDEX('Form Responses'!$R$1:$R$200,6)&amp;", "))),1,""))</f>
        <v/>
      </c>
      <c r="I84">
        <f>IF(Wizards!$A$7="","",IF(OR(ISNUMBER(SEARCH(", "&amp;$B84&amp;", ", ", "&amp;INDEX('Form Responses'!$I$1:$Q$200,7,$A84)&amp;", ")),ISNUMBER(SEARCH(", "&amp;$B84&amp;", ", ", "&amp;INDEX('Form Responses'!$R$1:$R$200,7)&amp;", "))),1,""))</f>
        <v/>
      </c>
      <c r="J84">
        <f>IF(Wizards!$A$8="","",IF(OR(ISNUMBER(SEARCH(", "&amp;$B84&amp;", ", ", "&amp;INDEX('Form Responses'!$I$1:$Q$200,8,$A84)&amp;", ")),ISNUMBER(SEARCH(", "&amp;$B84&amp;", ", ", "&amp;INDEX('Form Responses'!$R$1:$R$200,8)&amp;", "))),1,""))</f>
        <v/>
      </c>
      <c r="K84">
        <f>IF(Wizards!$A$9="","",IF(OR(ISNUMBER(SEARCH(", "&amp;$B84&amp;", ", ", "&amp;INDEX('Form Responses'!$I$1:$Q$200,9,$A84)&amp;", ")),ISNUMBER(SEARCH(", "&amp;$B84&amp;", ", ", "&amp;INDEX('Form Responses'!$R$1:$R$200,9)&amp;", "))),1,""))</f>
        <v/>
      </c>
      <c r="L84">
        <f>IF(Wizards!$A$10="","",IF(OR(ISNUMBER(SEARCH(", "&amp;$B84&amp;", ", ", "&amp;INDEX('Form Responses'!$I$1:$Q$200,10,$A84)&amp;", ")),ISNUMBER(SEARCH(", "&amp;$B84&amp;", ", ", "&amp;INDEX('Form Responses'!$R$1:$R$200,10)&amp;", "))),1,""))</f>
        <v/>
      </c>
      <c r="M84">
        <f>IF(Wizards!$A$11="","",IF(OR(ISNUMBER(SEARCH(", "&amp;$B84&amp;", ", ", "&amp;INDEX('Form Responses'!$I$1:$Q$200,11,$A84)&amp;", ")),ISNUMBER(SEARCH(", "&amp;$B84&amp;", ", ", "&amp;INDEX('Form Responses'!$R$1:$R$200,11)&amp;", "))),1,""))</f>
        <v/>
      </c>
      <c r="N84">
        <f>IF(Wizards!$A$12="","",IF(OR(ISNUMBER(SEARCH(", "&amp;$B84&amp;", ", ", "&amp;INDEX('Form Responses'!$I$1:$Q$200,12,$A84)&amp;", ")),ISNUMBER(SEARCH(", "&amp;$B84&amp;", ", ", "&amp;INDEX('Form Responses'!$R$1:$R$200,12)&amp;", "))),1,""))</f>
        <v/>
      </c>
      <c r="O84">
        <f>IF(Wizards!$A$13="","",IF(OR(ISNUMBER(SEARCH(", "&amp;$B84&amp;", ", ", "&amp;INDEX('Form Responses'!$I$1:$Q$200,13,$A84)&amp;", ")),ISNUMBER(SEARCH(", "&amp;$B84&amp;", ", ", "&amp;INDEX('Form Responses'!$R$1:$R$200,13)&amp;", "))),1,""))</f>
        <v/>
      </c>
      <c r="P84">
        <f>IF(Wizards!$A$14="","",IF(OR(ISNUMBER(SEARCH(", "&amp;$B84&amp;", ", ", "&amp;INDEX('Form Responses'!$I$1:$Q$200,14,$A84)&amp;", ")),ISNUMBER(SEARCH(", "&amp;$B84&amp;", ", ", "&amp;INDEX('Form Responses'!$R$1:$R$200,14)&amp;", "))),1,""))</f>
        <v/>
      </c>
      <c r="Q84">
        <f>IF(Wizards!$A$15="","",IF(OR(ISNUMBER(SEARCH(", "&amp;$B84&amp;", ", ", "&amp;INDEX('Form Responses'!$I$1:$Q$200,15,$A84)&amp;", ")),ISNUMBER(SEARCH(", "&amp;$B84&amp;", ", ", "&amp;INDEX('Form Responses'!$R$1:$R$200,15)&amp;", "))),1,""))</f>
        <v/>
      </c>
      <c r="R84">
        <f>IF(Wizards!$A$16="","",IF(OR(ISNUMBER(SEARCH(", "&amp;$B84&amp;", ", ", "&amp;INDEX('Form Responses'!$I$1:$Q$200,16,$A84)&amp;", ")),ISNUMBER(SEARCH(", "&amp;$B84&amp;", ", ", "&amp;INDEX('Form Responses'!$R$1:$R$200,16)&amp;", "))),1,""))</f>
        <v/>
      </c>
      <c r="S84">
        <f>IF(Wizards!$A$17="","",IF(OR(ISNUMBER(SEARCH(", "&amp;$B84&amp;", ", ", "&amp;INDEX('Form Responses'!$I$1:$Q$200,17,$A84)&amp;", ")),ISNUMBER(SEARCH(", "&amp;$B84&amp;", ", ", "&amp;INDEX('Form Responses'!$R$1:$R$200,17)&amp;", "))),1,""))</f>
        <v/>
      </c>
      <c r="T84">
        <f>IF(Wizards!$A$18="","",IF(OR(ISNUMBER(SEARCH(", "&amp;$B84&amp;", ", ", "&amp;INDEX('Form Responses'!$I$1:$Q$200,18,$A84)&amp;", ")),ISNUMBER(SEARCH(", "&amp;$B84&amp;", ", ", "&amp;INDEX('Form Responses'!$R$1:$R$200,18)&amp;", "))),1,""))</f>
        <v/>
      </c>
      <c r="U84">
        <f>IF(Wizards!$A$19="","",IF(OR(ISNUMBER(SEARCH(", "&amp;$B84&amp;", ", ", "&amp;INDEX('Form Responses'!$I$1:$Q$200,19,$A84)&amp;", ")),ISNUMBER(SEARCH(", "&amp;$B84&amp;", ", ", "&amp;INDEX('Form Responses'!$R$1:$R$200,19)&amp;", "))),1,""))</f>
        <v/>
      </c>
      <c r="V84">
        <f>IF(Wizards!$A$20="","",IF(OR(ISNUMBER(SEARCH(", "&amp;$B84&amp;", ", ", "&amp;INDEX('Form Responses'!$I$1:$Q$200,20,$A84)&amp;", ")),ISNUMBER(SEARCH(", "&amp;$B84&amp;", ", ", "&amp;INDEX('Form Responses'!$R$1:$R$200,20)&amp;", "))),1,""))</f>
        <v/>
      </c>
      <c r="W84">
        <f>IF(Wizards!$A$21="","",IF(OR(ISNUMBER(SEARCH(", "&amp;$B84&amp;", ", ", "&amp;INDEX('Form Responses'!$I$1:$Q$200,21,$A84)&amp;", ")),ISNUMBER(SEARCH(", "&amp;$B84&amp;", ", ", "&amp;INDEX('Form Responses'!$R$1:$R$200,21)&amp;", "))),1,""))</f>
        <v/>
      </c>
      <c r="X84">
        <f>IF(Wizards!$A$22="","",IF(OR(ISNUMBER(SEARCH(", "&amp;$B84&amp;", ", ", "&amp;INDEX('Form Responses'!$I$1:$Q$200,22,$A84)&amp;", ")),ISNUMBER(SEARCH(", "&amp;$B84&amp;", ", ", "&amp;INDEX('Form Responses'!$R$1:$R$200,22)&amp;", "))),1,""))</f>
        <v/>
      </c>
      <c r="Y84">
        <f>IF(Wizards!$A$23="","",IF(OR(ISNUMBER(SEARCH(", "&amp;$B84&amp;", ", ", "&amp;INDEX('Form Responses'!$I$1:$Q$200,23,$A84)&amp;", ")),ISNUMBER(SEARCH(", "&amp;$B84&amp;", ", ", "&amp;INDEX('Form Responses'!$R$1:$R$200,23)&amp;", "))),1,""))</f>
        <v/>
      </c>
      <c r="Z84">
        <f>IF(Wizards!$A$24="","",IF(OR(ISNUMBER(SEARCH(", "&amp;$B84&amp;", ", ", "&amp;INDEX('Form Responses'!$I$1:$Q$200,24,$A84)&amp;", ")),ISNUMBER(SEARCH(", "&amp;$B84&amp;", ", ", "&amp;INDEX('Form Responses'!$R$1:$R$200,24)&amp;", "))),1,""))</f>
        <v/>
      </c>
      <c r="AA84">
        <f>IF(Wizards!$A$25="","",IF(OR(ISNUMBER(SEARCH(", "&amp;$B84&amp;", ", ", "&amp;INDEX('Form Responses'!$I$1:$Q$200,25,$A84)&amp;", ")),ISNUMBER(SEARCH(", "&amp;$B84&amp;", ", ", "&amp;INDEX('Form Responses'!$R$1:$R$200,25)&amp;", "))),1,""))</f>
        <v/>
      </c>
      <c r="AB84">
        <f>IF(D84=1,", "&amp;D$1,"")</f>
        <v/>
      </c>
      <c r="AC84">
        <f>IF(E84=1,", "&amp;E$1,"")</f>
        <v/>
      </c>
      <c r="AD84">
        <f>IF(F84=1,", "&amp;F$1,"")</f>
        <v/>
      </c>
      <c r="AE84">
        <f>IF(G84=1,", "&amp;G$1,"")</f>
        <v/>
      </c>
      <c r="AF84">
        <f>IF(H84=1,", "&amp;H$1,"")</f>
        <v/>
      </c>
      <c r="AG84">
        <f>IF(I84=1,", "&amp;I$1,"")</f>
        <v/>
      </c>
      <c r="AH84">
        <f>IF(J84=1,", "&amp;J$1,"")</f>
        <v/>
      </c>
      <c r="AI84">
        <f>IF(K84=1,", "&amp;K$1,"")</f>
        <v/>
      </c>
      <c r="AJ84">
        <f>IF(L84=1,", "&amp;L$1,"")</f>
        <v/>
      </c>
      <c r="AK84">
        <f>IF(M84=1,", "&amp;M$1,"")</f>
        <v/>
      </c>
      <c r="AL84">
        <f>IF(N84=1,", "&amp;N$1,"")</f>
        <v/>
      </c>
      <c r="AM84">
        <f>IF(O84=1,", "&amp;O$1,"")</f>
        <v/>
      </c>
      <c r="AN84">
        <f>IF(P84=1,", "&amp;P$1,"")</f>
        <v/>
      </c>
      <c r="AO84">
        <f>IF(Q84=1,", "&amp;Q$1,"")</f>
        <v/>
      </c>
      <c r="AP84">
        <f>IF(R84=1,", "&amp;R$1,"")</f>
        <v/>
      </c>
      <c r="AQ84">
        <f>IF(S84=1,", "&amp;S$1,"")</f>
        <v/>
      </c>
      <c r="AR84">
        <f>IF(T84=1,", "&amp;T$1,"")</f>
        <v/>
      </c>
      <c r="AS84">
        <f>IF(U84=1,", "&amp;U$1,"")</f>
        <v/>
      </c>
      <c r="AT84">
        <f>IF(V84=1,", "&amp;V$1,"")</f>
        <v/>
      </c>
      <c r="AU84">
        <f>IF(W84=1,", "&amp;W$1,"")</f>
        <v/>
      </c>
      <c r="AV84">
        <f>IF(X84=1,", "&amp;X$1,"")</f>
        <v/>
      </c>
      <c r="AW84">
        <f>IF(Y84=1,", "&amp;Y$1,"")</f>
        <v/>
      </c>
      <c r="AX84">
        <f>IF(Z84=1,", "&amp;Z$1,"")</f>
        <v/>
      </c>
      <c r="AY84">
        <f>IF(AA84=1,", "&amp;AA$1,"")</f>
        <v/>
      </c>
      <c r="AZ84">
        <f>MID($AB84&amp;$AC84&amp;$AD84&amp;$AE84&amp;$AF84&amp;$AG84&amp;$AH84&amp;$AI84&amp;$AJ84&amp;$AK84&amp;$AL84&amp;$AM84&amp;$AN84&amp;$AO84&amp;$AP84&amp;$AQ84&amp;$AR84&amp;$AS84&amp;$AT84&amp;$AU84&amp;$AV84&amp;$AW84&amp;$AX84&amp;$AY84,3,32767)</f>
        <v/>
      </c>
      <c r="BA84">
        <f>COUNT($D84:$AA84)</f>
        <v/>
      </c>
    </row>
    <row r="85">
      <c r="A85" t="n">
        <v>2</v>
      </c>
      <c r="B85" t="inlineStr">
        <is>
          <t>Phantasmal Force</t>
        </is>
      </c>
      <c r="C85" t="inlineStr">
        <is>
          <t>Illusion</t>
        </is>
      </c>
      <c r="D85">
        <f>IF(Wizards!$A$2="","",IF(OR(ISNUMBER(SEARCH(", "&amp;$B85&amp;", ", ", "&amp;INDEX('Form Responses'!$I$1:$Q$200,2,$A85)&amp;", ")),ISNUMBER(SEARCH(", "&amp;$B85&amp;", ", ", "&amp;INDEX('Form Responses'!$R$1:$R$200,2)&amp;", "))),1,""))</f>
        <v/>
      </c>
      <c r="E85">
        <f>IF(Wizards!$A$3="","",IF(OR(ISNUMBER(SEARCH(", "&amp;$B85&amp;", ", ", "&amp;INDEX('Form Responses'!$I$1:$Q$200,3,$A85)&amp;", ")),ISNUMBER(SEARCH(", "&amp;$B85&amp;", ", ", "&amp;INDEX('Form Responses'!$R$1:$R$200,3)&amp;", "))),1,""))</f>
        <v/>
      </c>
      <c r="F85">
        <f>IF(Wizards!$A$4="","",IF(OR(ISNUMBER(SEARCH(", "&amp;$B85&amp;", ", ", "&amp;INDEX('Form Responses'!$I$1:$Q$200,4,$A85)&amp;", ")),ISNUMBER(SEARCH(", "&amp;$B85&amp;", ", ", "&amp;INDEX('Form Responses'!$R$1:$R$200,4)&amp;", "))),1,""))</f>
        <v/>
      </c>
      <c r="G85">
        <f>IF(Wizards!$A$5="","",IF(OR(ISNUMBER(SEARCH(", "&amp;$B85&amp;", ", ", "&amp;INDEX('Form Responses'!$I$1:$Q$200,5,$A85)&amp;", ")),ISNUMBER(SEARCH(", "&amp;$B85&amp;", ", ", "&amp;INDEX('Form Responses'!$R$1:$R$200,5)&amp;", "))),1,""))</f>
        <v/>
      </c>
      <c r="H85">
        <f>IF(Wizards!$A$6="","",IF(OR(ISNUMBER(SEARCH(", "&amp;$B85&amp;", ", ", "&amp;INDEX('Form Responses'!$I$1:$Q$200,6,$A85)&amp;", ")),ISNUMBER(SEARCH(", "&amp;$B85&amp;", ", ", "&amp;INDEX('Form Responses'!$R$1:$R$200,6)&amp;", "))),1,""))</f>
        <v/>
      </c>
      <c r="I85">
        <f>IF(Wizards!$A$7="","",IF(OR(ISNUMBER(SEARCH(", "&amp;$B85&amp;", ", ", "&amp;INDEX('Form Responses'!$I$1:$Q$200,7,$A85)&amp;", ")),ISNUMBER(SEARCH(", "&amp;$B85&amp;", ", ", "&amp;INDEX('Form Responses'!$R$1:$R$200,7)&amp;", "))),1,""))</f>
        <v/>
      </c>
      <c r="J85">
        <f>IF(Wizards!$A$8="","",IF(OR(ISNUMBER(SEARCH(", "&amp;$B85&amp;", ", ", "&amp;INDEX('Form Responses'!$I$1:$Q$200,8,$A85)&amp;", ")),ISNUMBER(SEARCH(", "&amp;$B85&amp;", ", ", "&amp;INDEX('Form Responses'!$R$1:$R$200,8)&amp;", "))),1,""))</f>
        <v/>
      </c>
      <c r="K85">
        <f>IF(Wizards!$A$9="","",IF(OR(ISNUMBER(SEARCH(", "&amp;$B85&amp;", ", ", "&amp;INDEX('Form Responses'!$I$1:$Q$200,9,$A85)&amp;", ")),ISNUMBER(SEARCH(", "&amp;$B85&amp;", ", ", "&amp;INDEX('Form Responses'!$R$1:$R$200,9)&amp;", "))),1,""))</f>
        <v/>
      </c>
      <c r="L85">
        <f>IF(Wizards!$A$10="","",IF(OR(ISNUMBER(SEARCH(", "&amp;$B85&amp;", ", ", "&amp;INDEX('Form Responses'!$I$1:$Q$200,10,$A85)&amp;", ")),ISNUMBER(SEARCH(", "&amp;$B85&amp;", ", ", "&amp;INDEX('Form Responses'!$R$1:$R$200,10)&amp;", "))),1,""))</f>
        <v/>
      </c>
      <c r="M85">
        <f>IF(Wizards!$A$11="","",IF(OR(ISNUMBER(SEARCH(", "&amp;$B85&amp;", ", ", "&amp;INDEX('Form Responses'!$I$1:$Q$200,11,$A85)&amp;", ")),ISNUMBER(SEARCH(", "&amp;$B85&amp;", ", ", "&amp;INDEX('Form Responses'!$R$1:$R$200,11)&amp;", "))),1,""))</f>
        <v/>
      </c>
      <c r="N85">
        <f>IF(Wizards!$A$12="","",IF(OR(ISNUMBER(SEARCH(", "&amp;$B85&amp;", ", ", "&amp;INDEX('Form Responses'!$I$1:$Q$200,12,$A85)&amp;", ")),ISNUMBER(SEARCH(", "&amp;$B85&amp;", ", ", "&amp;INDEX('Form Responses'!$R$1:$R$200,12)&amp;", "))),1,""))</f>
        <v/>
      </c>
      <c r="O85">
        <f>IF(Wizards!$A$13="","",IF(OR(ISNUMBER(SEARCH(", "&amp;$B85&amp;", ", ", "&amp;INDEX('Form Responses'!$I$1:$Q$200,13,$A85)&amp;", ")),ISNUMBER(SEARCH(", "&amp;$B85&amp;", ", ", "&amp;INDEX('Form Responses'!$R$1:$R$200,13)&amp;", "))),1,""))</f>
        <v/>
      </c>
      <c r="P85">
        <f>IF(Wizards!$A$14="","",IF(OR(ISNUMBER(SEARCH(", "&amp;$B85&amp;", ", ", "&amp;INDEX('Form Responses'!$I$1:$Q$200,14,$A85)&amp;", ")),ISNUMBER(SEARCH(", "&amp;$B85&amp;", ", ", "&amp;INDEX('Form Responses'!$R$1:$R$200,14)&amp;", "))),1,""))</f>
        <v/>
      </c>
      <c r="Q85">
        <f>IF(Wizards!$A$15="","",IF(OR(ISNUMBER(SEARCH(", "&amp;$B85&amp;", ", ", "&amp;INDEX('Form Responses'!$I$1:$Q$200,15,$A85)&amp;", ")),ISNUMBER(SEARCH(", "&amp;$B85&amp;", ", ", "&amp;INDEX('Form Responses'!$R$1:$R$200,15)&amp;", "))),1,""))</f>
        <v/>
      </c>
      <c r="R85">
        <f>IF(Wizards!$A$16="","",IF(OR(ISNUMBER(SEARCH(", "&amp;$B85&amp;", ", ", "&amp;INDEX('Form Responses'!$I$1:$Q$200,16,$A85)&amp;", ")),ISNUMBER(SEARCH(", "&amp;$B85&amp;", ", ", "&amp;INDEX('Form Responses'!$R$1:$R$200,16)&amp;", "))),1,""))</f>
        <v/>
      </c>
      <c r="S85">
        <f>IF(Wizards!$A$17="","",IF(OR(ISNUMBER(SEARCH(", "&amp;$B85&amp;", ", ", "&amp;INDEX('Form Responses'!$I$1:$Q$200,17,$A85)&amp;", ")),ISNUMBER(SEARCH(", "&amp;$B85&amp;", ", ", "&amp;INDEX('Form Responses'!$R$1:$R$200,17)&amp;", "))),1,""))</f>
        <v/>
      </c>
      <c r="T85">
        <f>IF(Wizards!$A$18="","",IF(OR(ISNUMBER(SEARCH(", "&amp;$B85&amp;", ", ", "&amp;INDEX('Form Responses'!$I$1:$Q$200,18,$A85)&amp;", ")),ISNUMBER(SEARCH(", "&amp;$B85&amp;", ", ", "&amp;INDEX('Form Responses'!$R$1:$R$200,18)&amp;", "))),1,""))</f>
        <v/>
      </c>
      <c r="U85">
        <f>IF(Wizards!$A$19="","",IF(OR(ISNUMBER(SEARCH(", "&amp;$B85&amp;", ", ", "&amp;INDEX('Form Responses'!$I$1:$Q$200,19,$A85)&amp;", ")),ISNUMBER(SEARCH(", "&amp;$B85&amp;", ", ", "&amp;INDEX('Form Responses'!$R$1:$R$200,19)&amp;", "))),1,""))</f>
        <v/>
      </c>
      <c r="V85">
        <f>IF(Wizards!$A$20="","",IF(OR(ISNUMBER(SEARCH(", "&amp;$B85&amp;", ", ", "&amp;INDEX('Form Responses'!$I$1:$Q$200,20,$A85)&amp;", ")),ISNUMBER(SEARCH(", "&amp;$B85&amp;", ", ", "&amp;INDEX('Form Responses'!$R$1:$R$200,20)&amp;", "))),1,""))</f>
        <v/>
      </c>
      <c r="W85">
        <f>IF(Wizards!$A$21="","",IF(OR(ISNUMBER(SEARCH(", "&amp;$B85&amp;", ", ", "&amp;INDEX('Form Responses'!$I$1:$Q$200,21,$A85)&amp;", ")),ISNUMBER(SEARCH(", "&amp;$B85&amp;", ", ", "&amp;INDEX('Form Responses'!$R$1:$R$200,21)&amp;", "))),1,""))</f>
        <v/>
      </c>
      <c r="X85">
        <f>IF(Wizards!$A$22="","",IF(OR(ISNUMBER(SEARCH(", "&amp;$B85&amp;", ", ", "&amp;INDEX('Form Responses'!$I$1:$Q$200,22,$A85)&amp;", ")),ISNUMBER(SEARCH(", "&amp;$B85&amp;", ", ", "&amp;INDEX('Form Responses'!$R$1:$R$200,22)&amp;", "))),1,""))</f>
        <v/>
      </c>
      <c r="Y85">
        <f>IF(Wizards!$A$23="","",IF(OR(ISNUMBER(SEARCH(", "&amp;$B85&amp;", ", ", "&amp;INDEX('Form Responses'!$I$1:$Q$200,23,$A85)&amp;", ")),ISNUMBER(SEARCH(", "&amp;$B85&amp;", ", ", "&amp;INDEX('Form Responses'!$R$1:$R$200,23)&amp;", "))),1,""))</f>
        <v/>
      </c>
      <c r="Z85">
        <f>IF(Wizards!$A$24="","",IF(OR(ISNUMBER(SEARCH(", "&amp;$B85&amp;", ", ", "&amp;INDEX('Form Responses'!$I$1:$Q$200,24,$A85)&amp;", ")),ISNUMBER(SEARCH(", "&amp;$B85&amp;", ", ", "&amp;INDEX('Form Responses'!$R$1:$R$200,24)&amp;", "))),1,""))</f>
        <v/>
      </c>
      <c r="AA85">
        <f>IF(Wizards!$A$25="","",IF(OR(ISNUMBER(SEARCH(", "&amp;$B85&amp;", ", ", "&amp;INDEX('Form Responses'!$I$1:$Q$200,25,$A85)&amp;", ")),ISNUMBER(SEARCH(", "&amp;$B85&amp;", ", ", "&amp;INDEX('Form Responses'!$R$1:$R$200,25)&amp;", "))),1,""))</f>
        <v/>
      </c>
      <c r="AB85">
        <f>IF(D85=1,", "&amp;D$1,"")</f>
        <v/>
      </c>
      <c r="AC85">
        <f>IF(E85=1,", "&amp;E$1,"")</f>
        <v/>
      </c>
      <c r="AD85">
        <f>IF(F85=1,", "&amp;F$1,"")</f>
        <v/>
      </c>
      <c r="AE85">
        <f>IF(G85=1,", "&amp;G$1,"")</f>
        <v/>
      </c>
      <c r="AF85">
        <f>IF(H85=1,", "&amp;H$1,"")</f>
        <v/>
      </c>
      <c r="AG85">
        <f>IF(I85=1,", "&amp;I$1,"")</f>
        <v/>
      </c>
      <c r="AH85">
        <f>IF(J85=1,", "&amp;J$1,"")</f>
        <v/>
      </c>
      <c r="AI85">
        <f>IF(K85=1,", "&amp;K$1,"")</f>
        <v/>
      </c>
      <c r="AJ85">
        <f>IF(L85=1,", "&amp;L$1,"")</f>
        <v/>
      </c>
      <c r="AK85">
        <f>IF(M85=1,", "&amp;M$1,"")</f>
        <v/>
      </c>
      <c r="AL85">
        <f>IF(N85=1,", "&amp;N$1,"")</f>
        <v/>
      </c>
      <c r="AM85">
        <f>IF(O85=1,", "&amp;O$1,"")</f>
        <v/>
      </c>
      <c r="AN85">
        <f>IF(P85=1,", "&amp;P$1,"")</f>
        <v/>
      </c>
      <c r="AO85">
        <f>IF(Q85=1,", "&amp;Q$1,"")</f>
        <v/>
      </c>
      <c r="AP85">
        <f>IF(R85=1,", "&amp;R$1,"")</f>
        <v/>
      </c>
      <c r="AQ85">
        <f>IF(S85=1,", "&amp;S$1,"")</f>
        <v/>
      </c>
      <c r="AR85">
        <f>IF(T85=1,", "&amp;T$1,"")</f>
        <v/>
      </c>
      <c r="AS85">
        <f>IF(U85=1,", "&amp;U$1,"")</f>
        <v/>
      </c>
      <c r="AT85">
        <f>IF(V85=1,", "&amp;V$1,"")</f>
        <v/>
      </c>
      <c r="AU85">
        <f>IF(W85=1,", "&amp;W$1,"")</f>
        <v/>
      </c>
      <c r="AV85">
        <f>IF(X85=1,", "&amp;X$1,"")</f>
        <v/>
      </c>
      <c r="AW85">
        <f>IF(Y85=1,", "&amp;Y$1,"")</f>
        <v/>
      </c>
      <c r="AX85">
        <f>IF(Z85=1,", "&amp;Z$1,"")</f>
        <v/>
      </c>
      <c r="AY85">
        <f>IF(AA85=1,", "&amp;AA$1,"")</f>
        <v/>
      </c>
      <c r="AZ85">
        <f>MID($AB85&amp;$AC85&amp;$AD85&amp;$AE85&amp;$AF85&amp;$AG85&amp;$AH85&amp;$AI85&amp;$AJ85&amp;$AK85&amp;$AL85&amp;$AM85&amp;$AN85&amp;$AO85&amp;$AP85&amp;$AQ85&amp;$AR85&amp;$AS85&amp;$AT85&amp;$AU85&amp;$AV85&amp;$AW85&amp;$AX85&amp;$AY85,3,32767)</f>
        <v/>
      </c>
      <c r="BA85">
        <f>COUNT($D85:$AA85)</f>
        <v/>
      </c>
    </row>
    <row r="86">
      <c r="A86" t="n">
        <v>2</v>
      </c>
      <c r="B86" t="inlineStr">
        <is>
          <t>Pyrotechnics</t>
        </is>
      </c>
      <c r="C86" t="inlineStr">
        <is>
          <t>Transmutation</t>
        </is>
      </c>
      <c r="D86">
        <f>IF(Wizards!$A$2="","",IF(OR(ISNUMBER(SEARCH(", "&amp;$B86&amp;", ", ", "&amp;INDEX('Form Responses'!$I$1:$Q$200,2,$A86)&amp;", ")),ISNUMBER(SEARCH(", "&amp;$B86&amp;", ", ", "&amp;INDEX('Form Responses'!$R$1:$R$200,2)&amp;", "))),1,""))</f>
        <v/>
      </c>
      <c r="E86">
        <f>IF(Wizards!$A$3="","",IF(OR(ISNUMBER(SEARCH(", "&amp;$B86&amp;", ", ", "&amp;INDEX('Form Responses'!$I$1:$Q$200,3,$A86)&amp;", ")),ISNUMBER(SEARCH(", "&amp;$B86&amp;", ", ", "&amp;INDEX('Form Responses'!$R$1:$R$200,3)&amp;", "))),1,""))</f>
        <v/>
      </c>
      <c r="F86">
        <f>IF(Wizards!$A$4="","",IF(OR(ISNUMBER(SEARCH(", "&amp;$B86&amp;", ", ", "&amp;INDEX('Form Responses'!$I$1:$Q$200,4,$A86)&amp;", ")),ISNUMBER(SEARCH(", "&amp;$B86&amp;", ", ", "&amp;INDEX('Form Responses'!$R$1:$R$200,4)&amp;", "))),1,""))</f>
        <v/>
      </c>
      <c r="G86">
        <f>IF(Wizards!$A$5="","",IF(OR(ISNUMBER(SEARCH(", "&amp;$B86&amp;", ", ", "&amp;INDEX('Form Responses'!$I$1:$Q$200,5,$A86)&amp;", ")),ISNUMBER(SEARCH(", "&amp;$B86&amp;", ", ", "&amp;INDEX('Form Responses'!$R$1:$R$200,5)&amp;", "))),1,""))</f>
        <v/>
      </c>
      <c r="H86">
        <f>IF(Wizards!$A$6="","",IF(OR(ISNUMBER(SEARCH(", "&amp;$B86&amp;", ", ", "&amp;INDEX('Form Responses'!$I$1:$Q$200,6,$A86)&amp;", ")),ISNUMBER(SEARCH(", "&amp;$B86&amp;", ", ", "&amp;INDEX('Form Responses'!$R$1:$R$200,6)&amp;", "))),1,""))</f>
        <v/>
      </c>
      <c r="I86">
        <f>IF(Wizards!$A$7="","",IF(OR(ISNUMBER(SEARCH(", "&amp;$B86&amp;", ", ", "&amp;INDEX('Form Responses'!$I$1:$Q$200,7,$A86)&amp;", ")),ISNUMBER(SEARCH(", "&amp;$B86&amp;", ", ", "&amp;INDEX('Form Responses'!$R$1:$R$200,7)&amp;", "))),1,""))</f>
        <v/>
      </c>
      <c r="J86">
        <f>IF(Wizards!$A$8="","",IF(OR(ISNUMBER(SEARCH(", "&amp;$B86&amp;", ", ", "&amp;INDEX('Form Responses'!$I$1:$Q$200,8,$A86)&amp;", ")),ISNUMBER(SEARCH(", "&amp;$B86&amp;", ", ", "&amp;INDEX('Form Responses'!$R$1:$R$200,8)&amp;", "))),1,""))</f>
        <v/>
      </c>
      <c r="K86">
        <f>IF(Wizards!$A$9="","",IF(OR(ISNUMBER(SEARCH(", "&amp;$B86&amp;", ", ", "&amp;INDEX('Form Responses'!$I$1:$Q$200,9,$A86)&amp;", ")),ISNUMBER(SEARCH(", "&amp;$B86&amp;", ", ", "&amp;INDEX('Form Responses'!$R$1:$R$200,9)&amp;", "))),1,""))</f>
        <v/>
      </c>
      <c r="L86">
        <f>IF(Wizards!$A$10="","",IF(OR(ISNUMBER(SEARCH(", "&amp;$B86&amp;", ", ", "&amp;INDEX('Form Responses'!$I$1:$Q$200,10,$A86)&amp;", ")),ISNUMBER(SEARCH(", "&amp;$B86&amp;", ", ", "&amp;INDEX('Form Responses'!$R$1:$R$200,10)&amp;", "))),1,""))</f>
        <v/>
      </c>
      <c r="M86">
        <f>IF(Wizards!$A$11="","",IF(OR(ISNUMBER(SEARCH(", "&amp;$B86&amp;", ", ", "&amp;INDEX('Form Responses'!$I$1:$Q$200,11,$A86)&amp;", ")),ISNUMBER(SEARCH(", "&amp;$B86&amp;", ", ", "&amp;INDEX('Form Responses'!$R$1:$R$200,11)&amp;", "))),1,""))</f>
        <v/>
      </c>
      <c r="N86">
        <f>IF(Wizards!$A$12="","",IF(OR(ISNUMBER(SEARCH(", "&amp;$B86&amp;", ", ", "&amp;INDEX('Form Responses'!$I$1:$Q$200,12,$A86)&amp;", ")),ISNUMBER(SEARCH(", "&amp;$B86&amp;", ", ", "&amp;INDEX('Form Responses'!$R$1:$R$200,12)&amp;", "))),1,""))</f>
        <v/>
      </c>
      <c r="O86">
        <f>IF(Wizards!$A$13="","",IF(OR(ISNUMBER(SEARCH(", "&amp;$B86&amp;", ", ", "&amp;INDEX('Form Responses'!$I$1:$Q$200,13,$A86)&amp;", ")),ISNUMBER(SEARCH(", "&amp;$B86&amp;", ", ", "&amp;INDEX('Form Responses'!$R$1:$R$200,13)&amp;", "))),1,""))</f>
        <v/>
      </c>
      <c r="P86">
        <f>IF(Wizards!$A$14="","",IF(OR(ISNUMBER(SEARCH(", "&amp;$B86&amp;", ", ", "&amp;INDEX('Form Responses'!$I$1:$Q$200,14,$A86)&amp;", ")),ISNUMBER(SEARCH(", "&amp;$B86&amp;", ", ", "&amp;INDEX('Form Responses'!$R$1:$R$200,14)&amp;", "))),1,""))</f>
        <v/>
      </c>
      <c r="Q86">
        <f>IF(Wizards!$A$15="","",IF(OR(ISNUMBER(SEARCH(", "&amp;$B86&amp;", ", ", "&amp;INDEX('Form Responses'!$I$1:$Q$200,15,$A86)&amp;", ")),ISNUMBER(SEARCH(", "&amp;$B86&amp;", ", ", "&amp;INDEX('Form Responses'!$R$1:$R$200,15)&amp;", "))),1,""))</f>
        <v/>
      </c>
      <c r="R86">
        <f>IF(Wizards!$A$16="","",IF(OR(ISNUMBER(SEARCH(", "&amp;$B86&amp;", ", ", "&amp;INDEX('Form Responses'!$I$1:$Q$200,16,$A86)&amp;", ")),ISNUMBER(SEARCH(", "&amp;$B86&amp;", ", ", "&amp;INDEX('Form Responses'!$R$1:$R$200,16)&amp;", "))),1,""))</f>
        <v/>
      </c>
      <c r="S86">
        <f>IF(Wizards!$A$17="","",IF(OR(ISNUMBER(SEARCH(", "&amp;$B86&amp;", ", ", "&amp;INDEX('Form Responses'!$I$1:$Q$200,17,$A86)&amp;", ")),ISNUMBER(SEARCH(", "&amp;$B86&amp;", ", ", "&amp;INDEX('Form Responses'!$R$1:$R$200,17)&amp;", "))),1,""))</f>
        <v/>
      </c>
      <c r="T86">
        <f>IF(Wizards!$A$18="","",IF(OR(ISNUMBER(SEARCH(", "&amp;$B86&amp;", ", ", "&amp;INDEX('Form Responses'!$I$1:$Q$200,18,$A86)&amp;", ")),ISNUMBER(SEARCH(", "&amp;$B86&amp;", ", ", "&amp;INDEX('Form Responses'!$R$1:$R$200,18)&amp;", "))),1,""))</f>
        <v/>
      </c>
      <c r="U86">
        <f>IF(Wizards!$A$19="","",IF(OR(ISNUMBER(SEARCH(", "&amp;$B86&amp;", ", ", "&amp;INDEX('Form Responses'!$I$1:$Q$200,19,$A86)&amp;", ")),ISNUMBER(SEARCH(", "&amp;$B86&amp;", ", ", "&amp;INDEX('Form Responses'!$R$1:$R$200,19)&amp;", "))),1,""))</f>
        <v/>
      </c>
      <c r="V86">
        <f>IF(Wizards!$A$20="","",IF(OR(ISNUMBER(SEARCH(", "&amp;$B86&amp;", ", ", "&amp;INDEX('Form Responses'!$I$1:$Q$200,20,$A86)&amp;", ")),ISNUMBER(SEARCH(", "&amp;$B86&amp;", ", ", "&amp;INDEX('Form Responses'!$R$1:$R$200,20)&amp;", "))),1,""))</f>
        <v/>
      </c>
      <c r="W86">
        <f>IF(Wizards!$A$21="","",IF(OR(ISNUMBER(SEARCH(", "&amp;$B86&amp;", ", ", "&amp;INDEX('Form Responses'!$I$1:$Q$200,21,$A86)&amp;", ")),ISNUMBER(SEARCH(", "&amp;$B86&amp;", ", ", "&amp;INDEX('Form Responses'!$R$1:$R$200,21)&amp;", "))),1,""))</f>
        <v/>
      </c>
      <c r="X86">
        <f>IF(Wizards!$A$22="","",IF(OR(ISNUMBER(SEARCH(", "&amp;$B86&amp;", ", ", "&amp;INDEX('Form Responses'!$I$1:$Q$200,22,$A86)&amp;", ")),ISNUMBER(SEARCH(", "&amp;$B86&amp;", ", ", "&amp;INDEX('Form Responses'!$R$1:$R$200,22)&amp;", "))),1,""))</f>
        <v/>
      </c>
      <c r="Y86">
        <f>IF(Wizards!$A$23="","",IF(OR(ISNUMBER(SEARCH(", "&amp;$B86&amp;", ", ", "&amp;INDEX('Form Responses'!$I$1:$Q$200,23,$A86)&amp;", ")),ISNUMBER(SEARCH(", "&amp;$B86&amp;", ", ", "&amp;INDEX('Form Responses'!$R$1:$R$200,23)&amp;", "))),1,""))</f>
        <v/>
      </c>
      <c r="Z86">
        <f>IF(Wizards!$A$24="","",IF(OR(ISNUMBER(SEARCH(", "&amp;$B86&amp;", ", ", "&amp;INDEX('Form Responses'!$I$1:$Q$200,24,$A86)&amp;", ")),ISNUMBER(SEARCH(", "&amp;$B86&amp;", ", ", "&amp;INDEX('Form Responses'!$R$1:$R$200,24)&amp;", "))),1,""))</f>
        <v/>
      </c>
      <c r="AA86">
        <f>IF(Wizards!$A$25="","",IF(OR(ISNUMBER(SEARCH(", "&amp;$B86&amp;", ", ", "&amp;INDEX('Form Responses'!$I$1:$Q$200,25,$A86)&amp;", ")),ISNUMBER(SEARCH(", "&amp;$B86&amp;", ", ", "&amp;INDEX('Form Responses'!$R$1:$R$200,25)&amp;", "))),1,""))</f>
        <v/>
      </c>
      <c r="AB86">
        <f>IF(D86=1,", "&amp;D$1,"")</f>
        <v/>
      </c>
      <c r="AC86">
        <f>IF(E86=1,", "&amp;E$1,"")</f>
        <v/>
      </c>
      <c r="AD86">
        <f>IF(F86=1,", "&amp;F$1,"")</f>
        <v/>
      </c>
      <c r="AE86">
        <f>IF(G86=1,", "&amp;G$1,"")</f>
        <v/>
      </c>
      <c r="AF86">
        <f>IF(H86=1,", "&amp;H$1,"")</f>
        <v/>
      </c>
      <c r="AG86">
        <f>IF(I86=1,", "&amp;I$1,"")</f>
        <v/>
      </c>
      <c r="AH86">
        <f>IF(J86=1,", "&amp;J$1,"")</f>
        <v/>
      </c>
      <c r="AI86">
        <f>IF(K86=1,", "&amp;K$1,"")</f>
        <v/>
      </c>
      <c r="AJ86">
        <f>IF(L86=1,", "&amp;L$1,"")</f>
        <v/>
      </c>
      <c r="AK86">
        <f>IF(M86=1,", "&amp;M$1,"")</f>
        <v/>
      </c>
      <c r="AL86">
        <f>IF(N86=1,", "&amp;N$1,"")</f>
        <v/>
      </c>
      <c r="AM86">
        <f>IF(O86=1,", "&amp;O$1,"")</f>
        <v/>
      </c>
      <c r="AN86">
        <f>IF(P86=1,", "&amp;P$1,"")</f>
        <v/>
      </c>
      <c r="AO86">
        <f>IF(Q86=1,", "&amp;Q$1,"")</f>
        <v/>
      </c>
      <c r="AP86">
        <f>IF(R86=1,", "&amp;R$1,"")</f>
        <v/>
      </c>
      <c r="AQ86">
        <f>IF(S86=1,", "&amp;S$1,"")</f>
        <v/>
      </c>
      <c r="AR86">
        <f>IF(T86=1,", "&amp;T$1,"")</f>
        <v/>
      </c>
      <c r="AS86">
        <f>IF(U86=1,", "&amp;U$1,"")</f>
        <v/>
      </c>
      <c r="AT86">
        <f>IF(V86=1,", "&amp;V$1,"")</f>
        <v/>
      </c>
      <c r="AU86">
        <f>IF(W86=1,", "&amp;W$1,"")</f>
        <v/>
      </c>
      <c r="AV86">
        <f>IF(X86=1,", "&amp;X$1,"")</f>
        <v/>
      </c>
      <c r="AW86">
        <f>IF(Y86=1,", "&amp;Y$1,"")</f>
        <v/>
      </c>
      <c r="AX86">
        <f>IF(Z86=1,", "&amp;Z$1,"")</f>
        <v/>
      </c>
      <c r="AY86">
        <f>IF(AA86=1,", "&amp;AA$1,"")</f>
        <v/>
      </c>
      <c r="AZ86">
        <f>MID($AB86&amp;$AC86&amp;$AD86&amp;$AE86&amp;$AF86&amp;$AG86&amp;$AH86&amp;$AI86&amp;$AJ86&amp;$AK86&amp;$AL86&amp;$AM86&amp;$AN86&amp;$AO86&amp;$AP86&amp;$AQ86&amp;$AR86&amp;$AS86&amp;$AT86&amp;$AU86&amp;$AV86&amp;$AW86&amp;$AX86&amp;$AY86,3,32767)</f>
        <v/>
      </c>
      <c r="BA86">
        <f>COUNT($D86:$AA86)</f>
        <v/>
      </c>
    </row>
    <row r="87">
      <c r="A87" t="n">
        <v>2</v>
      </c>
      <c r="B87" t="inlineStr">
        <is>
          <t>Ray of Enfeeblement</t>
        </is>
      </c>
      <c r="C87" t="inlineStr">
        <is>
          <t>Necromancy</t>
        </is>
      </c>
      <c r="D87">
        <f>IF(Wizards!$A$2="","",IF(OR(ISNUMBER(SEARCH(", "&amp;$B87&amp;", ", ", "&amp;INDEX('Form Responses'!$I$1:$Q$200,2,$A87)&amp;", ")),ISNUMBER(SEARCH(", "&amp;$B87&amp;", ", ", "&amp;INDEX('Form Responses'!$R$1:$R$200,2)&amp;", "))),1,""))</f>
        <v/>
      </c>
      <c r="E87">
        <f>IF(Wizards!$A$3="","",IF(OR(ISNUMBER(SEARCH(", "&amp;$B87&amp;", ", ", "&amp;INDEX('Form Responses'!$I$1:$Q$200,3,$A87)&amp;", ")),ISNUMBER(SEARCH(", "&amp;$B87&amp;", ", ", "&amp;INDEX('Form Responses'!$R$1:$R$200,3)&amp;", "))),1,""))</f>
        <v/>
      </c>
      <c r="F87">
        <f>IF(Wizards!$A$4="","",IF(OR(ISNUMBER(SEARCH(", "&amp;$B87&amp;", ", ", "&amp;INDEX('Form Responses'!$I$1:$Q$200,4,$A87)&amp;", ")),ISNUMBER(SEARCH(", "&amp;$B87&amp;", ", ", "&amp;INDEX('Form Responses'!$R$1:$R$200,4)&amp;", "))),1,""))</f>
        <v/>
      </c>
      <c r="G87">
        <f>IF(Wizards!$A$5="","",IF(OR(ISNUMBER(SEARCH(", "&amp;$B87&amp;", ", ", "&amp;INDEX('Form Responses'!$I$1:$Q$200,5,$A87)&amp;", ")),ISNUMBER(SEARCH(", "&amp;$B87&amp;", ", ", "&amp;INDEX('Form Responses'!$R$1:$R$200,5)&amp;", "))),1,""))</f>
        <v/>
      </c>
      <c r="H87">
        <f>IF(Wizards!$A$6="","",IF(OR(ISNUMBER(SEARCH(", "&amp;$B87&amp;", ", ", "&amp;INDEX('Form Responses'!$I$1:$Q$200,6,$A87)&amp;", ")),ISNUMBER(SEARCH(", "&amp;$B87&amp;", ", ", "&amp;INDEX('Form Responses'!$R$1:$R$200,6)&amp;", "))),1,""))</f>
        <v/>
      </c>
      <c r="I87">
        <f>IF(Wizards!$A$7="","",IF(OR(ISNUMBER(SEARCH(", "&amp;$B87&amp;", ", ", "&amp;INDEX('Form Responses'!$I$1:$Q$200,7,$A87)&amp;", ")),ISNUMBER(SEARCH(", "&amp;$B87&amp;", ", ", "&amp;INDEX('Form Responses'!$R$1:$R$200,7)&amp;", "))),1,""))</f>
        <v/>
      </c>
      <c r="J87">
        <f>IF(Wizards!$A$8="","",IF(OR(ISNUMBER(SEARCH(", "&amp;$B87&amp;", ", ", "&amp;INDEX('Form Responses'!$I$1:$Q$200,8,$A87)&amp;", ")),ISNUMBER(SEARCH(", "&amp;$B87&amp;", ", ", "&amp;INDEX('Form Responses'!$R$1:$R$200,8)&amp;", "))),1,""))</f>
        <v/>
      </c>
      <c r="K87">
        <f>IF(Wizards!$A$9="","",IF(OR(ISNUMBER(SEARCH(", "&amp;$B87&amp;", ", ", "&amp;INDEX('Form Responses'!$I$1:$Q$200,9,$A87)&amp;", ")),ISNUMBER(SEARCH(", "&amp;$B87&amp;", ", ", "&amp;INDEX('Form Responses'!$R$1:$R$200,9)&amp;", "))),1,""))</f>
        <v/>
      </c>
      <c r="L87">
        <f>IF(Wizards!$A$10="","",IF(OR(ISNUMBER(SEARCH(", "&amp;$B87&amp;", ", ", "&amp;INDEX('Form Responses'!$I$1:$Q$200,10,$A87)&amp;", ")),ISNUMBER(SEARCH(", "&amp;$B87&amp;", ", ", "&amp;INDEX('Form Responses'!$R$1:$R$200,10)&amp;", "))),1,""))</f>
        <v/>
      </c>
      <c r="M87">
        <f>IF(Wizards!$A$11="","",IF(OR(ISNUMBER(SEARCH(", "&amp;$B87&amp;", ", ", "&amp;INDEX('Form Responses'!$I$1:$Q$200,11,$A87)&amp;", ")),ISNUMBER(SEARCH(", "&amp;$B87&amp;", ", ", "&amp;INDEX('Form Responses'!$R$1:$R$200,11)&amp;", "))),1,""))</f>
        <v/>
      </c>
      <c r="N87">
        <f>IF(Wizards!$A$12="","",IF(OR(ISNUMBER(SEARCH(", "&amp;$B87&amp;", ", ", "&amp;INDEX('Form Responses'!$I$1:$Q$200,12,$A87)&amp;", ")),ISNUMBER(SEARCH(", "&amp;$B87&amp;", ", ", "&amp;INDEX('Form Responses'!$R$1:$R$200,12)&amp;", "))),1,""))</f>
        <v/>
      </c>
      <c r="O87">
        <f>IF(Wizards!$A$13="","",IF(OR(ISNUMBER(SEARCH(", "&amp;$B87&amp;", ", ", "&amp;INDEX('Form Responses'!$I$1:$Q$200,13,$A87)&amp;", ")),ISNUMBER(SEARCH(", "&amp;$B87&amp;", ", ", "&amp;INDEX('Form Responses'!$R$1:$R$200,13)&amp;", "))),1,""))</f>
        <v/>
      </c>
      <c r="P87">
        <f>IF(Wizards!$A$14="","",IF(OR(ISNUMBER(SEARCH(", "&amp;$B87&amp;", ", ", "&amp;INDEX('Form Responses'!$I$1:$Q$200,14,$A87)&amp;", ")),ISNUMBER(SEARCH(", "&amp;$B87&amp;", ", ", "&amp;INDEX('Form Responses'!$R$1:$R$200,14)&amp;", "))),1,""))</f>
        <v/>
      </c>
      <c r="Q87">
        <f>IF(Wizards!$A$15="","",IF(OR(ISNUMBER(SEARCH(", "&amp;$B87&amp;", ", ", "&amp;INDEX('Form Responses'!$I$1:$Q$200,15,$A87)&amp;", ")),ISNUMBER(SEARCH(", "&amp;$B87&amp;", ", ", "&amp;INDEX('Form Responses'!$R$1:$R$200,15)&amp;", "))),1,""))</f>
        <v/>
      </c>
      <c r="R87">
        <f>IF(Wizards!$A$16="","",IF(OR(ISNUMBER(SEARCH(", "&amp;$B87&amp;", ", ", "&amp;INDEX('Form Responses'!$I$1:$Q$200,16,$A87)&amp;", ")),ISNUMBER(SEARCH(", "&amp;$B87&amp;", ", ", "&amp;INDEX('Form Responses'!$R$1:$R$200,16)&amp;", "))),1,""))</f>
        <v/>
      </c>
      <c r="S87">
        <f>IF(Wizards!$A$17="","",IF(OR(ISNUMBER(SEARCH(", "&amp;$B87&amp;", ", ", "&amp;INDEX('Form Responses'!$I$1:$Q$200,17,$A87)&amp;", ")),ISNUMBER(SEARCH(", "&amp;$B87&amp;", ", ", "&amp;INDEX('Form Responses'!$R$1:$R$200,17)&amp;", "))),1,""))</f>
        <v/>
      </c>
      <c r="T87">
        <f>IF(Wizards!$A$18="","",IF(OR(ISNUMBER(SEARCH(", "&amp;$B87&amp;", ", ", "&amp;INDEX('Form Responses'!$I$1:$Q$200,18,$A87)&amp;", ")),ISNUMBER(SEARCH(", "&amp;$B87&amp;", ", ", "&amp;INDEX('Form Responses'!$R$1:$R$200,18)&amp;", "))),1,""))</f>
        <v/>
      </c>
      <c r="U87">
        <f>IF(Wizards!$A$19="","",IF(OR(ISNUMBER(SEARCH(", "&amp;$B87&amp;", ", ", "&amp;INDEX('Form Responses'!$I$1:$Q$200,19,$A87)&amp;", ")),ISNUMBER(SEARCH(", "&amp;$B87&amp;", ", ", "&amp;INDEX('Form Responses'!$R$1:$R$200,19)&amp;", "))),1,""))</f>
        <v/>
      </c>
      <c r="V87">
        <f>IF(Wizards!$A$20="","",IF(OR(ISNUMBER(SEARCH(", "&amp;$B87&amp;", ", ", "&amp;INDEX('Form Responses'!$I$1:$Q$200,20,$A87)&amp;", ")),ISNUMBER(SEARCH(", "&amp;$B87&amp;", ", ", "&amp;INDEX('Form Responses'!$R$1:$R$200,20)&amp;", "))),1,""))</f>
        <v/>
      </c>
      <c r="W87">
        <f>IF(Wizards!$A$21="","",IF(OR(ISNUMBER(SEARCH(", "&amp;$B87&amp;", ", ", "&amp;INDEX('Form Responses'!$I$1:$Q$200,21,$A87)&amp;", ")),ISNUMBER(SEARCH(", "&amp;$B87&amp;", ", ", "&amp;INDEX('Form Responses'!$R$1:$R$200,21)&amp;", "))),1,""))</f>
        <v/>
      </c>
      <c r="X87">
        <f>IF(Wizards!$A$22="","",IF(OR(ISNUMBER(SEARCH(", "&amp;$B87&amp;", ", ", "&amp;INDEX('Form Responses'!$I$1:$Q$200,22,$A87)&amp;", ")),ISNUMBER(SEARCH(", "&amp;$B87&amp;", ", ", "&amp;INDEX('Form Responses'!$R$1:$R$200,22)&amp;", "))),1,""))</f>
        <v/>
      </c>
      <c r="Y87">
        <f>IF(Wizards!$A$23="","",IF(OR(ISNUMBER(SEARCH(", "&amp;$B87&amp;", ", ", "&amp;INDEX('Form Responses'!$I$1:$Q$200,23,$A87)&amp;", ")),ISNUMBER(SEARCH(", "&amp;$B87&amp;", ", ", "&amp;INDEX('Form Responses'!$R$1:$R$200,23)&amp;", "))),1,""))</f>
        <v/>
      </c>
      <c r="Z87">
        <f>IF(Wizards!$A$24="","",IF(OR(ISNUMBER(SEARCH(", "&amp;$B87&amp;", ", ", "&amp;INDEX('Form Responses'!$I$1:$Q$200,24,$A87)&amp;", ")),ISNUMBER(SEARCH(", "&amp;$B87&amp;", ", ", "&amp;INDEX('Form Responses'!$R$1:$R$200,24)&amp;", "))),1,""))</f>
        <v/>
      </c>
      <c r="AA87">
        <f>IF(Wizards!$A$25="","",IF(OR(ISNUMBER(SEARCH(", "&amp;$B87&amp;", ", ", "&amp;INDEX('Form Responses'!$I$1:$Q$200,25,$A87)&amp;", ")),ISNUMBER(SEARCH(", "&amp;$B87&amp;", ", ", "&amp;INDEX('Form Responses'!$R$1:$R$200,25)&amp;", "))),1,""))</f>
        <v/>
      </c>
      <c r="AB87">
        <f>IF(D87=1,", "&amp;D$1,"")</f>
        <v/>
      </c>
      <c r="AC87">
        <f>IF(E87=1,", "&amp;E$1,"")</f>
        <v/>
      </c>
      <c r="AD87">
        <f>IF(F87=1,", "&amp;F$1,"")</f>
        <v/>
      </c>
      <c r="AE87">
        <f>IF(G87=1,", "&amp;G$1,"")</f>
        <v/>
      </c>
      <c r="AF87">
        <f>IF(H87=1,", "&amp;H$1,"")</f>
        <v/>
      </c>
      <c r="AG87">
        <f>IF(I87=1,", "&amp;I$1,"")</f>
        <v/>
      </c>
      <c r="AH87">
        <f>IF(J87=1,", "&amp;J$1,"")</f>
        <v/>
      </c>
      <c r="AI87">
        <f>IF(K87=1,", "&amp;K$1,"")</f>
        <v/>
      </c>
      <c r="AJ87">
        <f>IF(L87=1,", "&amp;L$1,"")</f>
        <v/>
      </c>
      <c r="AK87">
        <f>IF(M87=1,", "&amp;M$1,"")</f>
        <v/>
      </c>
      <c r="AL87">
        <f>IF(N87=1,", "&amp;N$1,"")</f>
        <v/>
      </c>
      <c r="AM87">
        <f>IF(O87=1,", "&amp;O$1,"")</f>
        <v/>
      </c>
      <c r="AN87">
        <f>IF(P87=1,", "&amp;P$1,"")</f>
        <v/>
      </c>
      <c r="AO87">
        <f>IF(Q87=1,", "&amp;Q$1,"")</f>
        <v/>
      </c>
      <c r="AP87">
        <f>IF(R87=1,", "&amp;R$1,"")</f>
        <v/>
      </c>
      <c r="AQ87">
        <f>IF(S87=1,", "&amp;S$1,"")</f>
        <v/>
      </c>
      <c r="AR87">
        <f>IF(T87=1,", "&amp;T$1,"")</f>
        <v/>
      </c>
      <c r="AS87">
        <f>IF(U87=1,", "&amp;U$1,"")</f>
        <v/>
      </c>
      <c r="AT87">
        <f>IF(V87=1,", "&amp;V$1,"")</f>
        <v/>
      </c>
      <c r="AU87">
        <f>IF(W87=1,", "&amp;W$1,"")</f>
        <v/>
      </c>
      <c r="AV87">
        <f>IF(X87=1,", "&amp;X$1,"")</f>
        <v/>
      </c>
      <c r="AW87">
        <f>IF(Y87=1,", "&amp;Y$1,"")</f>
        <v/>
      </c>
      <c r="AX87">
        <f>IF(Z87=1,", "&amp;Z$1,"")</f>
        <v/>
      </c>
      <c r="AY87">
        <f>IF(AA87=1,", "&amp;AA$1,"")</f>
        <v/>
      </c>
      <c r="AZ87">
        <f>MID($AB87&amp;$AC87&amp;$AD87&amp;$AE87&amp;$AF87&amp;$AG87&amp;$AH87&amp;$AI87&amp;$AJ87&amp;$AK87&amp;$AL87&amp;$AM87&amp;$AN87&amp;$AO87&amp;$AP87&amp;$AQ87&amp;$AR87&amp;$AS87&amp;$AT87&amp;$AU87&amp;$AV87&amp;$AW87&amp;$AX87&amp;$AY87,3,32767)</f>
        <v/>
      </c>
      <c r="BA87">
        <f>COUNT($D87:$AA87)</f>
        <v/>
      </c>
    </row>
    <row r="88">
      <c r="A88" t="n">
        <v>2</v>
      </c>
      <c r="B88" t="inlineStr">
        <is>
          <t>Rime's Binding Ice</t>
        </is>
      </c>
      <c r="C88" t="inlineStr">
        <is>
          <t>Evocation</t>
        </is>
      </c>
      <c r="D88">
        <f>IF(Wizards!$A$2="","",IF(OR(ISNUMBER(SEARCH(", "&amp;$B88&amp;", ", ", "&amp;INDEX('Form Responses'!$I$1:$Q$200,2,$A88)&amp;", ")),ISNUMBER(SEARCH(", "&amp;$B88&amp;", ", ", "&amp;INDEX('Form Responses'!$R$1:$R$200,2)&amp;", "))),1,""))</f>
        <v/>
      </c>
      <c r="E88">
        <f>IF(Wizards!$A$3="","",IF(OR(ISNUMBER(SEARCH(", "&amp;$B88&amp;", ", ", "&amp;INDEX('Form Responses'!$I$1:$Q$200,3,$A88)&amp;", ")),ISNUMBER(SEARCH(", "&amp;$B88&amp;", ", ", "&amp;INDEX('Form Responses'!$R$1:$R$200,3)&amp;", "))),1,""))</f>
        <v/>
      </c>
      <c r="F88">
        <f>IF(Wizards!$A$4="","",IF(OR(ISNUMBER(SEARCH(", "&amp;$B88&amp;", ", ", "&amp;INDEX('Form Responses'!$I$1:$Q$200,4,$A88)&amp;", ")),ISNUMBER(SEARCH(", "&amp;$B88&amp;", ", ", "&amp;INDEX('Form Responses'!$R$1:$R$200,4)&amp;", "))),1,""))</f>
        <v/>
      </c>
      <c r="G88">
        <f>IF(Wizards!$A$5="","",IF(OR(ISNUMBER(SEARCH(", "&amp;$B88&amp;", ", ", "&amp;INDEX('Form Responses'!$I$1:$Q$200,5,$A88)&amp;", ")),ISNUMBER(SEARCH(", "&amp;$B88&amp;", ", ", "&amp;INDEX('Form Responses'!$R$1:$R$200,5)&amp;", "))),1,""))</f>
        <v/>
      </c>
      <c r="H88">
        <f>IF(Wizards!$A$6="","",IF(OR(ISNUMBER(SEARCH(", "&amp;$B88&amp;", ", ", "&amp;INDEX('Form Responses'!$I$1:$Q$200,6,$A88)&amp;", ")),ISNUMBER(SEARCH(", "&amp;$B88&amp;", ", ", "&amp;INDEX('Form Responses'!$R$1:$R$200,6)&amp;", "))),1,""))</f>
        <v/>
      </c>
      <c r="I88">
        <f>IF(Wizards!$A$7="","",IF(OR(ISNUMBER(SEARCH(", "&amp;$B88&amp;", ", ", "&amp;INDEX('Form Responses'!$I$1:$Q$200,7,$A88)&amp;", ")),ISNUMBER(SEARCH(", "&amp;$B88&amp;", ", ", "&amp;INDEX('Form Responses'!$R$1:$R$200,7)&amp;", "))),1,""))</f>
        <v/>
      </c>
      <c r="J88">
        <f>IF(Wizards!$A$8="","",IF(OR(ISNUMBER(SEARCH(", "&amp;$B88&amp;", ", ", "&amp;INDEX('Form Responses'!$I$1:$Q$200,8,$A88)&amp;", ")),ISNUMBER(SEARCH(", "&amp;$B88&amp;", ", ", "&amp;INDEX('Form Responses'!$R$1:$R$200,8)&amp;", "))),1,""))</f>
        <v/>
      </c>
      <c r="K88">
        <f>IF(Wizards!$A$9="","",IF(OR(ISNUMBER(SEARCH(", "&amp;$B88&amp;", ", ", "&amp;INDEX('Form Responses'!$I$1:$Q$200,9,$A88)&amp;", ")),ISNUMBER(SEARCH(", "&amp;$B88&amp;", ", ", "&amp;INDEX('Form Responses'!$R$1:$R$200,9)&amp;", "))),1,""))</f>
        <v/>
      </c>
      <c r="L88">
        <f>IF(Wizards!$A$10="","",IF(OR(ISNUMBER(SEARCH(", "&amp;$B88&amp;", ", ", "&amp;INDEX('Form Responses'!$I$1:$Q$200,10,$A88)&amp;", ")),ISNUMBER(SEARCH(", "&amp;$B88&amp;", ", ", "&amp;INDEX('Form Responses'!$R$1:$R$200,10)&amp;", "))),1,""))</f>
        <v/>
      </c>
      <c r="M88">
        <f>IF(Wizards!$A$11="","",IF(OR(ISNUMBER(SEARCH(", "&amp;$B88&amp;", ", ", "&amp;INDEX('Form Responses'!$I$1:$Q$200,11,$A88)&amp;", ")),ISNUMBER(SEARCH(", "&amp;$B88&amp;", ", ", "&amp;INDEX('Form Responses'!$R$1:$R$200,11)&amp;", "))),1,""))</f>
        <v/>
      </c>
      <c r="N88">
        <f>IF(Wizards!$A$12="","",IF(OR(ISNUMBER(SEARCH(", "&amp;$B88&amp;", ", ", "&amp;INDEX('Form Responses'!$I$1:$Q$200,12,$A88)&amp;", ")),ISNUMBER(SEARCH(", "&amp;$B88&amp;", ", ", "&amp;INDEX('Form Responses'!$R$1:$R$200,12)&amp;", "))),1,""))</f>
        <v/>
      </c>
      <c r="O88">
        <f>IF(Wizards!$A$13="","",IF(OR(ISNUMBER(SEARCH(", "&amp;$B88&amp;", ", ", "&amp;INDEX('Form Responses'!$I$1:$Q$200,13,$A88)&amp;", ")),ISNUMBER(SEARCH(", "&amp;$B88&amp;", ", ", "&amp;INDEX('Form Responses'!$R$1:$R$200,13)&amp;", "))),1,""))</f>
        <v/>
      </c>
      <c r="P88">
        <f>IF(Wizards!$A$14="","",IF(OR(ISNUMBER(SEARCH(", "&amp;$B88&amp;", ", ", "&amp;INDEX('Form Responses'!$I$1:$Q$200,14,$A88)&amp;", ")),ISNUMBER(SEARCH(", "&amp;$B88&amp;", ", ", "&amp;INDEX('Form Responses'!$R$1:$R$200,14)&amp;", "))),1,""))</f>
        <v/>
      </c>
      <c r="Q88">
        <f>IF(Wizards!$A$15="","",IF(OR(ISNUMBER(SEARCH(", "&amp;$B88&amp;", ", ", "&amp;INDEX('Form Responses'!$I$1:$Q$200,15,$A88)&amp;", ")),ISNUMBER(SEARCH(", "&amp;$B88&amp;", ", ", "&amp;INDEX('Form Responses'!$R$1:$R$200,15)&amp;", "))),1,""))</f>
        <v/>
      </c>
      <c r="R88">
        <f>IF(Wizards!$A$16="","",IF(OR(ISNUMBER(SEARCH(", "&amp;$B88&amp;", ", ", "&amp;INDEX('Form Responses'!$I$1:$Q$200,16,$A88)&amp;", ")),ISNUMBER(SEARCH(", "&amp;$B88&amp;", ", ", "&amp;INDEX('Form Responses'!$R$1:$R$200,16)&amp;", "))),1,""))</f>
        <v/>
      </c>
      <c r="S88">
        <f>IF(Wizards!$A$17="","",IF(OR(ISNUMBER(SEARCH(", "&amp;$B88&amp;", ", ", "&amp;INDEX('Form Responses'!$I$1:$Q$200,17,$A88)&amp;", ")),ISNUMBER(SEARCH(", "&amp;$B88&amp;", ", ", "&amp;INDEX('Form Responses'!$R$1:$R$200,17)&amp;", "))),1,""))</f>
        <v/>
      </c>
      <c r="T88">
        <f>IF(Wizards!$A$18="","",IF(OR(ISNUMBER(SEARCH(", "&amp;$B88&amp;", ", ", "&amp;INDEX('Form Responses'!$I$1:$Q$200,18,$A88)&amp;", ")),ISNUMBER(SEARCH(", "&amp;$B88&amp;", ", ", "&amp;INDEX('Form Responses'!$R$1:$R$200,18)&amp;", "))),1,""))</f>
        <v/>
      </c>
      <c r="U88">
        <f>IF(Wizards!$A$19="","",IF(OR(ISNUMBER(SEARCH(", "&amp;$B88&amp;", ", ", "&amp;INDEX('Form Responses'!$I$1:$Q$200,19,$A88)&amp;", ")),ISNUMBER(SEARCH(", "&amp;$B88&amp;", ", ", "&amp;INDEX('Form Responses'!$R$1:$R$200,19)&amp;", "))),1,""))</f>
        <v/>
      </c>
      <c r="V88">
        <f>IF(Wizards!$A$20="","",IF(OR(ISNUMBER(SEARCH(", "&amp;$B88&amp;", ", ", "&amp;INDEX('Form Responses'!$I$1:$Q$200,20,$A88)&amp;", ")),ISNUMBER(SEARCH(", "&amp;$B88&amp;", ", ", "&amp;INDEX('Form Responses'!$R$1:$R$200,20)&amp;", "))),1,""))</f>
        <v/>
      </c>
      <c r="W88">
        <f>IF(Wizards!$A$21="","",IF(OR(ISNUMBER(SEARCH(", "&amp;$B88&amp;", ", ", "&amp;INDEX('Form Responses'!$I$1:$Q$200,21,$A88)&amp;", ")),ISNUMBER(SEARCH(", "&amp;$B88&amp;", ", ", "&amp;INDEX('Form Responses'!$R$1:$R$200,21)&amp;", "))),1,""))</f>
        <v/>
      </c>
      <c r="X88">
        <f>IF(Wizards!$A$22="","",IF(OR(ISNUMBER(SEARCH(", "&amp;$B88&amp;", ", ", "&amp;INDEX('Form Responses'!$I$1:$Q$200,22,$A88)&amp;", ")),ISNUMBER(SEARCH(", "&amp;$B88&amp;", ", ", "&amp;INDEX('Form Responses'!$R$1:$R$200,22)&amp;", "))),1,""))</f>
        <v/>
      </c>
      <c r="Y88">
        <f>IF(Wizards!$A$23="","",IF(OR(ISNUMBER(SEARCH(", "&amp;$B88&amp;", ", ", "&amp;INDEX('Form Responses'!$I$1:$Q$200,23,$A88)&amp;", ")),ISNUMBER(SEARCH(", "&amp;$B88&amp;", ", ", "&amp;INDEX('Form Responses'!$R$1:$R$200,23)&amp;", "))),1,""))</f>
        <v/>
      </c>
      <c r="Z88">
        <f>IF(Wizards!$A$24="","",IF(OR(ISNUMBER(SEARCH(", "&amp;$B88&amp;", ", ", "&amp;INDEX('Form Responses'!$I$1:$Q$200,24,$A88)&amp;", ")),ISNUMBER(SEARCH(", "&amp;$B88&amp;", ", ", "&amp;INDEX('Form Responses'!$R$1:$R$200,24)&amp;", "))),1,""))</f>
        <v/>
      </c>
      <c r="AA88">
        <f>IF(Wizards!$A$25="","",IF(OR(ISNUMBER(SEARCH(", "&amp;$B88&amp;", ", ", "&amp;INDEX('Form Responses'!$I$1:$Q$200,25,$A88)&amp;", ")),ISNUMBER(SEARCH(", "&amp;$B88&amp;", ", ", "&amp;INDEX('Form Responses'!$R$1:$R$200,25)&amp;", "))),1,""))</f>
        <v/>
      </c>
      <c r="AB88">
        <f>IF(D88=1,", "&amp;D$1,"")</f>
        <v/>
      </c>
      <c r="AC88">
        <f>IF(E88=1,", "&amp;E$1,"")</f>
        <v/>
      </c>
      <c r="AD88">
        <f>IF(F88=1,", "&amp;F$1,"")</f>
        <v/>
      </c>
      <c r="AE88">
        <f>IF(G88=1,", "&amp;G$1,"")</f>
        <v/>
      </c>
      <c r="AF88">
        <f>IF(H88=1,", "&amp;H$1,"")</f>
        <v/>
      </c>
      <c r="AG88">
        <f>IF(I88=1,", "&amp;I$1,"")</f>
        <v/>
      </c>
      <c r="AH88">
        <f>IF(J88=1,", "&amp;J$1,"")</f>
        <v/>
      </c>
      <c r="AI88">
        <f>IF(K88=1,", "&amp;K$1,"")</f>
        <v/>
      </c>
      <c r="AJ88">
        <f>IF(L88=1,", "&amp;L$1,"")</f>
        <v/>
      </c>
      <c r="AK88">
        <f>IF(M88=1,", "&amp;M$1,"")</f>
        <v/>
      </c>
      <c r="AL88">
        <f>IF(N88=1,", "&amp;N$1,"")</f>
        <v/>
      </c>
      <c r="AM88">
        <f>IF(O88=1,", "&amp;O$1,"")</f>
        <v/>
      </c>
      <c r="AN88">
        <f>IF(P88=1,", "&amp;P$1,"")</f>
        <v/>
      </c>
      <c r="AO88">
        <f>IF(Q88=1,", "&amp;Q$1,"")</f>
        <v/>
      </c>
      <c r="AP88">
        <f>IF(R88=1,", "&amp;R$1,"")</f>
        <v/>
      </c>
      <c r="AQ88">
        <f>IF(S88=1,", "&amp;S$1,"")</f>
        <v/>
      </c>
      <c r="AR88">
        <f>IF(T88=1,", "&amp;T$1,"")</f>
        <v/>
      </c>
      <c r="AS88">
        <f>IF(U88=1,", "&amp;U$1,"")</f>
        <v/>
      </c>
      <c r="AT88">
        <f>IF(V88=1,", "&amp;V$1,"")</f>
        <v/>
      </c>
      <c r="AU88">
        <f>IF(W88=1,", "&amp;W$1,"")</f>
        <v/>
      </c>
      <c r="AV88">
        <f>IF(X88=1,", "&amp;X$1,"")</f>
        <v/>
      </c>
      <c r="AW88">
        <f>IF(Y88=1,", "&amp;Y$1,"")</f>
        <v/>
      </c>
      <c r="AX88">
        <f>IF(Z88=1,", "&amp;Z$1,"")</f>
        <v/>
      </c>
      <c r="AY88">
        <f>IF(AA88=1,", "&amp;AA$1,"")</f>
        <v/>
      </c>
      <c r="AZ88">
        <f>MID($AB88&amp;$AC88&amp;$AD88&amp;$AE88&amp;$AF88&amp;$AG88&amp;$AH88&amp;$AI88&amp;$AJ88&amp;$AK88&amp;$AL88&amp;$AM88&amp;$AN88&amp;$AO88&amp;$AP88&amp;$AQ88&amp;$AR88&amp;$AS88&amp;$AT88&amp;$AU88&amp;$AV88&amp;$AW88&amp;$AX88&amp;$AY88,3,32767)</f>
        <v/>
      </c>
      <c r="BA88">
        <f>COUNT($D88:$AA88)</f>
        <v/>
      </c>
    </row>
    <row r="89">
      <c r="A89" t="n">
        <v>2</v>
      </c>
      <c r="B89" t="inlineStr">
        <is>
          <t>Rope Trick</t>
        </is>
      </c>
      <c r="C89" t="inlineStr">
        <is>
          <t>Transmutation</t>
        </is>
      </c>
      <c r="D89">
        <f>IF(Wizards!$A$2="","",IF(OR(ISNUMBER(SEARCH(", "&amp;$B89&amp;", ", ", "&amp;INDEX('Form Responses'!$I$1:$Q$200,2,$A89)&amp;", ")),ISNUMBER(SEARCH(", "&amp;$B89&amp;", ", ", "&amp;INDEX('Form Responses'!$R$1:$R$200,2)&amp;", "))),1,""))</f>
        <v/>
      </c>
      <c r="E89">
        <f>IF(Wizards!$A$3="","",IF(OR(ISNUMBER(SEARCH(", "&amp;$B89&amp;", ", ", "&amp;INDEX('Form Responses'!$I$1:$Q$200,3,$A89)&amp;", ")),ISNUMBER(SEARCH(", "&amp;$B89&amp;", ", ", "&amp;INDEX('Form Responses'!$R$1:$R$200,3)&amp;", "))),1,""))</f>
        <v/>
      </c>
      <c r="F89">
        <f>IF(Wizards!$A$4="","",IF(OR(ISNUMBER(SEARCH(", "&amp;$B89&amp;", ", ", "&amp;INDEX('Form Responses'!$I$1:$Q$200,4,$A89)&amp;", ")),ISNUMBER(SEARCH(", "&amp;$B89&amp;", ", ", "&amp;INDEX('Form Responses'!$R$1:$R$200,4)&amp;", "))),1,""))</f>
        <v/>
      </c>
      <c r="G89">
        <f>IF(Wizards!$A$5="","",IF(OR(ISNUMBER(SEARCH(", "&amp;$B89&amp;", ", ", "&amp;INDEX('Form Responses'!$I$1:$Q$200,5,$A89)&amp;", ")),ISNUMBER(SEARCH(", "&amp;$B89&amp;", ", ", "&amp;INDEX('Form Responses'!$R$1:$R$200,5)&amp;", "))),1,""))</f>
        <v/>
      </c>
      <c r="H89">
        <f>IF(Wizards!$A$6="","",IF(OR(ISNUMBER(SEARCH(", "&amp;$B89&amp;", ", ", "&amp;INDEX('Form Responses'!$I$1:$Q$200,6,$A89)&amp;", ")),ISNUMBER(SEARCH(", "&amp;$B89&amp;", ", ", "&amp;INDEX('Form Responses'!$R$1:$R$200,6)&amp;", "))),1,""))</f>
        <v/>
      </c>
      <c r="I89">
        <f>IF(Wizards!$A$7="","",IF(OR(ISNUMBER(SEARCH(", "&amp;$B89&amp;", ", ", "&amp;INDEX('Form Responses'!$I$1:$Q$200,7,$A89)&amp;", ")),ISNUMBER(SEARCH(", "&amp;$B89&amp;", ", ", "&amp;INDEX('Form Responses'!$R$1:$R$200,7)&amp;", "))),1,""))</f>
        <v/>
      </c>
      <c r="J89">
        <f>IF(Wizards!$A$8="","",IF(OR(ISNUMBER(SEARCH(", "&amp;$B89&amp;", ", ", "&amp;INDEX('Form Responses'!$I$1:$Q$200,8,$A89)&amp;", ")),ISNUMBER(SEARCH(", "&amp;$B89&amp;", ", ", "&amp;INDEX('Form Responses'!$R$1:$R$200,8)&amp;", "))),1,""))</f>
        <v/>
      </c>
      <c r="K89">
        <f>IF(Wizards!$A$9="","",IF(OR(ISNUMBER(SEARCH(", "&amp;$B89&amp;", ", ", "&amp;INDEX('Form Responses'!$I$1:$Q$200,9,$A89)&amp;", ")),ISNUMBER(SEARCH(", "&amp;$B89&amp;", ", ", "&amp;INDEX('Form Responses'!$R$1:$R$200,9)&amp;", "))),1,""))</f>
        <v/>
      </c>
      <c r="L89">
        <f>IF(Wizards!$A$10="","",IF(OR(ISNUMBER(SEARCH(", "&amp;$B89&amp;", ", ", "&amp;INDEX('Form Responses'!$I$1:$Q$200,10,$A89)&amp;", ")),ISNUMBER(SEARCH(", "&amp;$B89&amp;", ", ", "&amp;INDEX('Form Responses'!$R$1:$R$200,10)&amp;", "))),1,""))</f>
        <v/>
      </c>
      <c r="M89">
        <f>IF(Wizards!$A$11="","",IF(OR(ISNUMBER(SEARCH(", "&amp;$B89&amp;", ", ", "&amp;INDEX('Form Responses'!$I$1:$Q$200,11,$A89)&amp;", ")),ISNUMBER(SEARCH(", "&amp;$B89&amp;", ", ", "&amp;INDEX('Form Responses'!$R$1:$R$200,11)&amp;", "))),1,""))</f>
        <v/>
      </c>
      <c r="N89">
        <f>IF(Wizards!$A$12="","",IF(OR(ISNUMBER(SEARCH(", "&amp;$B89&amp;", ", ", "&amp;INDEX('Form Responses'!$I$1:$Q$200,12,$A89)&amp;", ")),ISNUMBER(SEARCH(", "&amp;$B89&amp;", ", ", "&amp;INDEX('Form Responses'!$R$1:$R$200,12)&amp;", "))),1,""))</f>
        <v/>
      </c>
      <c r="O89">
        <f>IF(Wizards!$A$13="","",IF(OR(ISNUMBER(SEARCH(", "&amp;$B89&amp;", ", ", "&amp;INDEX('Form Responses'!$I$1:$Q$200,13,$A89)&amp;", ")),ISNUMBER(SEARCH(", "&amp;$B89&amp;", ", ", "&amp;INDEX('Form Responses'!$R$1:$R$200,13)&amp;", "))),1,""))</f>
        <v/>
      </c>
      <c r="P89">
        <f>IF(Wizards!$A$14="","",IF(OR(ISNUMBER(SEARCH(", "&amp;$B89&amp;", ", ", "&amp;INDEX('Form Responses'!$I$1:$Q$200,14,$A89)&amp;", ")),ISNUMBER(SEARCH(", "&amp;$B89&amp;", ", ", "&amp;INDEX('Form Responses'!$R$1:$R$200,14)&amp;", "))),1,""))</f>
        <v/>
      </c>
      <c r="Q89">
        <f>IF(Wizards!$A$15="","",IF(OR(ISNUMBER(SEARCH(", "&amp;$B89&amp;", ", ", "&amp;INDEX('Form Responses'!$I$1:$Q$200,15,$A89)&amp;", ")),ISNUMBER(SEARCH(", "&amp;$B89&amp;", ", ", "&amp;INDEX('Form Responses'!$R$1:$R$200,15)&amp;", "))),1,""))</f>
        <v/>
      </c>
      <c r="R89">
        <f>IF(Wizards!$A$16="","",IF(OR(ISNUMBER(SEARCH(", "&amp;$B89&amp;", ", ", "&amp;INDEX('Form Responses'!$I$1:$Q$200,16,$A89)&amp;", ")),ISNUMBER(SEARCH(", "&amp;$B89&amp;", ", ", "&amp;INDEX('Form Responses'!$R$1:$R$200,16)&amp;", "))),1,""))</f>
        <v/>
      </c>
      <c r="S89">
        <f>IF(Wizards!$A$17="","",IF(OR(ISNUMBER(SEARCH(", "&amp;$B89&amp;", ", ", "&amp;INDEX('Form Responses'!$I$1:$Q$200,17,$A89)&amp;", ")),ISNUMBER(SEARCH(", "&amp;$B89&amp;", ", ", "&amp;INDEX('Form Responses'!$R$1:$R$200,17)&amp;", "))),1,""))</f>
        <v/>
      </c>
      <c r="T89">
        <f>IF(Wizards!$A$18="","",IF(OR(ISNUMBER(SEARCH(", "&amp;$B89&amp;", ", ", "&amp;INDEX('Form Responses'!$I$1:$Q$200,18,$A89)&amp;", ")),ISNUMBER(SEARCH(", "&amp;$B89&amp;", ", ", "&amp;INDEX('Form Responses'!$R$1:$R$200,18)&amp;", "))),1,""))</f>
        <v/>
      </c>
      <c r="U89">
        <f>IF(Wizards!$A$19="","",IF(OR(ISNUMBER(SEARCH(", "&amp;$B89&amp;", ", ", "&amp;INDEX('Form Responses'!$I$1:$Q$200,19,$A89)&amp;", ")),ISNUMBER(SEARCH(", "&amp;$B89&amp;", ", ", "&amp;INDEX('Form Responses'!$R$1:$R$200,19)&amp;", "))),1,""))</f>
        <v/>
      </c>
      <c r="V89">
        <f>IF(Wizards!$A$20="","",IF(OR(ISNUMBER(SEARCH(", "&amp;$B89&amp;", ", ", "&amp;INDEX('Form Responses'!$I$1:$Q$200,20,$A89)&amp;", ")),ISNUMBER(SEARCH(", "&amp;$B89&amp;", ", ", "&amp;INDEX('Form Responses'!$R$1:$R$200,20)&amp;", "))),1,""))</f>
        <v/>
      </c>
      <c r="W89">
        <f>IF(Wizards!$A$21="","",IF(OR(ISNUMBER(SEARCH(", "&amp;$B89&amp;", ", ", "&amp;INDEX('Form Responses'!$I$1:$Q$200,21,$A89)&amp;", ")),ISNUMBER(SEARCH(", "&amp;$B89&amp;", ", ", "&amp;INDEX('Form Responses'!$R$1:$R$200,21)&amp;", "))),1,""))</f>
        <v/>
      </c>
      <c r="X89">
        <f>IF(Wizards!$A$22="","",IF(OR(ISNUMBER(SEARCH(", "&amp;$B89&amp;", ", ", "&amp;INDEX('Form Responses'!$I$1:$Q$200,22,$A89)&amp;", ")),ISNUMBER(SEARCH(", "&amp;$B89&amp;", ", ", "&amp;INDEX('Form Responses'!$R$1:$R$200,22)&amp;", "))),1,""))</f>
        <v/>
      </c>
      <c r="Y89">
        <f>IF(Wizards!$A$23="","",IF(OR(ISNUMBER(SEARCH(", "&amp;$B89&amp;", ", ", "&amp;INDEX('Form Responses'!$I$1:$Q$200,23,$A89)&amp;", ")),ISNUMBER(SEARCH(", "&amp;$B89&amp;", ", ", "&amp;INDEX('Form Responses'!$R$1:$R$200,23)&amp;", "))),1,""))</f>
        <v/>
      </c>
      <c r="Z89">
        <f>IF(Wizards!$A$24="","",IF(OR(ISNUMBER(SEARCH(", "&amp;$B89&amp;", ", ", "&amp;INDEX('Form Responses'!$I$1:$Q$200,24,$A89)&amp;", ")),ISNUMBER(SEARCH(", "&amp;$B89&amp;", ", ", "&amp;INDEX('Form Responses'!$R$1:$R$200,24)&amp;", "))),1,""))</f>
        <v/>
      </c>
      <c r="AA89">
        <f>IF(Wizards!$A$25="","",IF(OR(ISNUMBER(SEARCH(", "&amp;$B89&amp;", ", ", "&amp;INDEX('Form Responses'!$I$1:$Q$200,25,$A89)&amp;", ")),ISNUMBER(SEARCH(", "&amp;$B89&amp;", ", ", "&amp;INDEX('Form Responses'!$R$1:$R$200,25)&amp;", "))),1,""))</f>
        <v/>
      </c>
      <c r="AB89">
        <f>IF(D89=1,", "&amp;D$1,"")</f>
        <v/>
      </c>
      <c r="AC89">
        <f>IF(E89=1,", "&amp;E$1,"")</f>
        <v/>
      </c>
      <c r="AD89">
        <f>IF(F89=1,", "&amp;F$1,"")</f>
        <v/>
      </c>
      <c r="AE89">
        <f>IF(G89=1,", "&amp;G$1,"")</f>
        <v/>
      </c>
      <c r="AF89">
        <f>IF(H89=1,", "&amp;H$1,"")</f>
        <v/>
      </c>
      <c r="AG89">
        <f>IF(I89=1,", "&amp;I$1,"")</f>
        <v/>
      </c>
      <c r="AH89">
        <f>IF(J89=1,", "&amp;J$1,"")</f>
        <v/>
      </c>
      <c r="AI89">
        <f>IF(K89=1,", "&amp;K$1,"")</f>
        <v/>
      </c>
      <c r="AJ89">
        <f>IF(L89=1,", "&amp;L$1,"")</f>
        <v/>
      </c>
      <c r="AK89">
        <f>IF(M89=1,", "&amp;M$1,"")</f>
        <v/>
      </c>
      <c r="AL89">
        <f>IF(N89=1,", "&amp;N$1,"")</f>
        <v/>
      </c>
      <c r="AM89">
        <f>IF(O89=1,", "&amp;O$1,"")</f>
        <v/>
      </c>
      <c r="AN89">
        <f>IF(P89=1,", "&amp;P$1,"")</f>
        <v/>
      </c>
      <c r="AO89">
        <f>IF(Q89=1,", "&amp;Q$1,"")</f>
        <v/>
      </c>
      <c r="AP89">
        <f>IF(R89=1,", "&amp;R$1,"")</f>
        <v/>
      </c>
      <c r="AQ89">
        <f>IF(S89=1,", "&amp;S$1,"")</f>
        <v/>
      </c>
      <c r="AR89">
        <f>IF(T89=1,", "&amp;T$1,"")</f>
        <v/>
      </c>
      <c r="AS89">
        <f>IF(U89=1,", "&amp;U$1,"")</f>
        <v/>
      </c>
      <c r="AT89">
        <f>IF(V89=1,", "&amp;V$1,"")</f>
        <v/>
      </c>
      <c r="AU89">
        <f>IF(W89=1,", "&amp;W$1,"")</f>
        <v/>
      </c>
      <c r="AV89">
        <f>IF(X89=1,", "&amp;X$1,"")</f>
        <v/>
      </c>
      <c r="AW89">
        <f>IF(Y89=1,", "&amp;Y$1,"")</f>
        <v/>
      </c>
      <c r="AX89">
        <f>IF(Z89=1,", "&amp;Z$1,"")</f>
        <v/>
      </c>
      <c r="AY89">
        <f>IF(AA89=1,", "&amp;AA$1,"")</f>
        <v/>
      </c>
      <c r="AZ89">
        <f>MID($AB89&amp;$AC89&amp;$AD89&amp;$AE89&amp;$AF89&amp;$AG89&amp;$AH89&amp;$AI89&amp;$AJ89&amp;$AK89&amp;$AL89&amp;$AM89&amp;$AN89&amp;$AO89&amp;$AP89&amp;$AQ89&amp;$AR89&amp;$AS89&amp;$AT89&amp;$AU89&amp;$AV89&amp;$AW89&amp;$AX89&amp;$AY89,3,32767)</f>
        <v/>
      </c>
      <c r="BA89">
        <f>COUNT($D89:$AA89)</f>
        <v/>
      </c>
    </row>
    <row r="90">
      <c r="A90" t="n">
        <v>2</v>
      </c>
      <c r="B90" t="inlineStr">
        <is>
          <t>Scorching Ray</t>
        </is>
      </c>
      <c r="C90" t="inlineStr">
        <is>
          <t>Evocation</t>
        </is>
      </c>
      <c r="D90">
        <f>IF(Wizards!$A$2="","",IF(OR(ISNUMBER(SEARCH(", "&amp;$B90&amp;", ", ", "&amp;INDEX('Form Responses'!$I$1:$Q$200,2,$A90)&amp;", ")),ISNUMBER(SEARCH(", "&amp;$B90&amp;", ", ", "&amp;INDEX('Form Responses'!$R$1:$R$200,2)&amp;", "))),1,""))</f>
        <v/>
      </c>
      <c r="E90">
        <f>IF(Wizards!$A$3="","",IF(OR(ISNUMBER(SEARCH(", "&amp;$B90&amp;", ", ", "&amp;INDEX('Form Responses'!$I$1:$Q$200,3,$A90)&amp;", ")),ISNUMBER(SEARCH(", "&amp;$B90&amp;", ", ", "&amp;INDEX('Form Responses'!$R$1:$R$200,3)&amp;", "))),1,""))</f>
        <v/>
      </c>
      <c r="F90">
        <f>IF(Wizards!$A$4="","",IF(OR(ISNUMBER(SEARCH(", "&amp;$B90&amp;", ", ", "&amp;INDEX('Form Responses'!$I$1:$Q$200,4,$A90)&amp;", ")),ISNUMBER(SEARCH(", "&amp;$B90&amp;", ", ", "&amp;INDEX('Form Responses'!$R$1:$R$200,4)&amp;", "))),1,""))</f>
        <v/>
      </c>
      <c r="G90">
        <f>IF(Wizards!$A$5="","",IF(OR(ISNUMBER(SEARCH(", "&amp;$B90&amp;", ", ", "&amp;INDEX('Form Responses'!$I$1:$Q$200,5,$A90)&amp;", ")),ISNUMBER(SEARCH(", "&amp;$B90&amp;", ", ", "&amp;INDEX('Form Responses'!$R$1:$R$200,5)&amp;", "))),1,""))</f>
        <v/>
      </c>
      <c r="H90">
        <f>IF(Wizards!$A$6="","",IF(OR(ISNUMBER(SEARCH(", "&amp;$B90&amp;", ", ", "&amp;INDEX('Form Responses'!$I$1:$Q$200,6,$A90)&amp;", ")),ISNUMBER(SEARCH(", "&amp;$B90&amp;", ", ", "&amp;INDEX('Form Responses'!$R$1:$R$200,6)&amp;", "))),1,""))</f>
        <v/>
      </c>
      <c r="I90">
        <f>IF(Wizards!$A$7="","",IF(OR(ISNUMBER(SEARCH(", "&amp;$B90&amp;", ", ", "&amp;INDEX('Form Responses'!$I$1:$Q$200,7,$A90)&amp;", ")),ISNUMBER(SEARCH(", "&amp;$B90&amp;", ", ", "&amp;INDEX('Form Responses'!$R$1:$R$200,7)&amp;", "))),1,""))</f>
        <v/>
      </c>
      <c r="J90">
        <f>IF(Wizards!$A$8="","",IF(OR(ISNUMBER(SEARCH(", "&amp;$B90&amp;", ", ", "&amp;INDEX('Form Responses'!$I$1:$Q$200,8,$A90)&amp;", ")),ISNUMBER(SEARCH(", "&amp;$B90&amp;", ", ", "&amp;INDEX('Form Responses'!$R$1:$R$200,8)&amp;", "))),1,""))</f>
        <v/>
      </c>
      <c r="K90">
        <f>IF(Wizards!$A$9="","",IF(OR(ISNUMBER(SEARCH(", "&amp;$B90&amp;", ", ", "&amp;INDEX('Form Responses'!$I$1:$Q$200,9,$A90)&amp;", ")),ISNUMBER(SEARCH(", "&amp;$B90&amp;", ", ", "&amp;INDEX('Form Responses'!$R$1:$R$200,9)&amp;", "))),1,""))</f>
        <v/>
      </c>
      <c r="L90">
        <f>IF(Wizards!$A$10="","",IF(OR(ISNUMBER(SEARCH(", "&amp;$B90&amp;", ", ", "&amp;INDEX('Form Responses'!$I$1:$Q$200,10,$A90)&amp;", ")),ISNUMBER(SEARCH(", "&amp;$B90&amp;", ", ", "&amp;INDEX('Form Responses'!$R$1:$R$200,10)&amp;", "))),1,""))</f>
        <v/>
      </c>
      <c r="M90">
        <f>IF(Wizards!$A$11="","",IF(OR(ISNUMBER(SEARCH(", "&amp;$B90&amp;", ", ", "&amp;INDEX('Form Responses'!$I$1:$Q$200,11,$A90)&amp;", ")),ISNUMBER(SEARCH(", "&amp;$B90&amp;", ", ", "&amp;INDEX('Form Responses'!$R$1:$R$200,11)&amp;", "))),1,""))</f>
        <v/>
      </c>
      <c r="N90">
        <f>IF(Wizards!$A$12="","",IF(OR(ISNUMBER(SEARCH(", "&amp;$B90&amp;", ", ", "&amp;INDEX('Form Responses'!$I$1:$Q$200,12,$A90)&amp;", ")),ISNUMBER(SEARCH(", "&amp;$B90&amp;", ", ", "&amp;INDEX('Form Responses'!$R$1:$R$200,12)&amp;", "))),1,""))</f>
        <v/>
      </c>
      <c r="O90">
        <f>IF(Wizards!$A$13="","",IF(OR(ISNUMBER(SEARCH(", "&amp;$B90&amp;", ", ", "&amp;INDEX('Form Responses'!$I$1:$Q$200,13,$A90)&amp;", ")),ISNUMBER(SEARCH(", "&amp;$B90&amp;", ", ", "&amp;INDEX('Form Responses'!$R$1:$R$200,13)&amp;", "))),1,""))</f>
        <v/>
      </c>
      <c r="P90">
        <f>IF(Wizards!$A$14="","",IF(OR(ISNUMBER(SEARCH(", "&amp;$B90&amp;", ", ", "&amp;INDEX('Form Responses'!$I$1:$Q$200,14,$A90)&amp;", ")),ISNUMBER(SEARCH(", "&amp;$B90&amp;", ", ", "&amp;INDEX('Form Responses'!$R$1:$R$200,14)&amp;", "))),1,""))</f>
        <v/>
      </c>
      <c r="Q90">
        <f>IF(Wizards!$A$15="","",IF(OR(ISNUMBER(SEARCH(", "&amp;$B90&amp;", ", ", "&amp;INDEX('Form Responses'!$I$1:$Q$200,15,$A90)&amp;", ")),ISNUMBER(SEARCH(", "&amp;$B90&amp;", ", ", "&amp;INDEX('Form Responses'!$R$1:$R$200,15)&amp;", "))),1,""))</f>
        <v/>
      </c>
      <c r="R90">
        <f>IF(Wizards!$A$16="","",IF(OR(ISNUMBER(SEARCH(", "&amp;$B90&amp;", ", ", "&amp;INDEX('Form Responses'!$I$1:$Q$200,16,$A90)&amp;", ")),ISNUMBER(SEARCH(", "&amp;$B90&amp;", ", ", "&amp;INDEX('Form Responses'!$R$1:$R$200,16)&amp;", "))),1,""))</f>
        <v/>
      </c>
      <c r="S90">
        <f>IF(Wizards!$A$17="","",IF(OR(ISNUMBER(SEARCH(", "&amp;$B90&amp;", ", ", "&amp;INDEX('Form Responses'!$I$1:$Q$200,17,$A90)&amp;", ")),ISNUMBER(SEARCH(", "&amp;$B90&amp;", ", ", "&amp;INDEX('Form Responses'!$R$1:$R$200,17)&amp;", "))),1,""))</f>
        <v/>
      </c>
      <c r="T90">
        <f>IF(Wizards!$A$18="","",IF(OR(ISNUMBER(SEARCH(", "&amp;$B90&amp;", ", ", "&amp;INDEX('Form Responses'!$I$1:$Q$200,18,$A90)&amp;", ")),ISNUMBER(SEARCH(", "&amp;$B90&amp;", ", ", "&amp;INDEX('Form Responses'!$R$1:$R$200,18)&amp;", "))),1,""))</f>
        <v/>
      </c>
      <c r="U90">
        <f>IF(Wizards!$A$19="","",IF(OR(ISNUMBER(SEARCH(", "&amp;$B90&amp;", ", ", "&amp;INDEX('Form Responses'!$I$1:$Q$200,19,$A90)&amp;", ")),ISNUMBER(SEARCH(", "&amp;$B90&amp;", ", ", "&amp;INDEX('Form Responses'!$R$1:$R$200,19)&amp;", "))),1,""))</f>
        <v/>
      </c>
      <c r="V90">
        <f>IF(Wizards!$A$20="","",IF(OR(ISNUMBER(SEARCH(", "&amp;$B90&amp;", ", ", "&amp;INDEX('Form Responses'!$I$1:$Q$200,20,$A90)&amp;", ")),ISNUMBER(SEARCH(", "&amp;$B90&amp;", ", ", "&amp;INDEX('Form Responses'!$R$1:$R$200,20)&amp;", "))),1,""))</f>
        <v/>
      </c>
      <c r="W90">
        <f>IF(Wizards!$A$21="","",IF(OR(ISNUMBER(SEARCH(", "&amp;$B90&amp;", ", ", "&amp;INDEX('Form Responses'!$I$1:$Q$200,21,$A90)&amp;", ")),ISNUMBER(SEARCH(", "&amp;$B90&amp;", ", ", "&amp;INDEX('Form Responses'!$R$1:$R$200,21)&amp;", "))),1,""))</f>
        <v/>
      </c>
      <c r="X90">
        <f>IF(Wizards!$A$22="","",IF(OR(ISNUMBER(SEARCH(", "&amp;$B90&amp;", ", ", "&amp;INDEX('Form Responses'!$I$1:$Q$200,22,$A90)&amp;", ")),ISNUMBER(SEARCH(", "&amp;$B90&amp;", ", ", "&amp;INDEX('Form Responses'!$R$1:$R$200,22)&amp;", "))),1,""))</f>
        <v/>
      </c>
      <c r="Y90">
        <f>IF(Wizards!$A$23="","",IF(OR(ISNUMBER(SEARCH(", "&amp;$B90&amp;", ", ", "&amp;INDEX('Form Responses'!$I$1:$Q$200,23,$A90)&amp;", ")),ISNUMBER(SEARCH(", "&amp;$B90&amp;", ", ", "&amp;INDEX('Form Responses'!$R$1:$R$200,23)&amp;", "))),1,""))</f>
        <v/>
      </c>
      <c r="Z90">
        <f>IF(Wizards!$A$24="","",IF(OR(ISNUMBER(SEARCH(", "&amp;$B90&amp;", ", ", "&amp;INDEX('Form Responses'!$I$1:$Q$200,24,$A90)&amp;", ")),ISNUMBER(SEARCH(", "&amp;$B90&amp;", ", ", "&amp;INDEX('Form Responses'!$R$1:$R$200,24)&amp;", "))),1,""))</f>
        <v/>
      </c>
      <c r="AA90">
        <f>IF(Wizards!$A$25="","",IF(OR(ISNUMBER(SEARCH(", "&amp;$B90&amp;", ", ", "&amp;INDEX('Form Responses'!$I$1:$Q$200,25,$A90)&amp;", ")),ISNUMBER(SEARCH(", "&amp;$B90&amp;", ", ", "&amp;INDEX('Form Responses'!$R$1:$R$200,25)&amp;", "))),1,""))</f>
        <v/>
      </c>
      <c r="AB90">
        <f>IF(D90=1,", "&amp;D$1,"")</f>
        <v/>
      </c>
      <c r="AC90">
        <f>IF(E90=1,", "&amp;E$1,"")</f>
        <v/>
      </c>
      <c r="AD90">
        <f>IF(F90=1,", "&amp;F$1,"")</f>
        <v/>
      </c>
      <c r="AE90">
        <f>IF(G90=1,", "&amp;G$1,"")</f>
        <v/>
      </c>
      <c r="AF90">
        <f>IF(H90=1,", "&amp;H$1,"")</f>
        <v/>
      </c>
      <c r="AG90">
        <f>IF(I90=1,", "&amp;I$1,"")</f>
        <v/>
      </c>
      <c r="AH90">
        <f>IF(J90=1,", "&amp;J$1,"")</f>
        <v/>
      </c>
      <c r="AI90">
        <f>IF(K90=1,", "&amp;K$1,"")</f>
        <v/>
      </c>
      <c r="AJ90">
        <f>IF(L90=1,", "&amp;L$1,"")</f>
        <v/>
      </c>
      <c r="AK90">
        <f>IF(M90=1,", "&amp;M$1,"")</f>
        <v/>
      </c>
      <c r="AL90">
        <f>IF(N90=1,", "&amp;N$1,"")</f>
        <v/>
      </c>
      <c r="AM90">
        <f>IF(O90=1,", "&amp;O$1,"")</f>
        <v/>
      </c>
      <c r="AN90">
        <f>IF(P90=1,", "&amp;P$1,"")</f>
        <v/>
      </c>
      <c r="AO90">
        <f>IF(Q90=1,", "&amp;Q$1,"")</f>
        <v/>
      </c>
      <c r="AP90">
        <f>IF(R90=1,", "&amp;R$1,"")</f>
        <v/>
      </c>
      <c r="AQ90">
        <f>IF(S90=1,", "&amp;S$1,"")</f>
        <v/>
      </c>
      <c r="AR90">
        <f>IF(T90=1,", "&amp;T$1,"")</f>
        <v/>
      </c>
      <c r="AS90">
        <f>IF(U90=1,", "&amp;U$1,"")</f>
        <v/>
      </c>
      <c r="AT90">
        <f>IF(V90=1,", "&amp;V$1,"")</f>
        <v/>
      </c>
      <c r="AU90">
        <f>IF(W90=1,", "&amp;W$1,"")</f>
        <v/>
      </c>
      <c r="AV90">
        <f>IF(X90=1,", "&amp;X$1,"")</f>
        <v/>
      </c>
      <c r="AW90">
        <f>IF(Y90=1,", "&amp;Y$1,"")</f>
        <v/>
      </c>
      <c r="AX90">
        <f>IF(Z90=1,", "&amp;Z$1,"")</f>
        <v/>
      </c>
      <c r="AY90">
        <f>IF(AA90=1,", "&amp;AA$1,"")</f>
        <v/>
      </c>
      <c r="AZ90">
        <f>MID($AB90&amp;$AC90&amp;$AD90&amp;$AE90&amp;$AF90&amp;$AG90&amp;$AH90&amp;$AI90&amp;$AJ90&amp;$AK90&amp;$AL90&amp;$AM90&amp;$AN90&amp;$AO90&amp;$AP90&amp;$AQ90&amp;$AR90&amp;$AS90&amp;$AT90&amp;$AU90&amp;$AV90&amp;$AW90&amp;$AX90&amp;$AY90,3,32767)</f>
        <v/>
      </c>
      <c r="BA90">
        <f>COUNT($D90:$AA90)</f>
        <v/>
      </c>
    </row>
    <row r="91">
      <c r="A91" t="n">
        <v>2</v>
      </c>
      <c r="B91" t="inlineStr">
        <is>
          <t>See Invisibility</t>
        </is>
      </c>
      <c r="C91" t="inlineStr">
        <is>
          <t>Divination</t>
        </is>
      </c>
      <c r="D91">
        <f>IF(Wizards!$A$2="","",IF(OR(ISNUMBER(SEARCH(", "&amp;$B91&amp;", ", ", "&amp;INDEX('Form Responses'!$I$1:$Q$200,2,$A91)&amp;", ")),ISNUMBER(SEARCH(", "&amp;$B91&amp;", ", ", "&amp;INDEX('Form Responses'!$R$1:$R$200,2)&amp;", "))),1,""))</f>
        <v/>
      </c>
      <c r="E91">
        <f>IF(Wizards!$A$3="","",IF(OR(ISNUMBER(SEARCH(", "&amp;$B91&amp;", ", ", "&amp;INDEX('Form Responses'!$I$1:$Q$200,3,$A91)&amp;", ")),ISNUMBER(SEARCH(", "&amp;$B91&amp;", ", ", "&amp;INDEX('Form Responses'!$R$1:$R$200,3)&amp;", "))),1,""))</f>
        <v/>
      </c>
      <c r="F91">
        <f>IF(Wizards!$A$4="","",IF(OR(ISNUMBER(SEARCH(", "&amp;$B91&amp;", ", ", "&amp;INDEX('Form Responses'!$I$1:$Q$200,4,$A91)&amp;", ")),ISNUMBER(SEARCH(", "&amp;$B91&amp;", ", ", "&amp;INDEX('Form Responses'!$R$1:$R$200,4)&amp;", "))),1,""))</f>
        <v/>
      </c>
      <c r="G91">
        <f>IF(Wizards!$A$5="","",IF(OR(ISNUMBER(SEARCH(", "&amp;$B91&amp;", ", ", "&amp;INDEX('Form Responses'!$I$1:$Q$200,5,$A91)&amp;", ")),ISNUMBER(SEARCH(", "&amp;$B91&amp;", ", ", "&amp;INDEX('Form Responses'!$R$1:$R$200,5)&amp;", "))),1,""))</f>
        <v/>
      </c>
      <c r="H91">
        <f>IF(Wizards!$A$6="","",IF(OR(ISNUMBER(SEARCH(", "&amp;$B91&amp;", ", ", "&amp;INDEX('Form Responses'!$I$1:$Q$200,6,$A91)&amp;", ")),ISNUMBER(SEARCH(", "&amp;$B91&amp;", ", ", "&amp;INDEX('Form Responses'!$R$1:$R$200,6)&amp;", "))),1,""))</f>
        <v/>
      </c>
      <c r="I91">
        <f>IF(Wizards!$A$7="","",IF(OR(ISNUMBER(SEARCH(", "&amp;$B91&amp;", ", ", "&amp;INDEX('Form Responses'!$I$1:$Q$200,7,$A91)&amp;", ")),ISNUMBER(SEARCH(", "&amp;$B91&amp;", ", ", "&amp;INDEX('Form Responses'!$R$1:$R$200,7)&amp;", "))),1,""))</f>
        <v/>
      </c>
      <c r="J91">
        <f>IF(Wizards!$A$8="","",IF(OR(ISNUMBER(SEARCH(", "&amp;$B91&amp;", ", ", "&amp;INDEX('Form Responses'!$I$1:$Q$200,8,$A91)&amp;", ")),ISNUMBER(SEARCH(", "&amp;$B91&amp;", ", ", "&amp;INDEX('Form Responses'!$R$1:$R$200,8)&amp;", "))),1,""))</f>
        <v/>
      </c>
      <c r="K91">
        <f>IF(Wizards!$A$9="","",IF(OR(ISNUMBER(SEARCH(", "&amp;$B91&amp;", ", ", "&amp;INDEX('Form Responses'!$I$1:$Q$200,9,$A91)&amp;", ")),ISNUMBER(SEARCH(", "&amp;$B91&amp;", ", ", "&amp;INDEX('Form Responses'!$R$1:$R$200,9)&amp;", "))),1,""))</f>
        <v/>
      </c>
      <c r="L91">
        <f>IF(Wizards!$A$10="","",IF(OR(ISNUMBER(SEARCH(", "&amp;$B91&amp;", ", ", "&amp;INDEX('Form Responses'!$I$1:$Q$200,10,$A91)&amp;", ")),ISNUMBER(SEARCH(", "&amp;$B91&amp;", ", ", "&amp;INDEX('Form Responses'!$R$1:$R$200,10)&amp;", "))),1,""))</f>
        <v/>
      </c>
      <c r="M91">
        <f>IF(Wizards!$A$11="","",IF(OR(ISNUMBER(SEARCH(", "&amp;$B91&amp;", ", ", "&amp;INDEX('Form Responses'!$I$1:$Q$200,11,$A91)&amp;", ")),ISNUMBER(SEARCH(", "&amp;$B91&amp;", ", ", "&amp;INDEX('Form Responses'!$R$1:$R$200,11)&amp;", "))),1,""))</f>
        <v/>
      </c>
      <c r="N91">
        <f>IF(Wizards!$A$12="","",IF(OR(ISNUMBER(SEARCH(", "&amp;$B91&amp;", ", ", "&amp;INDEX('Form Responses'!$I$1:$Q$200,12,$A91)&amp;", ")),ISNUMBER(SEARCH(", "&amp;$B91&amp;", ", ", "&amp;INDEX('Form Responses'!$R$1:$R$200,12)&amp;", "))),1,""))</f>
        <v/>
      </c>
      <c r="O91">
        <f>IF(Wizards!$A$13="","",IF(OR(ISNUMBER(SEARCH(", "&amp;$B91&amp;", ", ", "&amp;INDEX('Form Responses'!$I$1:$Q$200,13,$A91)&amp;", ")),ISNUMBER(SEARCH(", "&amp;$B91&amp;", ", ", "&amp;INDEX('Form Responses'!$R$1:$R$200,13)&amp;", "))),1,""))</f>
        <v/>
      </c>
      <c r="P91">
        <f>IF(Wizards!$A$14="","",IF(OR(ISNUMBER(SEARCH(", "&amp;$B91&amp;", ", ", "&amp;INDEX('Form Responses'!$I$1:$Q$200,14,$A91)&amp;", ")),ISNUMBER(SEARCH(", "&amp;$B91&amp;", ", ", "&amp;INDEX('Form Responses'!$R$1:$R$200,14)&amp;", "))),1,""))</f>
        <v/>
      </c>
      <c r="Q91">
        <f>IF(Wizards!$A$15="","",IF(OR(ISNUMBER(SEARCH(", "&amp;$B91&amp;", ", ", "&amp;INDEX('Form Responses'!$I$1:$Q$200,15,$A91)&amp;", ")),ISNUMBER(SEARCH(", "&amp;$B91&amp;", ", ", "&amp;INDEX('Form Responses'!$R$1:$R$200,15)&amp;", "))),1,""))</f>
        <v/>
      </c>
      <c r="R91">
        <f>IF(Wizards!$A$16="","",IF(OR(ISNUMBER(SEARCH(", "&amp;$B91&amp;", ", ", "&amp;INDEX('Form Responses'!$I$1:$Q$200,16,$A91)&amp;", ")),ISNUMBER(SEARCH(", "&amp;$B91&amp;", ", ", "&amp;INDEX('Form Responses'!$R$1:$R$200,16)&amp;", "))),1,""))</f>
        <v/>
      </c>
      <c r="S91">
        <f>IF(Wizards!$A$17="","",IF(OR(ISNUMBER(SEARCH(", "&amp;$B91&amp;", ", ", "&amp;INDEX('Form Responses'!$I$1:$Q$200,17,$A91)&amp;", ")),ISNUMBER(SEARCH(", "&amp;$B91&amp;", ", ", "&amp;INDEX('Form Responses'!$R$1:$R$200,17)&amp;", "))),1,""))</f>
        <v/>
      </c>
      <c r="T91">
        <f>IF(Wizards!$A$18="","",IF(OR(ISNUMBER(SEARCH(", "&amp;$B91&amp;", ", ", "&amp;INDEX('Form Responses'!$I$1:$Q$200,18,$A91)&amp;", ")),ISNUMBER(SEARCH(", "&amp;$B91&amp;", ", ", "&amp;INDEX('Form Responses'!$R$1:$R$200,18)&amp;", "))),1,""))</f>
        <v/>
      </c>
      <c r="U91">
        <f>IF(Wizards!$A$19="","",IF(OR(ISNUMBER(SEARCH(", "&amp;$B91&amp;", ", ", "&amp;INDEX('Form Responses'!$I$1:$Q$200,19,$A91)&amp;", ")),ISNUMBER(SEARCH(", "&amp;$B91&amp;", ", ", "&amp;INDEX('Form Responses'!$R$1:$R$200,19)&amp;", "))),1,""))</f>
        <v/>
      </c>
      <c r="V91">
        <f>IF(Wizards!$A$20="","",IF(OR(ISNUMBER(SEARCH(", "&amp;$B91&amp;", ", ", "&amp;INDEX('Form Responses'!$I$1:$Q$200,20,$A91)&amp;", ")),ISNUMBER(SEARCH(", "&amp;$B91&amp;", ", ", "&amp;INDEX('Form Responses'!$R$1:$R$200,20)&amp;", "))),1,""))</f>
        <v/>
      </c>
      <c r="W91">
        <f>IF(Wizards!$A$21="","",IF(OR(ISNUMBER(SEARCH(", "&amp;$B91&amp;", ", ", "&amp;INDEX('Form Responses'!$I$1:$Q$200,21,$A91)&amp;", ")),ISNUMBER(SEARCH(", "&amp;$B91&amp;", ", ", "&amp;INDEX('Form Responses'!$R$1:$R$200,21)&amp;", "))),1,""))</f>
        <v/>
      </c>
      <c r="X91">
        <f>IF(Wizards!$A$22="","",IF(OR(ISNUMBER(SEARCH(", "&amp;$B91&amp;", ", ", "&amp;INDEX('Form Responses'!$I$1:$Q$200,22,$A91)&amp;", ")),ISNUMBER(SEARCH(", "&amp;$B91&amp;", ", ", "&amp;INDEX('Form Responses'!$R$1:$R$200,22)&amp;", "))),1,""))</f>
        <v/>
      </c>
      <c r="Y91">
        <f>IF(Wizards!$A$23="","",IF(OR(ISNUMBER(SEARCH(", "&amp;$B91&amp;", ", ", "&amp;INDEX('Form Responses'!$I$1:$Q$200,23,$A91)&amp;", ")),ISNUMBER(SEARCH(", "&amp;$B91&amp;", ", ", "&amp;INDEX('Form Responses'!$R$1:$R$200,23)&amp;", "))),1,""))</f>
        <v/>
      </c>
      <c r="Z91">
        <f>IF(Wizards!$A$24="","",IF(OR(ISNUMBER(SEARCH(", "&amp;$B91&amp;", ", ", "&amp;INDEX('Form Responses'!$I$1:$Q$200,24,$A91)&amp;", ")),ISNUMBER(SEARCH(", "&amp;$B91&amp;", ", ", "&amp;INDEX('Form Responses'!$R$1:$R$200,24)&amp;", "))),1,""))</f>
        <v/>
      </c>
      <c r="AA91">
        <f>IF(Wizards!$A$25="","",IF(OR(ISNUMBER(SEARCH(", "&amp;$B91&amp;", ", ", "&amp;INDEX('Form Responses'!$I$1:$Q$200,25,$A91)&amp;", ")),ISNUMBER(SEARCH(", "&amp;$B91&amp;", ", ", "&amp;INDEX('Form Responses'!$R$1:$R$200,25)&amp;", "))),1,""))</f>
        <v/>
      </c>
      <c r="AB91">
        <f>IF(D91=1,", "&amp;D$1,"")</f>
        <v/>
      </c>
      <c r="AC91">
        <f>IF(E91=1,", "&amp;E$1,"")</f>
        <v/>
      </c>
      <c r="AD91">
        <f>IF(F91=1,", "&amp;F$1,"")</f>
        <v/>
      </c>
      <c r="AE91">
        <f>IF(G91=1,", "&amp;G$1,"")</f>
        <v/>
      </c>
      <c r="AF91">
        <f>IF(H91=1,", "&amp;H$1,"")</f>
        <v/>
      </c>
      <c r="AG91">
        <f>IF(I91=1,", "&amp;I$1,"")</f>
        <v/>
      </c>
      <c r="AH91">
        <f>IF(J91=1,", "&amp;J$1,"")</f>
        <v/>
      </c>
      <c r="AI91">
        <f>IF(K91=1,", "&amp;K$1,"")</f>
        <v/>
      </c>
      <c r="AJ91">
        <f>IF(L91=1,", "&amp;L$1,"")</f>
        <v/>
      </c>
      <c r="AK91">
        <f>IF(M91=1,", "&amp;M$1,"")</f>
        <v/>
      </c>
      <c r="AL91">
        <f>IF(N91=1,", "&amp;N$1,"")</f>
        <v/>
      </c>
      <c r="AM91">
        <f>IF(O91=1,", "&amp;O$1,"")</f>
        <v/>
      </c>
      <c r="AN91">
        <f>IF(P91=1,", "&amp;P$1,"")</f>
        <v/>
      </c>
      <c r="AO91">
        <f>IF(Q91=1,", "&amp;Q$1,"")</f>
        <v/>
      </c>
      <c r="AP91">
        <f>IF(R91=1,", "&amp;R$1,"")</f>
        <v/>
      </c>
      <c r="AQ91">
        <f>IF(S91=1,", "&amp;S$1,"")</f>
        <v/>
      </c>
      <c r="AR91">
        <f>IF(T91=1,", "&amp;T$1,"")</f>
        <v/>
      </c>
      <c r="AS91">
        <f>IF(U91=1,", "&amp;U$1,"")</f>
        <v/>
      </c>
      <c r="AT91">
        <f>IF(V91=1,", "&amp;V$1,"")</f>
        <v/>
      </c>
      <c r="AU91">
        <f>IF(W91=1,", "&amp;W$1,"")</f>
        <v/>
      </c>
      <c r="AV91">
        <f>IF(X91=1,", "&amp;X$1,"")</f>
        <v/>
      </c>
      <c r="AW91">
        <f>IF(Y91=1,", "&amp;Y$1,"")</f>
        <v/>
      </c>
      <c r="AX91">
        <f>IF(Z91=1,", "&amp;Z$1,"")</f>
        <v/>
      </c>
      <c r="AY91">
        <f>IF(AA91=1,", "&amp;AA$1,"")</f>
        <v/>
      </c>
      <c r="AZ91">
        <f>MID($AB91&amp;$AC91&amp;$AD91&amp;$AE91&amp;$AF91&amp;$AG91&amp;$AH91&amp;$AI91&amp;$AJ91&amp;$AK91&amp;$AL91&amp;$AM91&amp;$AN91&amp;$AO91&amp;$AP91&amp;$AQ91&amp;$AR91&amp;$AS91&amp;$AT91&amp;$AU91&amp;$AV91&amp;$AW91&amp;$AX91&amp;$AY91,3,32767)</f>
        <v/>
      </c>
      <c r="BA91">
        <f>COUNT($D91:$AA91)</f>
        <v/>
      </c>
    </row>
    <row r="92">
      <c r="A92" t="n">
        <v>2</v>
      </c>
      <c r="B92" t="inlineStr">
        <is>
          <t>Shadow Blade</t>
        </is>
      </c>
      <c r="C92" t="inlineStr">
        <is>
          <t>Illusion</t>
        </is>
      </c>
      <c r="D92">
        <f>IF(Wizards!$A$2="","",IF(OR(ISNUMBER(SEARCH(", "&amp;$B92&amp;", ", ", "&amp;INDEX('Form Responses'!$I$1:$Q$200,2,$A92)&amp;", ")),ISNUMBER(SEARCH(", "&amp;$B92&amp;", ", ", "&amp;INDEX('Form Responses'!$R$1:$R$200,2)&amp;", "))),1,""))</f>
        <v/>
      </c>
      <c r="E92">
        <f>IF(Wizards!$A$3="","",IF(OR(ISNUMBER(SEARCH(", "&amp;$B92&amp;", ", ", "&amp;INDEX('Form Responses'!$I$1:$Q$200,3,$A92)&amp;", ")),ISNUMBER(SEARCH(", "&amp;$B92&amp;", ", ", "&amp;INDEX('Form Responses'!$R$1:$R$200,3)&amp;", "))),1,""))</f>
        <v/>
      </c>
      <c r="F92">
        <f>IF(Wizards!$A$4="","",IF(OR(ISNUMBER(SEARCH(", "&amp;$B92&amp;", ", ", "&amp;INDEX('Form Responses'!$I$1:$Q$200,4,$A92)&amp;", ")),ISNUMBER(SEARCH(", "&amp;$B92&amp;", ", ", "&amp;INDEX('Form Responses'!$R$1:$R$200,4)&amp;", "))),1,""))</f>
        <v/>
      </c>
      <c r="G92">
        <f>IF(Wizards!$A$5="","",IF(OR(ISNUMBER(SEARCH(", "&amp;$B92&amp;", ", ", "&amp;INDEX('Form Responses'!$I$1:$Q$200,5,$A92)&amp;", ")),ISNUMBER(SEARCH(", "&amp;$B92&amp;", ", ", "&amp;INDEX('Form Responses'!$R$1:$R$200,5)&amp;", "))),1,""))</f>
        <v/>
      </c>
      <c r="H92">
        <f>IF(Wizards!$A$6="","",IF(OR(ISNUMBER(SEARCH(", "&amp;$B92&amp;", ", ", "&amp;INDEX('Form Responses'!$I$1:$Q$200,6,$A92)&amp;", ")),ISNUMBER(SEARCH(", "&amp;$B92&amp;", ", ", "&amp;INDEX('Form Responses'!$R$1:$R$200,6)&amp;", "))),1,""))</f>
        <v/>
      </c>
      <c r="I92">
        <f>IF(Wizards!$A$7="","",IF(OR(ISNUMBER(SEARCH(", "&amp;$B92&amp;", ", ", "&amp;INDEX('Form Responses'!$I$1:$Q$200,7,$A92)&amp;", ")),ISNUMBER(SEARCH(", "&amp;$B92&amp;", ", ", "&amp;INDEX('Form Responses'!$R$1:$R$200,7)&amp;", "))),1,""))</f>
        <v/>
      </c>
      <c r="J92">
        <f>IF(Wizards!$A$8="","",IF(OR(ISNUMBER(SEARCH(", "&amp;$B92&amp;", ", ", "&amp;INDEX('Form Responses'!$I$1:$Q$200,8,$A92)&amp;", ")),ISNUMBER(SEARCH(", "&amp;$B92&amp;", ", ", "&amp;INDEX('Form Responses'!$R$1:$R$200,8)&amp;", "))),1,""))</f>
        <v/>
      </c>
      <c r="K92">
        <f>IF(Wizards!$A$9="","",IF(OR(ISNUMBER(SEARCH(", "&amp;$B92&amp;", ", ", "&amp;INDEX('Form Responses'!$I$1:$Q$200,9,$A92)&amp;", ")),ISNUMBER(SEARCH(", "&amp;$B92&amp;", ", ", "&amp;INDEX('Form Responses'!$R$1:$R$200,9)&amp;", "))),1,""))</f>
        <v/>
      </c>
      <c r="L92">
        <f>IF(Wizards!$A$10="","",IF(OR(ISNUMBER(SEARCH(", "&amp;$B92&amp;", ", ", "&amp;INDEX('Form Responses'!$I$1:$Q$200,10,$A92)&amp;", ")),ISNUMBER(SEARCH(", "&amp;$B92&amp;", ", ", "&amp;INDEX('Form Responses'!$R$1:$R$200,10)&amp;", "))),1,""))</f>
        <v/>
      </c>
      <c r="M92">
        <f>IF(Wizards!$A$11="","",IF(OR(ISNUMBER(SEARCH(", "&amp;$B92&amp;", ", ", "&amp;INDEX('Form Responses'!$I$1:$Q$200,11,$A92)&amp;", ")),ISNUMBER(SEARCH(", "&amp;$B92&amp;", ", ", "&amp;INDEX('Form Responses'!$R$1:$R$200,11)&amp;", "))),1,""))</f>
        <v/>
      </c>
      <c r="N92">
        <f>IF(Wizards!$A$12="","",IF(OR(ISNUMBER(SEARCH(", "&amp;$B92&amp;", ", ", "&amp;INDEX('Form Responses'!$I$1:$Q$200,12,$A92)&amp;", ")),ISNUMBER(SEARCH(", "&amp;$B92&amp;", ", ", "&amp;INDEX('Form Responses'!$R$1:$R$200,12)&amp;", "))),1,""))</f>
        <v/>
      </c>
      <c r="O92">
        <f>IF(Wizards!$A$13="","",IF(OR(ISNUMBER(SEARCH(", "&amp;$B92&amp;", ", ", "&amp;INDEX('Form Responses'!$I$1:$Q$200,13,$A92)&amp;", ")),ISNUMBER(SEARCH(", "&amp;$B92&amp;", ", ", "&amp;INDEX('Form Responses'!$R$1:$R$200,13)&amp;", "))),1,""))</f>
        <v/>
      </c>
      <c r="P92">
        <f>IF(Wizards!$A$14="","",IF(OR(ISNUMBER(SEARCH(", "&amp;$B92&amp;", ", ", "&amp;INDEX('Form Responses'!$I$1:$Q$200,14,$A92)&amp;", ")),ISNUMBER(SEARCH(", "&amp;$B92&amp;", ", ", "&amp;INDEX('Form Responses'!$R$1:$R$200,14)&amp;", "))),1,""))</f>
        <v/>
      </c>
      <c r="Q92">
        <f>IF(Wizards!$A$15="","",IF(OR(ISNUMBER(SEARCH(", "&amp;$B92&amp;", ", ", "&amp;INDEX('Form Responses'!$I$1:$Q$200,15,$A92)&amp;", ")),ISNUMBER(SEARCH(", "&amp;$B92&amp;", ", ", "&amp;INDEX('Form Responses'!$R$1:$R$200,15)&amp;", "))),1,""))</f>
        <v/>
      </c>
      <c r="R92">
        <f>IF(Wizards!$A$16="","",IF(OR(ISNUMBER(SEARCH(", "&amp;$B92&amp;", ", ", "&amp;INDEX('Form Responses'!$I$1:$Q$200,16,$A92)&amp;", ")),ISNUMBER(SEARCH(", "&amp;$B92&amp;", ", ", "&amp;INDEX('Form Responses'!$R$1:$R$200,16)&amp;", "))),1,""))</f>
        <v/>
      </c>
      <c r="S92">
        <f>IF(Wizards!$A$17="","",IF(OR(ISNUMBER(SEARCH(", "&amp;$B92&amp;", ", ", "&amp;INDEX('Form Responses'!$I$1:$Q$200,17,$A92)&amp;", ")),ISNUMBER(SEARCH(", "&amp;$B92&amp;", ", ", "&amp;INDEX('Form Responses'!$R$1:$R$200,17)&amp;", "))),1,""))</f>
        <v/>
      </c>
      <c r="T92">
        <f>IF(Wizards!$A$18="","",IF(OR(ISNUMBER(SEARCH(", "&amp;$B92&amp;", ", ", "&amp;INDEX('Form Responses'!$I$1:$Q$200,18,$A92)&amp;", ")),ISNUMBER(SEARCH(", "&amp;$B92&amp;", ", ", "&amp;INDEX('Form Responses'!$R$1:$R$200,18)&amp;", "))),1,""))</f>
        <v/>
      </c>
      <c r="U92">
        <f>IF(Wizards!$A$19="","",IF(OR(ISNUMBER(SEARCH(", "&amp;$B92&amp;", ", ", "&amp;INDEX('Form Responses'!$I$1:$Q$200,19,$A92)&amp;", ")),ISNUMBER(SEARCH(", "&amp;$B92&amp;", ", ", "&amp;INDEX('Form Responses'!$R$1:$R$200,19)&amp;", "))),1,""))</f>
        <v/>
      </c>
      <c r="V92">
        <f>IF(Wizards!$A$20="","",IF(OR(ISNUMBER(SEARCH(", "&amp;$B92&amp;", ", ", "&amp;INDEX('Form Responses'!$I$1:$Q$200,20,$A92)&amp;", ")),ISNUMBER(SEARCH(", "&amp;$B92&amp;", ", ", "&amp;INDEX('Form Responses'!$R$1:$R$200,20)&amp;", "))),1,""))</f>
        <v/>
      </c>
      <c r="W92">
        <f>IF(Wizards!$A$21="","",IF(OR(ISNUMBER(SEARCH(", "&amp;$B92&amp;", ", ", "&amp;INDEX('Form Responses'!$I$1:$Q$200,21,$A92)&amp;", ")),ISNUMBER(SEARCH(", "&amp;$B92&amp;", ", ", "&amp;INDEX('Form Responses'!$R$1:$R$200,21)&amp;", "))),1,""))</f>
        <v/>
      </c>
      <c r="X92">
        <f>IF(Wizards!$A$22="","",IF(OR(ISNUMBER(SEARCH(", "&amp;$B92&amp;", ", ", "&amp;INDEX('Form Responses'!$I$1:$Q$200,22,$A92)&amp;", ")),ISNUMBER(SEARCH(", "&amp;$B92&amp;", ", ", "&amp;INDEX('Form Responses'!$R$1:$R$200,22)&amp;", "))),1,""))</f>
        <v/>
      </c>
      <c r="Y92">
        <f>IF(Wizards!$A$23="","",IF(OR(ISNUMBER(SEARCH(", "&amp;$B92&amp;", ", ", "&amp;INDEX('Form Responses'!$I$1:$Q$200,23,$A92)&amp;", ")),ISNUMBER(SEARCH(", "&amp;$B92&amp;", ", ", "&amp;INDEX('Form Responses'!$R$1:$R$200,23)&amp;", "))),1,""))</f>
        <v/>
      </c>
      <c r="Z92">
        <f>IF(Wizards!$A$24="","",IF(OR(ISNUMBER(SEARCH(", "&amp;$B92&amp;", ", ", "&amp;INDEX('Form Responses'!$I$1:$Q$200,24,$A92)&amp;", ")),ISNUMBER(SEARCH(", "&amp;$B92&amp;", ", ", "&amp;INDEX('Form Responses'!$R$1:$R$200,24)&amp;", "))),1,""))</f>
        <v/>
      </c>
      <c r="AA92">
        <f>IF(Wizards!$A$25="","",IF(OR(ISNUMBER(SEARCH(", "&amp;$B92&amp;", ", ", "&amp;INDEX('Form Responses'!$I$1:$Q$200,25,$A92)&amp;", ")),ISNUMBER(SEARCH(", "&amp;$B92&amp;", ", ", "&amp;INDEX('Form Responses'!$R$1:$R$200,25)&amp;", "))),1,""))</f>
        <v/>
      </c>
      <c r="AB92">
        <f>IF(D92=1,", "&amp;D$1,"")</f>
        <v/>
      </c>
      <c r="AC92">
        <f>IF(E92=1,", "&amp;E$1,"")</f>
        <v/>
      </c>
      <c r="AD92">
        <f>IF(F92=1,", "&amp;F$1,"")</f>
        <v/>
      </c>
      <c r="AE92">
        <f>IF(G92=1,", "&amp;G$1,"")</f>
        <v/>
      </c>
      <c r="AF92">
        <f>IF(H92=1,", "&amp;H$1,"")</f>
        <v/>
      </c>
      <c r="AG92">
        <f>IF(I92=1,", "&amp;I$1,"")</f>
        <v/>
      </c>
      <c r="AH92">
        <f>IF(J92=1,", "&amp;J$1,"")</f>
        <v/>
      </c>
      <c r="AI92">
        <f>IF(K92=1,", "&amp;K$1,"")</f>
        <v/>
      </c>
      <c r="AJ92">
        <f>IF(L92=1,", "&amp;L$1,"")</f>
        <v/>
      </c>
      <c r="AK92">
        <f>IF(M92=1,", "&amp;M$1,"")</f>
        <v/>
      </c>
      <c r="AL92">
        <f>IF(N92=1,", "&amp;N$1,"")</f>
        <v/>
      </c>
      <c r="AM92">
        <f>IF(O92=1,", "&amp;O$1,"")</f>
        <v/>
      </c>
      <c r="AN92">
        <f>IF(P92=1,", "&amp;P$1,"")</f>
        <v/>
      </c>
      <c r="AO92">
        <f>IF(Q92=1,", "&amp;Q$1,"")</f>
        <v/>
      </c>
      <c r="AP92">
        <f>IF(R92=1,", "&amp;R$1,"")</f>
        <v/>
      </c>
      <c r="AQ92">
        <f>IF(S92=1,", "&amp;S$1,"")</f>
        <v/>
      </c>
      <c r="AR92">
        <f>IF(T92=1,", "&amp;T$1,"")</f>
        <v/>
      </c>
      <c r="AS92">
        <f>IF(U92=1,", "&amp;U$1,"")</f>
        <v/>
      </c>
      <c r="AT92">
        <f>IF(V92=1,", "&amp;V$1,"")</f>
        <v/>
      </c>
      <c r="AU92">
        <f>IF(W92=1,", "&amp;W$1,"")</f>
        <v/>
      </c>
      <c r="AV92">
        <f>IF(X92=1,", "&amp;X$1,"")</f>
        <v/>
      </c>
      <c r="AW92">
        <f>IF(Y92=1,", "&amp;Y$1,"")</f>
        <v/>
      </c>
      <c r="AX92">
        <f>IF(Z92=1,", "&amp;Z$1,"")</f>
        <v/>
      </c>
      <c r="AY92">
        <f>IF(AA92=1,", "&amp;AA$1,"")</f>
        <v/>
      </c>
      <c r="AZ92">
        <f>MID($AB92&amp;$AC92&amp;$AD92&amp;$AE92&amp;$AF92&amp;$AG92&amp;$AH92&amp;$AI92&amp;$AJ92&amp;$AK92&amp;$AL92&amp;$AM92&amp;$AN92&amp;$AO92&amp;$AP92&amp;$AQ92&amp;$AR92&amp;$AS92&amp;$AT92&amp;$AU92&amp;$AV92&amp;$AW92&amp;$AX92&amp;$AY92,3,32767)</f>
        <v/>
      </c>
      <c r="BA92">
        <f>COUNT($D92:$AA92)</f>
        <v/>
      </c>
    </row>
    <row r="93">
      <c r="A93" t="n">
        <v>2</v>
      </c>
      <c r="B93" t="inlineStr">
        <is>
          <t>Shatter</t>
        </is>
      </c>
      <c r="C93" t="inlineStr">
        <is>
          <t>Evocation</t>
        </is>
      </c>
      <c r="D93">
        <f>IF(Wizards!$A$2="","",IF(OR(ISNUMBER(SEARCH(", "&amp;$B93&amp;", ", ", "&amp;INDEX('Form Responses'!$I$1:$Q$200,2,$A93)&amp;", ")),ISNUMBER(SEARCH(", "&amp;$B93&amp;", ", ", "&amp;INDEX('Form Responses'!$R$1:$R$200,2)&amp;", "))),1,""))</f>
        <v/>
      </c>
      <c r="E93">
        <f>IF(Wizards!$A$3="","",IF(OR(ISNUMBER(SEARCH(", "&amp;$B93&amp;", ", ", "&amp;INDEX('Form Responses'!$I$1:$Q$200,3,$A93)&amp;", ")),ISNUMBER(SEARCH(", "&amp;$B93&amp;", ", ", "&amp;INDEX('Form Responses'!$R$1:$R$200,3)&amp;", "))),1,""))</f>
        <v/>
      </c>
      <c r="F93">
        <f>IF(Wizards!$A$4="","",IF(OR(ISNUMBER(SEARCH(", "&amp;$B93&amp;", ", ", "&amp;INDEX('Form Responses'!$I$1:$Q$200,4,$A93)&amp;", ")),ISNUMBER(SEARCH(", "&amp;$B93&amp;", ", ", "&amp;INDEX('Form Responses'!$R$1:$R$200,4)&amp;", "))),1,""))</f>
        <v/>
      </c>
      <c r="G93">
        <f>IF(Wizards!$A$5="","",IF(OR(ISNUMBER(SEARCH(", "&amp;$B93&amp;", ", ", "&amp;INDEX('Form Responses'!$I$1:$Q$200,5,$A93)&amp;", ")),ISNUMBER(SEARCH(", "&amp;$B93&amp;", ", ", "&amp;INDEX('Form Responses'!$R$1:$R$200,5)&amp;", "))),1,""))</f>
        <v/>
      </c>
      <c r="H93">
        <f>IF(Wizards!$A$6="","",IF(OR(ISNUMBER(SEARCH(", "&amp;$B93&amp;", ", ", "&amp;INDEX('Form Responses'!$I$1:$Q$200,6,$A93)&amp;", ")),ISNUMBER(SEARCH(", "&amp;$B93&amp;", ", ", "&amp;INDEX('Form Responses'!$R$1:$R$200,6)&amp;", "))),1,""))</f>
        <v/>
      </c>
      <c r="I93">
        <f>IF(Wizards!$A$7="","",IF(OR(ISNUMBER(SEARCH(", "&amp;$B93&amp;", ", ", "&amp;INDEX('Form Responses'!$I$1:$Q$200,7,$A93)&amp;", ")),ISNUMBER(SEARCH(", "&amp;$B93&amp;", ", ", "&amp;INDEX('Form Responses'!$R$1:$R$200,7)&amp;", "))),1,""))</f>
        <v/>
      </c>
      <c r="J93">
        <f>IF(Wizards!$A$8="","",IF(OR(ISNUMBER(SEARCH(", "&amp;$B93&amp;", ", ", "&amp;INDEX('Form Responses'!$I$1:$Q$200,8,$A93)&amp;", ")),ISNUMBER(SEARCH(", "&amp;$B93&amp;", ", ", "&amp;INDEX('Form Responses'!$R$1:$R$200,8)&amp;", "))),1,""))</f>
        <v/>
      </c>
      <c r="K93">
        <f>IF(Wizards!$A$9="","",IF(OR(ISNUMBER(SEARCH(", "&amp;$B93&amp;", ", ", "&amp;INDEX('Form Responses'!$I$1:$Q$200,9,$A93)&amp;", ")),ISNUMBER(SEARCH(", "&amp;$B93&amp;", ", ", "&amp;INDEX('Form Responses'!$R$1:$R$200,9)&amp;", "))),1,""))</f>
        <v/>
      </c>
      <c r="L93">
        <f>IF(Wizards!$A$10="","",IF(OR(ISNUMBER(SEARCH(", "&amp;$B93&amp;", ", ", "&amp;INDEX('Form Responses'!$I$1:$Q$200,10,$A93)&amp;", ")),ISNUMBER(SEARCH(", "&amp;$B93&amp;", ", ", "&amp;INDEX('Form Responses'!$R$1:$R$200,10)&amp;", "))),1,""))</f>
        <v/>
      </c>
      <c r="M93">
        <f>IF(Wizards!$A$11="","",IF(OR(ISNUMBER(SEARCH(", "&amp;$B93&amp;", ", ", "&amp;INDEX('Form Responses'!$I$1:$Q$200,11,$A93)&amp;", ")),ISNUMBER(SEARCH(", "&amp;$B93&amp;", ", ", "&amp;INDEX('Form Responses'!$R$1:$R$200,11)&amp;", "))),1,""))</f>
        <v/>
      </c>
      <c r="N93">
        <f>IF(Wizards!$A$12="","",IF(OR(ISNUMBER(SEARCH(", "&amp;$B93&amp;", ", ", "&amp;INDEX('Form Responses'!$I$1:$Q$200,12,$A93)&amp;", ")),ISNUMBER(SEARCH(", "&amp;$B93&amp;", ", ", "&amp;INDEX('Form Responses'!$R$1:$R$200,12)&amp;", "))),1,""))</f>
        <v/>
      </c>
      <c r="O93">
        <f>IF(Wizards!$A$13="","",IF(OR(ISNUMBER(SEARCH(", "&amp;$B93&amp;", ", ", "&amp;INDEX('Form Responses'!$I$1:$Q$200,13,$A93)&amp;", ")),ISNUMBER(SEARCH(", "&amp;$B93&amp;", ", ", "&amp;INDEX('Form Responses'!$R$1:$R$200,13)&amp;", "))),1,""))</f>
        <v/>
      </c>
      <c r="P93">
        <f>IF(Wizards!$A$14="","",IF(OR(ISNUMBER(SEARCH(", "&amp;$B93&amp;", ", ", "&amp;INDEX('Form Responses'!$I$1:$Q$200,14,$A93)&amp;", ")),ISNUMBER(SEARCH(", "&amp;$B93&amp;", ", ", "&amp;INDEX('Form Responses'!$R$1:$R$200,14)&amp;", "))),1,""))</f>
        <v/>
      </c>
      <c r="Q93">
        <f>IF(Wizards!$A$15="","",IF(OR(ISNUMBER(SEARCH(", "&amp;$B93&amp;", ", ", "&amp;INDEX('Form Responses'!$I$1:$Q$200,15,$A93)&amp;", ")),ISNUMBER(SEARCH(", "&amp;$B93&amp;", ", ", "&amp;INDEX('Form Responses'!$R$1:$R$200,15)&amp;", "))),1,""))</f>
        <v/>
      </c>
      <c r="R93">
        <f>IF(Wizards!$A$16="","",IF(OR(ISNUMBER(SEARCH(", "&amp;$B93&amp;", ", ", "&amp;INDEX('Form Responses'!$I$1:$Q$200,16,$A93)&amp;", ")),ISNUMBER(SEARCH(", "&amp;$B93&amp;", ", ", "&amp;INDEX('Form Responses'!$R$1:$R$200,16)&amp;", "))),1,""))</f>
        <v/>
      </c>
      <c r="S93">
        <f>IF(Wizards!$A$17="","",IF(OR(ISNUMBER(SEARCH(", "&amp;$B93&amp;", ", ", "&amp;INDEX('Form Responses'!$I$1:$Q$200,17,$A93)&amp;", ")),ISNUMBER(SEARCH(", "&amp;$B93&amp;", ", ", "&amp;INDEX('Form Responses'!$R$1:$R$200,17)&amp;", "))),1,""))</f>
        <v/>
      </c>
      <c r="T93">
        <f>IF(Wizards!$A$18="","",IF(OR(ISNUMBER(SEARCH(", "&amp;$B93&amp;", ", ", "&amp;INDEX('Form Responses'!$I$1:$Q$200,18,$A93)&amp;", ")),ISNUMBER(SEARCH(", "&amp;$B93&amp;", ", ", "&amp;INDEX('Form Responses'!$R$1:$R$200,18)&amp;", "))),1,""))</f>
        <v/>
      </c>
      <c r="U93">
        <f>IF(Wizards!$A$19="","",IF(OR(ISNUMBER(SEARCH(", "&amp;$B93&amp;", ", ", "&amp;INDEX('Form Responses'!$I$1:$Q$200,19,$A93)&amp;", ")),ISNUMBER(SEARCH(", "&amp;$B93&amp;", ", ", "&amp;INDEX('Form Responses'!$R$1:$R$200,19)&amp;", "))),1,""))</f>
        <v/>
      </c>
      <c r="V93">
        <f>IF(Wizards!$A$20="","",IF(OR(ISNUMBER(SEARCH(", "&amp;$B93&amp;", ", ", "&amp;INDEX('Form Responses'!$I$1:$Q$200,20,$A93)&amp;", ")),ISNUMBER(SEARCH(", "&amp;$B93&amp;", ", ", "&amp;INDEX('Form Responses'!$R$1:$R$200,20)&amp;", "))),1,""))</f>
        <v/>
      </c>
      <c r="W93">
        <f>IF(Wizards!$A$21="","",IF(OR(ISNUMBER(SEARCH(", "&amp;$B93&amp;", ", ", "&amp;INDEX('Form Responses'!$I$1:$Q$200,21,$A93)&amp;", ")),ISNUMBER(SEARCH(", "&amp;$B93&amp;", ", ", "&amp;INDEX('Form Responses'!$R$1:$R$200,21)&amp;", "))),1,""))</f>
        <v/>
      </c>
      <c r="X93">
        <f>IF(Wizards!$A$22="","",IF(OR(ISNUMBER(SEARCH(", "&amp;$B93&amp;", ", ", "&amp;INDEX('Form Responses'!$I$1:$Q$200,22,$A93)&amp;", ")),ISNUMBER(SEARCH(", "&amp;$B93&amp;", ", ", "&amp;INDEX('Form Responses'!$R$1:$R$200,22)&amp;", "))),1,""))</f>
        <v/>
      </c>
      <c r="Y93">
        <f>IF(Wizards!$A$23="","",IF(OR(ISNUMBER(SEARCH(", "&amp;$B93&amp;", ", ", "&amp;INDEX('Form Responses'!$I$1:$Q$200,23,$A93)&amp;", ")),ISNUMBER(SEARCH(", "&amp;$B93&amp;", ", ", "&amp;INDEX('Form Responses'!$R$1:$R$200,23)&amp;", "))),1,""))</f>
        <v/>
      </c>
      <c r="Z93">
        <f>IF(Wizards!$A$24="","",IF(OR(ISNUMBER(SEARCH(", "&amp;$B93&amp;", ", ", "&amp;INDEX('Form Responses'!$I$1:$Q$200,24,$A93)&amp;", ")),ISNUMBER(SEARCH(", "&amp;$B93&amp;", ", ", "&amp;INDEX('Form Responses'!$R$1:$R$200,24)&amp;", "))),1,""))</f>
        <v/>
      </c>
      <c r="AA93">
        <f>IF(Wizards!$A$25="","",IF(OR(ISNUMBER(SEARCH(", "&amp;$B93&amp;", ", ", "&amp;INDEX('Form Responses'!$I$1:$Q$200,25,$A93)&amp;", ")),ISNUMBER(SEARCH(", "&amp;$B93&amp;", ", ", "&amp;INDEX('Form Responses'!$R$1:$R$200,25)&amp;", "))),1,""))</f>
        <v/>
      </c>
      <c r="AB93">
        <f>IF(D93=1,", "&amp;D$1,"")</f>
        <v/>
      </c>
      <c r="AC93">
        <f>IF(E93=1,", "&amp;E$1,"")</f>
        <v/>
      </c>
      <c r="AD93">
        <f>IF(F93=1,", "&amp;F$1,"")</f>
        <v/>
      </c>
      <c r="AE93">
        <f>IF(G93=1,", "&amp;G$1,"")</f>
        <v/>
      </c>
      <c r="AF93">
        <f>IF(H93=1,", "&amp;H$1,"")</f>
        <v/>
      </c>
      <c r="AG93">
        <f>IF(I93=1,", "&amp;I$1,"")</f>
        <v/>
      </c>
      <c r="AH93">
        <f>IF(J93=1,", "&amp;J$1,"")</f>
        <v/>
      </c>
      <c r="AI93">
        <f>IF(K93=1,", "&amp;K$1,"")</f>
        <v/>
      </c>
      <c r="AJ93">
        <f>IF(L93=1,", "&amp;L$1,"")</f>
        <v/>
      </c>
      <c r="AK93">
        <f>IF(M93=1,", "&amp;M$1,"")</f>
        <v/>
      </c>
      <c r="AL93">
        <f>IF(N93=1,", "&amp;N$1,"")</f>
        <v/>
      </c>
      <c r="AM93">
        <f>IF(O93=1,", "&amp;O$1,"")</f>
        <v/>
      </c>
      <c r="AN93">
        <f>IF(P93=1,", "&amp;P$1,"")</f>
        <v/>
      </c>
      <c r="AO93">
        <f>IF(Q93=1,", "&amp;Q$1,"")</f>
        <v/>
      </c>
      <c r="AP93">
        <f>IF(R93=1,", "&amp;R$1,"")</f>
        <v/>
      </c>
      <c r="AQ93">
        <f>IF(S93=1,", "&amp;S$1,"")</f>
        <v/>
      </c>
      <c r="AR93">
        <f>IF(T93=1,", "&amp;T$1,"")</f>
        <v/>
      </c>
      <c r="AS93">
        <f>IF(U93=1,", "&amp;U$1,"")</f>
        <v/>
      </c>
      <c r="AT93">
        <f>IF(V93=1,", "&amp;V$1,"")</f>
        <v/>
      </c>
      <c r="AU93">
        <f>IF(W93=1,", "&amp;W$1,"")</f>
        <v/>
      </c>
      <c r="AV93">
        <f>IF(X93=1,", "&amp;X$1,"")</f>
        <v/>
      </c>
      <c r="AW93">
        <f>IF(Y93=1,", "&amp;Y$1,"")</f>
        <v/>
      </c>
      <c r="AX93">
        <f>IF(Z93=1,", "&amp;Z$1,"")</f>
        <v/>
      </c>
      <c r="AY93">
        <f>IF(AA93=1,", "&amp;AA$1,"")</f>
        <v/>
      </c>
      <c r="AZ93">
        <f>MID($AB93&amp;$AC93&amp;$AD93&amp;$AE93&amp;$AF93&amp;$AG93&amp;$AH93&amp;$AI93&amp;$AJ93&amp;$AK93&amp;$AL93&amp;$AM93&amp;$AN93&amp;$AO93&amp;$AP93&amp;$AQ93&amp;$AR93&amp;$AS93&amp;$AT93&amp;$AU93&amp;$AV93&amp;$AW93&amp;$AX93&amp;$AY93,3,32767)</f>
        <v/>
      </c>
      <c r="BA93">
        <f>COUNT($D93:$AA93)</f>
        <v/>
      </c>
    </row>
    <row r="94">
      <c r="A94" t="n">
        <v>2</v>
      </c>
      <c r="B94" t="inlineStr">
        <is>
          <t>Skywrite</t>
        </is>
      </c>
      <c r="C94" t="inlineStr">
        <is>
          <t>Transmutation</t>
        </is>
      </c>
      <c r="D94">
        <f>IF(Wizards!$A$2="","",IF(OR(ISNUMBER(SEARCH(", "&amp;$B94&amp;", ", ", "&amp;INDEX('Form Responses'!$I$1:$Q$200,2,$A94)&amp;", ")),ISNUMBER(SEARCH(", "&amp;$B94&amp;", ", ", "&amp;INDEX('Form Responses'!$R$1:$R$200,2)&amp;", "))),1,""))</f>
        <v/>
      </c>
      <c r="E94">
        <f>IF(Wizards!$A$3="","",IF(OR(ISNUMBER(SEARCH(", "&amp;$B94&amp;", ", ", "&amp;INDEX('Form Responses'!$I$1:$Q$200,3,$A94)&amp;", ")),ISNUMBER(SEARCH(", "&amp;$B94&amp;", ", ", "&amp;INDEX('Form Responses'!$R$1:$R$200,3)&amp;", "))),1,""))</f>
        <v/>
      </c>
      <c r="F94">
        <f>IF(Wizards!$A$4="","",IF(OR(ISNUMBER(SEARCH(", "&amp;$B94&amp;", ", ", "&amp;INDEX('Form Responses'!$I$1:$Q$200,4,$A94)&amp;", ")),ISNUMBER(SEARCH(", "&amp;$B94&amp;", ", ", "&amp;INDEX('Form Responses'!$R$1:$R$200,4)&amp;", "))),1,""))</f>
        <v/>
      </c>
      <c r="G94">
        <f>IF(Wizards!$A$5="","",IF(OR(ISNUMBER(SEARCH(", "&amp;$B94&amp;", ", ", "&amp;INDEX('Form Responses'!$I$1:$Q$200,5,$A94)&amp;", ")),ISNUMBER(SEARCH(", "&amp;$B94&amp;", ", ", "&amp;INDEX('Form Responses'!$R$1:$R$200,5)&amp;", "))),1,""))</f>
        <v/>
      </c>
      <c r="H94">
        <f>IF(Wizards!$A$6="","",IF(OR(ISNUMBER(SEARCH(", "&amp;$B94&amp;", ", ", "&amp;INDEX('Form Responses'!$I$1:$Q$200,6,$A94)&amp;", ")),ISNUMBER(SEARCH(", "&amp;$B94&amp;", ", ", "&amp;INDEX('Form Responses'!$R$1:$R$200,6)&amp;", "))),1,""))</f>
        <v/>
      </c>
      <c r="I94">
        <f>IF(Wizards!$A$7="","",IF(OR(ISNUMBER(SEARCH(", "&amp;$B94&amp;", ", ", "&amp;INDEX('Form Responses'!$I$1:$Q$200,7,$A94)&amp;", ")),ISNUMBER(SEARCH(", "&amp;$B94&amp;", ", ", "&amp;INDEX('Form Responses'!$R$1:$R$200,7)&amp;", "))),1,""))</f>
        <v/>
      </c>
      <c r="J94">
        <f>IF(Wizards!$A$8="","",IF(OR(ISNUMBER(SEARCH(", "&amp;$B94&amp;", ", ", "&amp;INDEX('Form Responses'!$I$1:$Q$200,8,$A94)&amp;", ")),ISNUMBER(SEARCH(", "&amp;$B94&amp;", ", ", "&amp;INDEX('Form Responses'!$R$1:$R$200,8)&amp;", "))),1,""))</f>
        <v/>
      </c>
      <c r="K94">
        <f>IF(Wizards!$A$9="","",IF(OR(ISNUMBER(SEARCH(", "&amp;$B94&amp;", ", ", "&amp;INDEX('Form Responses'!$I$1:$Q$200,9,$A94)&amp;", ")),ISNUMBER(SEARCH(", "&amp;$B94&amp;", ", ", "&amp;INDEX('Form Responses'!$R$1:$R$200,9)&amp;", "))),1,""))</f>
        <v/>
      </c>
      <c r="L94">
        <f>IF(Wizards!$A$10="","",IF(OR(ISNUMBER(SEARCH(", "&amp;$B94&amp;", ", ", "&amp;INDEX('Form Responses'!$I$1:$Q$200,10,$A94)&amp;", ")),ISNUMBER(SEARCH(", "&amp;$B94&amp;", ", ", "&amp;INDEX('Form Responses'!$R$1:$R$200,10)&amp;", "))),1,""))</f>
        <v/>
      </c>
      <c r="M94">
        <f>IF(Wizards!$A$11="","",IF(OR(ISNUMBER(SEARCH(", "&amp;$B94&amp;", ", ", "&amp;INDEX('Form Responses'!$I$1:$Q$200,11,$A94)&amp;", ")),ISNUMBER(SEARCH(", "&amp;$B94&amp;", ", ", "&amp;INDEX('Form Responses'!$R$1:$R$200,11)&amp;", "))),1,""))</f>
        <v/>
      </c>
      <c r="N94">
        <f>IF(Wizards!$A$12="","",IF(OR(ISNUMBER(SEARCH(", "&amp;$B94&amp;", ", ", "&amp;INDEX('Form Responses'!$I$1:$Q$200,12,$A94)&amp;", ")),ISNUMBER(SEARCH(", "&amp;$B94&amp;", ", ", "&amp;INDEX('Form Responses'!$R$1:$R$200,12)&amp;", "))),1,""))</f>
        <v/>
      </c>
      <c r="O94">
        <f>IF(Wizards!$A$13="","",IF(OR(ISNUMBER(SEARCH(", "&amp;$B94&amp;", ", ", "&amp;INDEX('Form Responses'!$I$1:$Q$200,13,$A94)&amp;", ")),ISNUMBER(SEARCH(", "&amp;$B94&amp;", ", ", "&amp;INDEX('Form Responses'!$R$1:$R$200,13)&amp;", "))),1,""))</f>
        <v/>
      </c>
      <c r="P94">
        <f>IF(Wizards!$A$14="","",IF(OR(ISNUMBER(SEARCH(", "&amp;$B94&amp;", ", ", "&amp;INDEX('Form Responses'!$I$1:$Q$200,14,$A94)&amp;", ")),ISNUMBER(SEARCH(", "&amp;$B94&amp;", ", ", "&amp;INDEX('Form Responses'!$R$1:$R$200,14)&amp;", "))),1,""))</f>
        <v/>
      </c>
      <c r="Q94">
        <f>IF(Wizards!$A$15="","",IF(OR(ISNUMBER(SEARCH(", "&amp;$B94&amp;", ", ", "&amp;INDEX('Form Responses'!$I$1:$Q$200,15,$A94)&amp;", ")),ISNUMBER(SEARCH(", "&amp;$B94&amp;", ", ", "&amp;INDEX('Form Responses'!$R$1:$R$200,15)&amp;", "))),1,""))</f>
        <v/>
      </c>
      <c r="R94">
        <f>IF(Wizards!$A$16="","",IF(OR(ISNUMBER(SEARCH(", "&amp;$B94&amp;", ", ", "&amp;INDEX('Form Responses'!$I$1:$Q$200,16,$A94)&amp;", ")),ISNUMBER(SEARCH(", "&amp;$B94&amp;", ", ", "&amp;INDEX('Form Responses'!$R$1:$R$200,16)&amp;", "))),1,""))</f>
        <v/>
      </c>
      <c r="S94">
        <f>IF(Wizards!$A$17="","",IF(OR(ISNUMBER(SEARCH(", "&amp;$B94&amp;", ", ", "&amp;INDEX('Form Responses'!$I$1:$Q$200,17,$A94)&amp;", ")),ISNUMBER(SEARCH(", "&amp;$B94&amp;", ", ", "&amp;INDEX('Form Responses'!$R$1:$R$200,17)&amp;", "))),1,""))</f>
        <v/>
      </c>
      <c r="T94">
        <f>IF(Wizards!$A$18="","",IF(OR(ISNUMBER(SEARCH(", "&amp;$B94&amp;", ", ", "&amp;INDEX('Form Responses'!$I$1:$Q$200,18,$A94)&amp;", ")),ISNUMBER(SEARCH(", "&amp;$B94&amp;", ", ", "&amp;INDEX('Form Responses'!$R$1:$R$200,18)&amp;", "))),1,""))</f>
        <v/>
      </c>
      <c r="U94">
        <f>IF(Wizards!$A$19="","",IF(OR(ISNUMBER(SEARCH(", "&amp;$B94&amp;", ", ", "&amp;INDEX('Form Responses'!$I$1:$Q$200,19,$A94)&amp;", ")),ISNUMBER(SEARCH(", "&amp;$B94&amp;", ", ", "&amp;INDEX('Form Responses'!$R$1:$R$200,19)&amp;", "))),1,""))</f>
        <v/>
      </c>
      <c r="V94">
        <f>IF(Wizards!$A$20="","",IF(OR(ISNUMBER(SEARCH(", "&amp;$B94&amp;", ", ", "&amp;INDEX('Form Responses'!$I$1:$Q$200,20,$A94)&amp;", ")),ISNUMBER(SEARCH(", "&amp;$B94&amp;", ", ", "&amp;INDEX('Form Responses'!$R$1:$R$200,20)&amp;", "))),1,""))</f>
        <v/>
      </c>
      <c r="W94">
        <f>IF(Wizards!$A$21="","",IF(OR(ISNUMBER(SEARCH(", "&amp;$B94&amp;", ", ", "&amp;INDEX('Form Responses'!$I$1:$Q$200,21,$A94)&amp;", ")),ISNUMBER(SEARCH(", "&amp;$B94&amp;", ", ", "&amp;INDEX('Form Responses'!$R$1:$R$200,21)&amp;", "))),1,""))</f>
        <v/>
      </c>
      <c r="X94">
        <f>IF(Wizards!$A$22="","",IF(OR(ISNUMBER(SEARCH(", "&amp;$B94&amp;", ", ", "&amp;INDEX('Form Responses'!$I$1:$Q$200,22,$A94)&amp;", ")),ISNUMBER(SEARCH(", "&amp;$B94&amp;", ", ", "&amp;INDEX('Form Responses'!$R$1:$R$200,22)&amp;", "))),1,""))</f>
        <v/>
      </c>
      <c r="Y94">
        <f>IF(Wizards!$A$23="","",IF(OR(ISNUMBER(SEARCH(", "&amp;$B94&amp;", ", ", "&amp;INDEX('Form Responses'!$I$1:$Q$200,23,$A94)&amp;", ")),ISNUMBER(SEARCH(", "&amp;$B94&amp;", ", ", "&amp;INDEX('Form Responses'!$R$1:$R$200,23)&amp;", "))),1,""))</f>
        <v/>
      </c>
      <c r="Z94">
        <f>IF(Wizards!$A$24="","",IF(OR(ISNUMBER(SEARCH(", "&amp;$B94&amp;", ", ", "&amp;INDEX('Form Responses'!$I$1:$Q$200,24,$A94)&amp;", ")),ISNUMBER(SEARCH(", "&amp;$B94&amp;", ", ", "&amp;INDEX('Form Responses'!$R$1:$R$200,24)&amp;", "))),1,""))</f>
        <v/>
      </c>
      <c r="AA94">
        <f>IF(Wizards!$A$25="","",IF(OR(ISNUMBER(SEARCH(", "&amp;$B94&amp;", ", ", "&amp;INDEX('Form Responses'!$I$1:$Q$200,25,$A94)&amp;", ")),ISNUMBER(SEARCH(", "&amp;$B94&amp;", ", ", "&amp;INDEX('Form Responses'!$R$1:$R$200,25)&amp;", "))),1,""))</f>
        <v/>
      </c>
      <c r="AB94">
        <f>IF(D94=1,", "&amp;D$1,"")</f>
        <v/>
      </c>
      <c r="AC94">
        <f>IF(E94=1,", "&amp;E$1,"")</f>
        <v/>
      </c>
      <c r="AD94">
        <f>IF(F94=1,", "&amp;F$1,"")</f>
        <v/>
      </c>
      <c r="AE94">
        <f>IF(G94=1,", "&amp;G$1,"")</f>
        <v/>
      </c>
      <c r="AF94">
        <f>IF(H94=1,", "&amp;H$1,"")</f>
        <v/>
      </c>
      <c r="AG94">
        <f>IF(I94=1,", "&amp;I$1,"")</f>
        <v/>
      </c>
      <c r="AH94">
        <f>IF(J94=1,", "&amp;J$1,"")</f>
        <v/>
      </c>
      <c r="AI94">
        <f>IF(K94=1,", "&amp;K$1,"")</f>
        <v/>
      </c>
      <c r="AJ94">
        <f>IF(L94=1,", "&amp;L$1,"")</f>
        <v/>
      </c>
      <c r="AK94">
        <f>IF(M94=1,", "&amp;M$1,"")</f>
        <v/>
      </c>
      <c r="AL94">
        <f>IF(N94=1,", "&amp;N$1,"")</f>
        <v/>
      </c>
      <c r="AM94">
        <f>IF(O94=1,", "&amp;O$1,"")</f>
        <v/>
      </c>
      <c r="AN94">
        <f>IF(P94=1,", "&amp;P$1,"")</f>
        <v/>
      </c>
      <c r="AO94">
        <f>IF(Q94=1,", "&amp;Q$1,"")</f>
        <v/>
      </c>
      <c r="AP94">
        <f>IF(R94=1,", "&amp;R$1,"")</f>
        <v/>
      </c>
      <c r="AQ94">
        <f>IF(S94=1,", "&amp;S$1,"")</f>
        <v/>
      </c>
      <c r="AR94">
        <f>IF(T94=1,", "&amp;T$1,"")</f>
        <v/>
      </c>
      <c r="AS94">
        <f>IF(U94=1,", "&amp;U$1,"")</f>
        <v/>
      </c>
      <c r="AT94">
        <f>IF(V94=1,", "&amp;V$1,"")</f>
        <v/>
      </c>
      <c r="AU94">
        <f>IF(W94=1,", "&amp;W$1,"")</f>
        <v/>
      </c>
      <c r="AV94">
        <f>IF(X94=1,", "&amp;X$1,"")</f>
        <v/>
      </c>
      <c r="AW94">
        <f>IF(Y94=1,", "&amp;Y$1,"")</f>
        <v/>
      </c>
      <c r="AX94">
        <f>IF(Z94=1,", "&amp;Z$1,"")</f>
        <v/>
      </c>
      <c r="AY94">
        <f>IF(AA94=1,", "&amp;AA$1,"")</f>
        <v/>
      </c>
      <c r="AZ94">
        <f>MID($AB94&amp;$AC94&amp;$AD94&amp;$AE94&amp;$AF94&amp;$AG94&amp;$AH94&amp;$AI94&amp;$AJ94&amp;$AK94&amp;$AL94&amp;$AM94&amp;$AN94&amp;$AO94&amp;$AP94&amp;$AQ94&amp;$AR94&amp;$AS94&amp;$AT94&amp;$AU94&amp;$AV94&amp;$AW94&amp;$AX94&amp;$AY94,3,32767)</f>
        <v/>
      </c>
      <c r="BA94">
        <f>COUNT($D94:$AA94)</f>
        <v/>
      </c>
    </row>
    <row r="95">
      <c r="A95" t="n">
        <v>2</v>
      </c>
      <c r="B95" t="inlineStr">
        <is>
          <t>Snilloc's Snowball Swarm</t>
        </is>
      </c>
      <c r="C95" t="inlineStr">
        <is>
          <t>Evocation</t>
        </is>
      </c>
      <c r="D95">
        <f>IF(Wizards!$A$2="","",IF(OR(ISNUMBER(SEARCH(", "&amp;$B95&amp;", ", ", "&amp;INDEX('Form Responses'!$I$1:$Q$200,2,$A95)&amp;", ")),ISNUMBER(SEARCH(", "&amp;$B95&amp;", ", ", "&amp;INDEX('Form Responses'!$R$1:$R$200,2)&amp;", "))),1,""))</f>
        <v/>
      </c>
      <c r="E95">
        <f>IF(Wizards!$A$3="","",IF(OR(ISNUMBER(SEARCH(", "&amp;$B95&amp;", ", ", "&amp;INDEX('Form Responses'!$I$1:$Q$200,3,$A95)&amp;", ")),ISNUMBER(SEARCH(", "&amp;$B95&amp;", ", ", "&amp;INDEX('Form Responses'!$R$1:$R$200,3)&amp;", "))),1,""))</f>
        <v/>
      </c>
      <c r="F95">
        <f>IF(Wizards!$A$4="","",IF(OR(ISNUMBER(SEARCH(", "&amp;$B95&amp;", ", ", "&amp;INDEX('Form Responses'!$I$1:$Q$200,4,$A95)&amp;", ")),ISNUMBER(SEARCH(", "&amp;$B95&amp;", ", ", "&amp;INDEX('Form Responses'!$R$1:$R$200,4)&amp;", "))),1,""))</f>
        <v/>
      </c>
      <c r="G95">
        <f>IF(Wizards!$A$5="","",IF(OR(ISNUMBER(SEARCH(", "&amp;$B95&amp;", ", ", "&amp;INDEX('Form Responses'!$I$1:$Q$200,5,$A95)&amp;", ")),ISNUMBER(SEARCH(", "&amp;$B95&amp;", ", ", "&amp;INDEX('Form Responses'!$R$1:$R$200,5)&amp;", "))),1,""))</f>
        <v/>
      </c>
      <c r="H95">
        <f>IF(Wizards!$A$6="","",IF(OR(ISNUMBER(SEARCH(", "&amp;$B95&amp;", ", ", "&amp;INDEX('Form Responses'!$I$1:$Q$200,6,$A95)&amp;", ")),ISNUMBER(SEARCH(", "&amp;$B95&amp;", ", ", "&amp;INDEX('Form Responses'!$R$1:$R$200,6)&amp;", "))),1,""))</f>
        <v/>
      </c>
      <c r="I95">
        <f>IF(Wizards!$A$7="","",IF(OR(ISNUMBER(SEARCH(", "&amp;$B95&amp;", ", ", "&amp;INDEX('Form Responses'!$I$1:$Q$200,7,$A95)&amp;", ")),ISNUMBER(SEARCH(", "&amp;$B95&amp;", ", ", "&amp;INDEX('Form Responses'!$R$1:$R$200,7)&amp;", "))),1,""))</f>
        <v/>
      </c>
      <c r="J95">
        <f>IF(Wizards!$A$8="","",IF(OR(ISNUMBER(SEARCH(", "&amp;$B95&amp;", ", ", "&amp;INDEX('Form Responses'!$I$1:$Q$200,8,$A95)&amp;", ")),ISNUMBER(SEARCH(", "&amp;$B95&amp;", ", ", "&amp;INDEX('Form Responses'!$R$1:$R$200,8)&amp;", "))),1,""))</f>
        <v/>
      </c>
      <c r="K95">
        <f>IF(Wizards!$A$9="","",IF(OR(ISNUMBER(SEARCH(", "&amp;$B95&amp;", ", ", "&amp;INDEX('Form Responses'!$I$1:$Q$200,9,$A95)&amp;", ")),ISNUMBER(SEARCH(", "&amp;$B95&amp;", ", ", "&amp;INDEX('Form Responses'!$R$1:$R$200,9)&amp;", "))),1,""))</f>
        <v/>
      </c>
      <c r="L95">
        <f>IF(Wizards!$A$10="","",IF(OR(ISNUMBER(SEARCH(", "&amp;$B95&amp;", ", ", "&amp;INDEX('Form Responses'!$I$1:$Q$200,10,$A95)&amp;", ")),ISNUMBER(SEARCH(", "&amp;$B95&amp;", ", ", "&amp;INDEX('Form Responses'!$R$1:$R$200,10)&amp;", "))),1,""))</f>
        <v/>
      </c>
      <c r="M95">
        <f>IF(Wizards!$A$11="","",IF(OR(ISNUMBER(SEARCH(", "&amp;$B95&amp;", ", ", "&amp;INDEX('Form Responses'!$I$1:$Q$200,11,$A95)&amp;", ")),ISNUMBER(SEARCH(", "&amp;$B95&amp;", ", ", "&amp;INDEX('Form Responses'!$R$1:$R$200,11)&amp;", "))),1,""))</f>
        <v/>
      </c>
      <c r="N95">
        <f>IF(Wizards!$A$12="","",IF(OR(ISNUMBER(SEARCH(", "&amp;$B95&amp;", ", ", "&amp;INDEX('Form Responses'!$I$1:$Q$200,12,$A95)&amp;", ")),ISNUMBER(SEARCH(", "&amp;$B95&amp;", ", ", "&amp;INDEX('Form Responses'!$R$1:$R$200,12)&amp;", "))),1,""))</f>
        <v/>
      </c>
      <c r="O95">
        <f>IF(Wizards!$A$13="","",IF(OR(ISNUMBER(SEARCH(", "&amp;$B95&amp;", ", ", "&amp;INDEX('Form Responses'!$I$1:$Q$200,13,$A95)&amp;", ")),ISNUMBER(SEARCH(", "&amp;$B95&amp;", ", ", "&amp;INDEX('Form Responses'!$R$1:$R$200,13)&amp;", "))),1,""))</f>
        <v/>
      </c>
      <c r="P95">
        <f>IF(Wizards!$A$14="","",IF(OR(ISNUMBER(SEARCH(", "&amp;$B95&amp;", ", ", "&amp;INDEX('Form Responses'!$I$1:$Q$200,14,$A95)&amp;", ")),ISNUMBER(SEARCH(", "&amp;$B95&amp;", ", ", "&amp;INDEX('Form Responses'!$R$1:$R$200,14)&amp;", "))),1,""))</f>
        <v/>
      </c>
      <c r="Q95">
        <f>IF(Wizards!$A$15="","",IF(OR(ISNUMBER(SEARCH(", "&amp;$B95&amp;", ", ", "&amp;INDEX('Form Responses'!$I$1:$Q$200,15,$A95)&amp;", ")),ISNUMBER(SEARCH(", "&amp;$B95&amp;", ", ", "&amp;INDEX('Form Responses'!$R$1:$R$200,15)&amp;", "))),1,""))</f>
        <v/>
      </c>
      <c r="R95">
        <f>IF(Wizards!$A$16="","",IF(OR(ISNUMBER(SEARCH(", "&amp;$B95&amp;", ", ", "&amp;INDEX('Form Responses'!$I$1:$Q$200,16,$A95)&amp;", ")),ISNUMBER(SEARCH(", "&amp;$B95&amp;", ", ", "&amp;INDEX('Form Responses'!$R$1:$R$200,16)&amp;", "))),1,""))</f>
        <v/>
      </c>
      <c r="S95">
        <f>IF(Wizards!$A$17="","",IF(OR(ISNUMBER(SEARCH(", "&amp;$B95&amp;", ", ", "&amp;INDEX('Form Responses'!$I$1:$Q$200,17,$A95)&amp;", ")),ISNUMBER(SEARCH(", "&amp;$B95&amp;", ", ", "&amp;INDEX('Form Responses'!$R$1:$R$200,17)&amp;", "))),1,""))</f>
        <v/>
      </c>
      <c r="T95">
        <f>IF(Wizards!$A$18="","",IF(OR(ISNUMBER(SEARCH(", "&amp;$B95&amp;", ", ", "&amp;INDEX('Form Responses'!$I$1:$Q$200,18,$A95)&amp;", ")),ISNUMBER(SEARCH(", "&amp;$B95&amp;", ", ", "&amp;INDEX('Form Responses'!$R$1:$R$200,18)&amp;", "))),1,""))</f>
        <v/>
      </c>
      <c r="U95">
        <f>IF(Wizards!$A$19="","",IF(OR(ISNUMBER(SEARCH(", "&amp;$B95&amp;", ", ", "&amp;INDEX('Form Responses'!$I$1:$Q$200,19,$A95)&amp;", ")),ISNUMBER(SEARCH(", "&amp;$B95&amp;", ", ", "&amp;INDEX('Form Responses'!$R$1:$R$200,19)&amp;", "))),1,""))</f>
        <v/>
      </c>
      <c r="V95">
        <f>IF(Wizards!$A$20="","",IF(OR(ISNUMBER(SEARCH(", "&amp;$B95&amp;", ", ", "&amp;INDEX('Form Responses'!$I$1:$Q$200,20,$A95)&amp;", ")),ISNUMBER(SEARCH(", "&amp;$B95&amp;", ", ", "&amp;INDEX('Form Responses'!$R$1:$R$200,20)&amp;", "))),1,""))</f>
        <v/>
      </c>
      <c r="W95">
        <f>IF(Wizards!$A$21="","",IF(OR(ISNUMBER(SEARCH(", "&amp;$B95&amp;", ", ", "&amp;INDEX('Form Responses'!$I$1:$Q$200,21,$A95)&amp;", ")),ISNUMBER(SEARCH(", "&amp;$B95&amp;", ", ", "&amp;INDEX('Form Responses'!$R$1:$R$200,21)&amp;", "))),1,""))</f>
        <v/>
      </c>
      <c r="X95">
        <f>IF(Wizards!$A$22="","",IF(OR(ISNUMBER(SEARCH(", "&amp;$B95&amp;", ", ", "&amp;INDEX('Form Responses'!$I$1:$Q$200,22,$A95)&amp;", ")),ISNUMBER(SEARCH(", "&amp;$B95&amp;", ", ", "&amp;INDEX('Form Responses'!$R$1:$R$200,22)&amp;", "))),1,""))</f>
        <v/>
      </c>
      <c r="Y95">
        <f>IF(Wizards!$A$23="","",IF(OR(ISNUMBER(SEARCH(", "&amp;$B95&amp;", ", ", "&amp;INDEX('Form Responses'!$I$1:$Q$200,23,$A95)&amp;", ")),ISNUMBER(SEARCH(", "&amp;$B95&amp;", ", ", "&amp;INDEX('Form Responses'!$R$1:$R$200,23)&amp;", "))),1,""))</f>
        <v/>
      </c>
      <c r="Z95">
        <f>IF(Wizards!$A$24="","",IF(OR(ISNUMBER(SEARCH(", "&amp;$B95&amp;", ", ", "&amp;INDEX('Form Responses'!$I$1:$Q$200,24,$A95)&amp;", ")),ISNUMBER(SEARCH(", "&amp;$B95&amp;", ", ", "&amp;INDEX('Form Responses'!$R$1:$R$200,24)&amp;", "))),1,""))</f>
        <v/>
      </c>
      <c r="AA95">
        <f>IF(Wizards!$A$25="","",IF(OR(ISNUMBER(SEARCH(", "&amp;$B95&amp;", ", ", "&amp;INDEX('Form Responses'!$I$1:$Q$200,25,$A95)&amp;", ")),ISNUMBER(SEARCH(", "&amp;$B95&amp;", ", ", "&amp;INDEX('Form Responses'!$R$1:$R$200,25)&amp;", "))),1,""))</f>
        <v/>
      </c>
      <c r="AB95">
        <f>IF(D95=1,", "&amp;D$1,"")</f>
        <v/>
      </c>
      <c r="AC95">
        <f>IF(E95=1,", "&amp;E$1,"")</f>
        <v/>
      </c>
      <c r="AD95">
        <f>IF(F95=1,", "&amp;F$1,"")</f>
        <v/>
      </c>
      <c r="AE95">
        <f>IF(G95=1,", "&amp;G$1,"")</f>
        <v/>
      </c>
      <c r="AF95">
        <f>IF(H95=1,", "&amp;H$1,"")</f>
        <v/>
      </c>
      <c r="AG95">
        <f>IF(I95=1,", "&amp;I$1,"")</f>
        <v/>
      </c>
      <c r="AH95">
        <f>IF(J95=1,", "&amp;J$1,"")</f>
        <v/>
      </c>
      <c r="AI95">
        <f>IF(K95=1,", "&amp;K$1,"")</f>
        <v/>
      </c>
      <c r="AJ95">
        <f>IF(L95=1,", "&amp;L$1,"")</f>
        <v/>
      </c>
      <c r="AK95">
        <f>IF(M95=1,", "&amp;M$1,"")</f>
        <v/>
      </c>
      <c r="AL95">
        <f>IF(N95=1,", "&amp;N$1,"")</f>
        <v/>
      </c>
      <c r="AM95">
        <f>IF(O95=1,", "&amp;O$1,"")</f>
        <v/>
      </c>
      <c r="AN95">
        <f>IF(P95=1,", "&amp;P$1,"")</f>
        <v/>
      </c>
      <c r="AO95">
        <f>IF(Q95=1,", "&amp;Q$1,"")</f>
        <v/>
      </c>
      <c r="AP95">
        <f>IF(R95=1,", "&amp;R$1,"")</f>
        <v/>
      </c>
      <c r="AQ95">
        <f>IF(S95=1,", "&amp;S$1,"")</f>
        <v/>
      </c>
      <c r="AR95">
        <f>IF(T95=1,", "&amp;T$1,"")</f>
        <v/>
      </c>
      <c r="AS95">
        <f>IF(U95=1,", "&amp;U$1,"")</f>
        <v/>
      </c>
      <c r="AT95">
        <f>IF(V95=1,", "&amp;V$1,"")</f>
        <v/>
      </c>
      <c r="AU95">
        <f>IF(W95=1,", "&amp;W$1,"")</f>
        <v/>
      </c>
      <c r="AV95">
        <f>IF(X95=1,", "&amp;X$1,"")</f>
        <v/>
      </c>
      <c r="AW95">
        <f>IF(Y95=1,", "&amp;Y$1,"")</f>
        <v/>
      </c>
      <c r="AX95">
        <f>IF(Z95=1,", "&amp;Z$1,"")</f>
        <v/>
      </c>
      <c r="AY95">
        <f>IF(AA95=1,", "&amp;AA$1,"")</f>
        <v/>
      </c>
      <c r="AZ95">
        <f>MID($AB95&amp;$AC95&amp;$AD95&amp;$AE95&amp;$AF95&amp;$AG95&amp;$AH95&amp;$AI95&amp;$AJ95&amp;$AK95&amp;$AL95&amp;$AM95&amp;$AN95&amp;$AO95&amp;$AP95&amp;$AQ95&amp;$AR95&amp;$AS95&amp;$AT95&amp;$AU95&amp;$AV95&amp;$AW95&amp;$AX95&amp;$AY95,3,32767)</f>
        <v/>
      </c>
      <c r="BA95">
        <f>COUNT($D95:$AA95)</f>
        <v/>
      </c>
    </row>
    <row r="96">
      <c r="A96" t="n">
        <v>2</v>
      </c>
      <c r="B96" t="inlineStr">
        <is>
          <t>Spider Climb</t>
        </is>
      </c>
      <c r="C96" t="inlineStr">
        <is>
          <t>Transmutation</t>
        </is>
      </c>
      <c r="D96">
        <f>IF(Wizards!$A$2="","",IF(OR(ISNUMBER(SEARCH(", "&amp;$B96&amp;", ", ", "&amp;INDEX('Form Responses'!$I$1:$Q$200,2,$A96)&amp;", ")),ISNUMBER(SEARCH(", "&amp;$B96&amp;", ", ", "&amp;INDEX('Form Responses'!$R$1:$R$200,2)&amp;", "))),1,""))</f>
        <v/>
      </c>
      <c r="E96">
        <f>IF(Wizards!$A$3="","",IF(OR(ISNUMBER(SEARCH(", "&amp;$B96&amp;", ", ", "&amp;INDEX('Form Responses'!$I$1:$Q$200,3,$A96)&amp;", ")),ISNUMBER(SEARCH(", "&amp;$B96&amp;", ", ", "&amp;INDEX('Form Responses'!$R$1:$R$200,3)&amp;", "))),1,""))</f>
        <v/>
      </c>
      <c r="F96">
        <f>IF(Wizards!$A$4="","",IF(OR(ISNUMBER(SEARCH(", "&amp;$B96&amp;", ", ", "&amp;INDEX('Form Responses'!$I$1:$Q$200,4,$A96)&amp;", ")),ISNUMBER(SEARCH(", "&amp;$B96&amp;", ", ", "&amp;INDEX('Form Responses'!$R$1:$R$200,4)&amp;", "))),1,""))</f>
        <v/>
      </c>
      <c r="G96">
        <f>IF(Wizards!$A$5="","",IF(OR(ISNUMBER(SEARCH(", "&amp;$B96&amp;", ", ", "&amp;INDEX('Form Responses'!$I$1:$Q$200,5,$A96)&amp;", ")),ISNUMBER(SEARCH(", "&amp;$B96&amp;", ", ", "&amp;INDEX('Form Responses'!$R$1:$R$200,5)&amp;", "))),1,""))</f>
        <v/>
      </c>
      <c r="H96">
        <f>IF(Wizards!$A$6="","",IF(OR(ISNUMBER(SEARCH(", "&amp;$B96&amp;", ", ", "&amp;INDEX('Form Responses'!$I$1:$Q$200,6,$A96)&amp;", ")),ISNUMBER(SEARCH(", "&amp;$B96&amp;", ", ", "&amp;INDEX('Form Responses'!$R$1:$R$200,6)&amp;", "))),1,""))</f>
        <v/>
      </c>
      <c r="I96">
        <f>IF(Wizards!$A$7="","",IF(OR(ISNUMBER(SEARCH(", "&amp;$B96&amp;", ", ", "&amp;INDEX('Form Responses'!$I$1:$Q$200,7,$A96)&amp;", ")),ISNUMBER(SEARCH(", "&amp;$B96&amp;", ", ", "&amp;INDEX('Form Responses'!$R$1:$R$200,7)&amp;", "))),1,""))</f>
        <v/>
      </c>
      <c r="J96">
        <f>IF(Wizards!$A$8="","",IF(OR(ISNUMBER(SEARCH(", "&amp;$B96&amp;", ", ", "&amp;INDEX('Form Responses'!$I$1:$Q$200,8,$A96)&amp;", ")),ISNUMBER(SEARCH(", "&amp;$B96&amp;", ", ", "&amp;INDEX('Form Responses'!$R$1:$R$200,8)&amp;", "))),1,""))</f>
        <v/>
      </c>
      <c r="K96">
        <f>IF(Wizards!$A$9="","",IF(OR(ISNUMBER(SEARCH(", "&amp;$B96&amp;", ", ", "&amp;INDEX('Form Responses'!$I$1:$Q$200,9,$A96)&amp;", ")),ISNUMBER(SEARCH(", "&amp;$B96&amp;", ", ", "&amp;INDEX('Form Responses'!$R$1:$R$200,9)&amp;", "))),1,""))</f>
        <v/>
      </c>
      <c r="L96">
        <f>IF(Wizards!$A$10="","",IF(OR(ISNUMBER(SEARCH(", "&amp;$B96&amp;", ", ", "&amp;INDEX('Form Responses'!$I$1:$Q$200,10,$A96)&amp;", ")),ISNUMBER(SEARCH(", "&amp;$B96&amp;", ", ", "&amp;INDEX('Form Responses'!$R$1:$R$200,10)&amp;", "))),1,""))</f>
        <v/>
      </c>
      <c r="M96">
        <f>IF(Wizards!$A$11="","",IF(OR(ISNUMBER(SEARCH(", "&amp;$B96&amp;", ", ", "&amp;INDEX('Form Responses'!$I$1:$Q$200,11,$A96)&amp;", ")),ISNUMBER(SEARCH(", "&amp;$B96&amp;", ", ", "&amp;INDEX('Form Responses'!$R$1:$R$200,11)&amp;", "))),1,""))</f>
        <v/>
      </c>
      <c r="N96">
        <f>IF(Wizards!$A$12="","",IF(OR(ISNUMBER(SEARCH(", "&amp;$B96&amp;", ", ", "&amp;INDEX('Form Responses'!$I$1:$Q$200,12,$A96)&amp;", ")),ISNUMBER(SEARCH(", "&amp;$B96&amp;", ", ", "&amp;INDEX('Form Responses'!$R$1:$R$200,12)&amp;", "))),1,""))</f>
        <v/>
      </c>
      <c r="O96">
        <f>IF(Wizards!$A$13="","",IF(OR(ISNUMBER(SEARCH(", "&amp;$B96&amp;", ", ", "&amp;INDEX('Form Responses'!$I$1:$Q$200,13,$A96)&amp;", ")),ISNUMBER(SEARCH(", "&amp;$B96&amp;", ", ", "&amp;INDEX('Form Responses'!$R$1:$R$200,13)&amp;", "))),1,""))</f>
        <v/>
      </c>
      <c r="P96">
        <f>IF(Wizards!$A$14="","",IF(OR(ISNUMBER(SEARCH(", "&amp;$B96&amp;", ", ", "&amp;INDEX('Form Responses'!$I$1:$Q$200,14,$A96)&amp;", ")),ISNUMBER(SEARCH(", "&amp;$B96&amp;", ", ", "&amp;INDEX('Form Responses'!$R$1:$R$200,14)&amp;", "))),1,""))</f>
        <v/>
      </c>
      <c r="Q96">
        <f>IF(Wizards!$A$15="","",IF(OR(ISNUMBER(SEARCH(", "&amp;$B96&amp;", ", ", "&amp;INDEX('Form Responses'!$I$1:$Q$200,15,$A96)&amp;", ")),ISNUMBER(SEARCH(", "&amp;$B96&amp;", ", ", "&amp;INDEX('Form Responses'!$R$1:$R$200,15)&amp;", "))),1,""))</f>
        <v/>
      </c>
      <c r="R96">
        <f>IF(Wizards!$A$16="","",IF(OR(ISNUMBER(SEARCH(", "&amp;$B96&amp;", ", ", "&amp;INDEX('Form Responses'!$I$1:$Q$200,16,$A96)&amp;", ")),ISNUMBER(SEARCH(", "&amp;$B96&amp;", ", ", "&amp;INDEX('Form Responses'!$R$1:$R$200,16)&amp;", "))),1,""))</f>
        <v/>
      </c>
      <c r="S96">
        <f>IF(Wizards!$A$17="","",IF(OR(ISNUMBER(SEARCH(", "&amp;$B96&amp;", ", ", "&amp;INDEX('Form Responses'!$I$1:$Q$200,17,$A96)&amp;", ")),ISNUMBER(SEARCH(", "&amp;$B96&amp;", ", ", "&amp;INDEX('Form Responses'!$R$1:$R$200,17)&amp;", "))),1,""))</f>
        <v/>
      </c>
      <c r="T96">
        <f>IF(Wizards!$A$18="","",IF(OR(ISNUMBER(SEARCH(", "&amp;$B96&amp;", ", ", "&amp;INDEX('Form Responses'!$I$1:$Q$200,18,$A96)&amp;", ")),ISNUMBER(SEARCH(", "&amp;$B96&amp;", ", ", "&amp;INDEX('Form Responses'!$R$1:$R$200,18)&amp;", "))),1,""))</f>
        <v/>
      </c>
      <c r="U96">
        <f>IF(Wizards!$A$19="","",IF(OR(ISNUMBER(SEARCH(", "&amp;$B96&amp;", ", ", "&amp;INDEX('Form Responses'!$I$1:$Q$200,19,$A96)&amp;", ")),ISNUMBER(SEARCH(", "&amp;$B96&amp;", ", ", "&amp;INDEX('Form Responses'!$R$1:$R$200,19)&amp;", "))),1,""))</f>
        <v/>
      </c>
      <c r="V96">
        <f>IF(Wizards!$A$20="","",IF(OR(ISNUMBER(SEARCH(", "&amp;$B96&amp;", ", ", "&amp;INDEX('Form Responses'!$I$1:$Q$200,20,$A96)&amp;", ")),ISNUMBER(SEARCH(", "&amp;$B96&amp;", ", ", "&amp;INDEX('Form Responses'!$R$1:$R$200,20)&amp;", "))),1,""))</f>
        <v/>
      </c>
      <c r="W96">
        <f>IF(Wizards!$A$21="","",IF(OR(ISNUMBER(SEARCH(", "&amp;$B96&amp;", ", ", "&amp;INDEX('Form Responses'!$I$1:$Q$200,21,$A96)&amp;", ")),ISNUMBER(SEARCH(", "&amp;$B96&amp;", ", ", "&amp;INDEX('Form Responses'!$R$1:$R$200,21)&amp;", "))),1,""))</f>
        <v/>
      </c>
      <c r="X96">
        <f>IF(Wizards!$A$22="","",IF(OR(ISNUMBER(SEARCH(", "&amp;$B96&amp;", ", ", "&amp;INDEX('Form Responses'!$I$1:$Q$200,22,$A96)&amp;", ")),ISNUMBER(SEARCH(", "&amp;$B96&amp;", ", ", "&amp;INDEX('Form Responses'!$R$1:$R$200,22)&amp;", "))),1,""))</f>
        <v/>
      </c>
      <c r="Y96">
        <f>IF(Wizards!$A$23="","",IF(OR(ISNUMBER(SEARCH(", "&amp;$B96&amp;", ", ", "&amp;INDEX('Form Responses'!$I$1:$Q$200,23,$A96)&amp;", ")),ISNUMBER(SEARCH(", "&amp;$B96&amp;", ", ", "&amp;INDEX('Form Responses'!$R$1:$R$200,23)&amp;", "))),1,""))</f>
        <v/>
      </c>
      <c r="Z96">
        <f>IF(Wizards!$A$24="","",IF(OR(ISNUMBER(SEARCH(", "&amp;$B96&amp;", ", ", "&amp;INDEX('Form Responses'!$I$1:$Q$200,24,$A96)&amp;", ")),ISNUMBER(SEARCH(", "&amp;$B96&amp;", ", ", "&amp;INDEX('Form Responses'!$R$1:$R$200,24)&amp;", "))),1,""))</f>
        <v/>
      </c>
      <c r="AA96">
        <f>IF(Wizards!$A$25="","",IF(OR(ISNUMBER(SEARCH(", "&amp;$B96&amp;", ", ", "&amp;INDEX('Form Responses'!$I$1:$Q$200,25,$A96)&amp;", ")),ISNUMBER(SEARCH(", "&amp;$B96&amp;", ", ", "&amp;INDEX('Form Responses'!$R$1:$R$200,25)&amp;", "))),1,""))</f>
        <v/>
      </c>
      <c r="AB96">
        <f>IF(D96=1,", "&amp;D$1,"")</f>
        <v/>
      </c>
      <c r="AC96">
        <f>IF(E96=1,", "&amp;E$1,"")</f>
        <v/>
      </c>
      <c r="AD96">
        <f>IF(F96=1,", "&amp;F$1,"")</f>
        <v/>
      </c>
      <c r="AE96">
        <f>IF(G96=1,", "&amp;G$1,"")</f>
        <v/>
      </c>
      <c r="AF96">
        <f>IF(H96=1,", "&amp;H$1,"")</f>
        <v/>
      </c>
      <c r="AG96">
        <f>IF(I96=1,", "&amp;I$1,"")</f>
        <v/>
      </c>
      <c r="AH96">
        <f>IF(J96=1,", "&amp;J$1,"")</f>
        <v/>
      </c>
      <c r="AI96">
        <f>IF(K96=1,", "&amp;K$1,"")</f>
        <v/>
      </c>
      <c r="AJ96">
        <f>IF(L96=1,", "&amp;L$1,"")</f>
        <v/>
      </c>
      <c r="AK96">
        <f>IF(M96=1,", "&amp;M$1,"")</f>
        <v/>
      </c>
      <c r="AL96">
        <f>IF(N96=1,", "&amp;N$1,"")</f>
        <v/>
      </c>
      <c r="AM96">
        <f>IF(O96=1,", "&amp;O$1,"")</f>
        <v/>
      </c>
      <c r="AN96">
        <f>IF(P96=1,", "&amp;P$1,"")</f>
        <v/>
      </c>
      <c r="AO96">
        <f>IF(Q96=1,", "&amp;Q$1,"")</f>
        <v/>
      </c>
      <c r="AP96">
        <f>IF(R96=1,", "&amp;R$1,"")</f>
        <v/>
      </c>
      <c r="AQ96">
        <f>IF(S96=1,", "&amp;S$1,"")</f>
        <v/>
      </c>
      <c r="AR96">
        <f>IF(T96=1,", "&amp;T$1,"")</f>
        <v/>
      </c>
      <c r="AS96">
        <f>IF(U96=1,", "&amp;U$1,"")</f>
        <v/>
      </c>
      <c r="AT96">
        <f>IF(V96=1,", "&amp;V$1,"")</f>
        <v/>
      </c>
      <c r="AU96">
        <f>IF(W96=1,", "&amp;W$1,"")</f>
        <v/>
      </c>
      <c r="AV96">
        <f>IF(X96=1,", "&amp;X$1,"")</f>
        <v/>
      </c>
      <c r="AW96">
        <f>IF(Y96=1,", "&amp;Y$1,"")</f>
        <v/>
      </c>
      <c r="AX96">
        <f>IF(Z96=1,", "&amp;Z$1,"")</f>
        <v/>
      </c>
      <c r="AY96">
        <f>IF(AA96=1,", "&amp;AA$1,"")</f>
        <v/>
      </c>
      <c r="AZ96">
        <f>MID($AB96&amp;$AC96&amp;$AD96&amp;$AE96&amp;$AF96&amp;$AG96&amp;$AH96&amp;$AI96&amp;$AJ96&amp;$AK96&amp;$AL96&amp;$AM96&amp;$AN96&amp;$AO96&amp;$AP96&amp;$AQ96&amp;$AR96&amp;$AS96&amp;$AT96&amp;$AU96&amp;$AV96&amp;$AW96&amp;$AX96&amp;$AY96,3,32767)</f>
        <v/>
      </c>
      <c r="BA96">
        <f>COUNT($D96:$AA96)</f>
        <v/>
      </c>
    </row>
    <row r="97">
      <c r="A97" t="n">
        <v>2</v>
      </c>
      <c r="B97" t="inlineStr">
        <is>
          <t>Spray of Cards</t>
        </is>
      </c>
      <c r="C97" t="inlineStr">
        <is>
          <t>Conjuration</t>
        </is>
      </c>
      <c r="D97">
        <f>IF(Wizards!$A$2="","",IF(OR(ISNUMBER(SEARCH(", "&amp;$B97&amp;", ", ", "&amp;INDEX('Form Responses'!$I$1:$Q$200,2,$A97)&amp;", ")),ISNUMBER(SEARCH(", "&amp;$B97&amp;", ", ", "&amp;INDEX('Form Responses'!$R$1:$R$200,2)&amp;", "))),1,""))</f>
        <v/>
      </c>
      <c r="E97">
        <f>IF(Wizards!$A$3="","",IF(OR(ISNUMBER(SEARCH(", "&amp;$B97&amp;", ", ", "&amp;INDEX('Form Responses'!$I$1:$Q$200,3,$A97)&amp;", ")),ISNUMBER(SEARCH(", "&amp;$B97&amp;", ", ", "&amp;INDEX('Form Responses'!$R$1:$R$200,3)&amp;", "))),1,""))</f>
        <v/>
      </c>
      <c r="F97">
        <f>IF(Wizards!$A$4="","",IF(OR(ISNUMBER(SEARCH(", "&amp;$B97&amp;", ", ", "&amp;INDEX('Form Responses'!$I$1:$Q$200,4,$A97)&amp;", ")),ISNUMBER(SEARCH(", "&amp;$B97&amp;", ", ", "&amp;INDEX('Form Responses'!$R$1:$R$200,4)&amp;", "))),1,""))</f>
        <v/>
      </c>
      <c r="G97">
        <f>IF(Wizards!$A$5="","",IF(OR(ISNUMBER(SEARCH(", "&amp;$B97&amp;", ", ", "&amp;INDEX('Form Responses'!$I$1:$Q$200,5,$A97)&amp;", ")),ISNUMBER(SEARCH(", "&amp;$B97&amp;", ", ", "&amp;INDEX('Form Responses'!$R$1:$R$200,5)&amp;", "))),1,""))</f>
        <v/>
      </c>
      <c r="H97">
        <f>IF(Wizards!$A$6="","",IF(OR(ISNUMBER(SEARCH(", "&amp;$B97&amp;", ", ", "&amp;INDEX('Form Responses'!$I$1:$Q$200,6,$A97)&amp;", ")),ISNUMBER(SEARCH(", "&amp;$B97&amp;", ", ", "&amp;INDEX('Form Responses'!$R$1:$R$200,6)&amp;", "))),1,""))</f>
        <v/>
      </c>
      <c r="I97">
        <f>IF(Wizards!$A$7="","",IF(OR(ISNUMBER(SEARCH(", "&amp;$B97&amp;", ", ", "&amp;INDEX('Form Responses'!$I$1:$Q$200,7,$A97)&amp;", ")),ISNUMBER(SEARCH(", "&amp;$B97&amp;", ", ", "&amp;INDEX('Form Responses'!$R$1:$R$200,7)&amp;", "))),1,""))</f>
        <v/>
      </c>
      <c r="J97">
        <f>IF(Wizards!$A$8="","",IF(OR(ISNUMBER(SEARCH(", "&amp;$B97&amp;", ", ", "&amp;INDEX('Form Responses'!$I$1:$Q$200,8,$A97)&amp;", ")),ISNUMBER(SEARCH(", "&amp;$B97&amp;", ", ", "&amp;INDEX('Form Responses'!$R$1:$R$200,8)&amp;", "))),1,""))</f>
        <v/>
      </c>
      <c r="K97">
        <f>IF(Wizards!$A$9="","",IF(OR(ISNUMBER(SEARCH(", "&amp;$B97&amp;", ", ", "&amp;INDEX('Form Responses'!$I$1:$Q$200,9,$A97)&amp;", ")),ISNUMBER(SEARCH(", "&amp;$B97&amp;", ", ", "&amp;INDEX('Form Responses'!$R$1:$R$200,9)&amp;", "))),1,""))</f>
        <v/>
      </c>
      <c r="L97">
        <f>IF(Wizards!$A$10="","",IF(OR(ISNUMBER(SEARCH(", "&amp;$B97&amp;", ", ", "&amp;INDEX('Form Responses'!$I$1:$Q$200,10,$A97)&amp;", ")),ISNUMBER(SEARCH(", "&amp;$B97&amp;", ", ", "&amp;INDEX('Form Responses'!$R$1:$R$200,10)&amp;", "))),1,""))</f>
        <v/>
      </c>
      <c r="M97">
        <f>IF(Wizards!$A$11="","",IF(OR(ISNUMBER(SEARCH(", "&amp;$B97&amp;", ", ", "&amp;INDEX('Form Responses'!$I$1:$Q$200,11,$A97)&amp;", ")),ISNUMBER(SEARCH(", "&amp;$B97&amp;", ", ", "&amp;INDEX('Form Responses'!$R$1:$R$200,11)&amp;", "))),1,""))</f>
        <v/>
      </c>
      <c r="N97">
        <f>IF(Wizards!$A$12="","",IF(OR(ISNUMBER(SEARCH(", "&amp;$B97&amp;", ", ", "&amp;INDEX('Form Responses'!$I$1:$Q$200,12,$A97)&amp;", ")),ISNUMBER(SEARCH(", "&amp;$B97&amp;", ", ", "&amp;INDEX('Form Responses'!$R$1:$R$200,12)&amp;", "))),1,""))</f>
        <v/>
      </c>
      <c r="O97">
        <f>IF(Wizards!$A$13="","",IF(OR(ISNUMBER(SEARCH(", "&amp;$B97&amp;", ", ", "&amp;INDEX('Form Responses'!$I$1:$Q$200,13,$A97)&amp;", ")),ISNUMBER(SEARCH(", "&amp;$B97&amp;", ", ", "&amp;INDEX('Form Responses'!$R$1:$R$200,13)&amp;", "))),1,""))</f>
        <v/>
      </c>
      <c r="P97">
        <f>IF(Wizards!$A$14="","",IF(OR(ISNUMBER(SEARCH(", "&amp;$B97&amp;", ", ", "&amp;INDEX('Form Responses'!$I$1:$Q$200,14,$A97)&amp;", ")),ISNUMBER(SEARCH(", "&amp;$B97&amp;", ", ", "&amp;INDEX('Form Responses'!$R$1:$R$200,14)&amp;", "))),1,""))</f>
        <v/>
      </c>
      <c r="Q97">
        <f>IF(Wizards!$A$15="","",IF(OR(ISNUMBER(SEARCH(", "&amp;$B97&amp;", ", ", "&amp;INDEX('Form Responses'!$I$1:$Q$200,15,$A97)&amp;", ")),ISNUMBER(SEARCH(", "&amp;$B97&amp;", ", ", "&amp;INDEX('Form Responses'!$R$1:$R$200,15)&amp;", "))),1,""))</f>
        <v/>
      </c>
      <c r="R97">
        <f>IF(Wizards!$A$16="","",IF(OR(ISNUMBER(SEARCH(", "&amp;$B97&amp;", ", ", "&amp;INDEX('Form Responses'!$I$1:$Q$200,16,$A97)&amp;", ")),ISNUMBER(SEARCH(", "&amp;$B97&amp;", ", ", "&amp;INDEX('Form Responses'!$R$1:$R$200,16)&amp;", "))),1,""))</f>
        <v/>
      </c>
      <c r="S97">
        <f>IF(Wizards!$A$17="","",IF(OR(ISNUMBER(SEARCH(", "&amp;$B97&amp;", ", ", "&amp;INDEX('Form Responses'!$I$1:$Q$200,17,$A97)&amp;", ")),ISNUMBER(SEARCH(", "&amp;$B97&amp;", ", ", "&amp;INDEX('Form Responses'!$R$1:$R$200,17)&amp;", "))),1,""))</f>
        <v/>
      </c>
      <c r="T97">
        <f>IF(Wizards!$A$18="","",IF(OR(ISNUMBER(SEARCH(", "&amp;$B97&amp;", ", ", "&amp;INDEX('Form Responses'!$I$1:$Q$200,18,$A97)&amp;", ")),ISNUMBER(SEARCH(", "&amp;$B97&amp;", ", ", "&amp;INDEX('Form Responses'!$R$1:$R$200,18)&amp;", "))),1,""))</f>
        <v/>
      </c>
      <c r="U97">
        <f>IF(Wizards!$A$19="","",IF(OR(ISNUMBER(SEARCH(", "&amp;$B97&amp;", ", ", "&amp;INDEX('Form Responses'!$I$1:$Q$200,19,$A97)&amp;", ")),ISNUMBER(SEARCH(", "&amp;$B97&amp;", ", ", "&amp;INDEX('Form Responses'!$R$1:$R$200,19)&amp;", "))),1,""))</f>
        <v/>
      </c>
      <c r="V97">
        <f>IF(Wizards!$A$20="","",IF(OR(ISNUMBER(SEARCH(", "&amp;$B97&amp;", ", ", "&amp;INDEX('Form Responses'!$I$1:$Q$200,20,$A97)&amp;", ")),ISNUMBER(SEARCH(", "&amp;$B97&amp;", ", ", "&amp;INDEX('Form Responses'!$R$1:$R$200,20)&amp;", "))),1,""))</f>
        <v/>
      </c>
      <c r="W97">
        <f>IF(Wizards!$A$21="","",IF(OR(ISNUMBER(SEARCH(", "&amp;$B97&amp;", ", ", "&amp;INDEX('Form Responses'!$I$1:$Q$200,21,$A97)&amp;", ")),ISNUMBER(SEARCH(", "&amp;$B97&amp;", ", ", "&amp;INDEX('Form Responses'!$R$1:$R$200,21)&amp;", "))),1,""))</f>
        <v/>
      </c>
      <c r="X97">
        <f>IF(Wizards!$A$22="","",IF(OR(ISNUMBER(SEARCH(", "&amp;$B97&amp;", ", ", "&amp;INDEX('Form Responses'!$I$1:$Q$200,22,$A97)&amp;", ")),ISNUMBER(SEARCH(", "&amp;$B97&amp;", ", ", "&amp;INDEX('Form Responses'!$R$1:$R$200,22)&amp;", "))),1,""))</f>
        <v/>
      </c>
      <c r="Y97">
        <f>IF(Wizards!$A$23="","",IF(OR(ISNUMBER(SEARCH(", "&amp;$B97&amp;", ", ", "&amp;INDEX('Form Responses'!$I$1:$Q$200,23,$A97)&amp;", ")),ISNUMBER(SEARCH(", "&amp;$B97&amp;", ", ", "&amp;INDEX('Form Responses'!$R$1:$R$200,23)&amp;", "))),1,""))</f>
        <v/>
      </c>
      <c r="Z97">
        <f>IF(Wizards!$A$24="","",IF(OR(ISNUMBER(SEARCH(", "&amp;$B97&amp;", ", ", "&amp;INDEX('Form Responses'!$I$1:$Q$200,24,$A97)&amp;", ")),ISNUMBER(SEARCH(", "&amp;$B97&amp;", ", ", "&amp;INDEX('Form Responses'!$R$1:$R$200,24)&amp;", "))),1,""))</f>
        <v/>
      </c>
      <c r="AA97">
        <f>IF(Wizards!$A$25="","",IF(OR(ISNUMBER(SEARCH(", "&amp;$B97&amp;", ", ", "&amp;INDEX('Form Responses'!$I$1:$Q$200,25,$A97)&amp;", ")),ISNUMBER(SEARCH(", "&amp;$B97&amp;", ", ", "&amp;INDEX('Form Responses'!$R$1:$R$200,25)&amp;", "))),1,""))</f>
        <v/>
      </c>
      <c r="AB97">
        <f>IF(D97=1,", "&amp;D$1,"")</f>
        <v/>
      </c>
      <c r="AC97">
        <f>IF(E97=1,", "&amp;E$1,"")</f>
        <v/>
      </c>
      <c r="AD97">
        <f>IF(F97=1,", "&amp;F$1,"")</f>
        <v/>
      </c>
      <c r="AE97">
        <f>IF(G97=1,", "&amp;G$1,"")</f>
        <v/>
      </c>
      <c r="AF97">
        <f>IF(H97=1,", "&amp;H$1,"")</f>
        <v/>
      </c>
      <c r="AG97">
        <f>IF(I97=1,", "&amp;I$1,"")</f>
        <v/>
      </c>
      <c r="AH97">
        <f>IF(J97=1,", "&amp;J$1,"")</f>
        <v/>
      </c>
      <c r="AI97">
        <f>IF(K97=1,", "&amp;K$1,"")</f>
        <v/>
      </c>
      <c r="AJ97">
        <f>IF(L97=1,", "&amp;L$1,"")</f>
        <v/>
      </c>
      <c r="AK97">
        <f>IF(M97=1,", "&amp;M$1,"")</f>
        <v/>
      </c>
      <c r="AL97">
        <f>IF(N97=1,", "&amp;N$1,"")</f>
        <v/>
      </c>
      <c r="AM97">
        <f>IF(O97=1,", "&amp;O$1,"")</f>
        <v/>
      </c>
      <c r="AN97">
        <f>IF(P97=1,", "&amp;P$1,"")</f>
        <v/>
      </c>
      <c r="AO97">
        <f>IF(Q97=1,", "&amp;Q$1,"")</f>
        <v/>
      </c>
      <c r="AP97">
        <f>IF(R97=1,", "&amp;R$1,"")</f>
        <v/>
      </c>
      <c r="AQ97">
        <f>IF(S97=1,", "&amp;S$1,"")</f>
        <v/>
      </c>
      <c r="AR97">
        <f>IF(T97=1,", "&amp;T$1,"")</f>
        <v/>
      </c>
      <c r="AS97">
        <f>IF(U97=1,", "&amp;U$1,"")</f>
        <v/>
      </c>
      <c r="AT97">
        <f>IF(V97=1,", "&amp;V$1,"")</f>
        <v/>
      </c>
      <c r="AU97">
        <f>IF(W97=1,", "&amp;W$1,"")</f>
        <v/>
      </c>
      <c r="AV97">
        <f>IF(X97=1,", "&amp;X$1,"")</f>
        <v/>
      </c>
      <c r="AW97">
        <f>IF(Y97=1,", "&amp;Y$1,"")</f>
        <v/>
      </c>
      <c r="AX97">
        <f>IF(Z97=1,", "&amp;Z$1,"")</f>
        <v/>
      </c>
      <c r="AY97">
        <f>IF(AA97=1,", "&amp;AA$1,"")</f>
        <v/>
      </c>
      <c r="AZ97">
        <f>MID($AB97&amp;$AC97&amp;$AD97&amp;$AE97&amp;$AF97&amp;$AG97&amp;$AH97&amp;$AI97&amp;$AJ97&amp;$AK97&amp;$AL97&amp;$AM97&amp;$AN97&amp;$AO97&amp;$AP97&amp;$AQ97&amp;$AR97&amp;$AS97&amp;$AT97&amp;$AU97&amp;$AV97&amp;$AW97&amp;$AX97&amp;$AY97,3,32767)</f>
        <v/>
      </c>
      <c r="BA97">
        <f>COUNT($D97:$AA97)</f>
        <v/>
      </c>
    </row>
    <row r="98">
      <c r="A98" t="n">
        <v>2</v>
      </c>
      <c r="B98" t="inlineStr">
        <is>
          <t>Suggestion</t>
        </is>
      </c>
      <c r="C98" t="inlineStr">
        <is>
          <t>Enchantment</t>
        </is>
      </c>
      <c r="D98">
        <f>IF(Wizards!$A$2="","",IF(OR(ISNUMBER(SEARCH(", "&amp;$B98&amp;", ", ", "&amp;INDEX('Form Responses'!$I$1:$Q$200,2,$A98)&amp;", ")),ISNUMBER(SEARCH(", "&amp;$B98&amp;", ", ", "&amp;INDEX('Form Responses'!$R$1:$R$200,2)&amp;", "))),1,""))</f>
        <v/>
      </c>
      <c r="E98">
        <f>IF(Wizards!$A$3="","",IF(OR(ISNUMBER(SEARCH(", "&amp;$B98&amp;", ", ", "&amp;INDEX('Form Responses'!$I$1:$Q$200,3,$A98)&amp;", ")),ISNUMBER(SEARCH(", "&amp;$B98&amp;", ", ", "&amp;INDEX('Form Responses'!$R$1:$R$200,3)&amp;", "))),1,""))</f>
        <v/>
      </c>
      <c r="F98">
        <f>IF(Wizards!$A$4="","",IF(OR(ISNUMBER(SEARCH(", "&amp;$B98&amp;", ", ", "&amp;INDEX('Form Responses'!$I$1:$Q$200,4,$A98)&amp;", ")),ISNUMBER(SEARCH(", "&amp;$B98&amp;", ", ", "&amp;INDEX('Form Responses'!$R$1:$R$200,4)&amp;", "))),1,""))</f>
        <v/>
      </c>
      <c r="G98">
        <f>IF(Wizards!$A$5="","",IF(OR(ISNUMBER(SEARCH(", "&amp;$B98&amp;", ", ", "&amp;INDEX('Form Responses'!$I$1:$Q$200,5,$A98)&amp;", ")),ISNUMBER(SEARCH(", "&amp;$B98&amp;", ", ", "&amp;INDEX('Form Responses'!$R$1:$R$200,5)&amp;", "))),1,""))</f>
        <v/>
      </c>
      <c r="H98">
        <f>IF(Wizards!$A$6="","",IF(OR(ISNUMBER(SEARCH(", "&amp;$B98&amp;", ", ", "&amp;INDEX('Form Responses'!$I$1:$Q$200,6,$A98)&amp;", ")),ISNUMBER(SEARCH(", "&amp;$B98&amp;", ", ", "&amp;INDEX('Form Responses'!$R$1:$R$200,6)&amp;", "))),1,""))</f>
        <v/>
      </c>
      <c r="I98">
        <f>IF(Wizards!$A$7="","",IF(OR(ISNUMBER(SEARCH(", "&amp;$B98&amp;", ", ", "&amp;INDEX('Form Responses'!$I$1:$Q$200,7,$A98)&amp;", ")),ISNUMBER(SEARCH(", "&amp;$B98&amp;", ", ", "&amp;INDEX('Form Responses'!$R$1:$R$200,7)&amp;", "))),1,""))</f>
        <v/>
      </c>
      <c r="J98">
        <f>IF(Wizards!$A$8="","",IF(OR(ISNUMBER(SEARCH(", "&amp;$B98&amp;", ", ", "&amp;INDEX('Form Responses'!$I$1:$Q$200,8,$A98)&amp;", ")),ISNUMBER(SEARCH(", "&amp;$B98&amp;", ", ", "&amp;INDEX('Form Responses'!$R$1:$R$200,8)&amp;", "))),1,""))</f>
        <v/>
      </c>
      <c r="K98">
        <f>IF(Wizards!$A$9="","",IF(OR(ISNUMBER(SEARCH(", "&amp;$B98&amp;", ", ", "&amp;INDEX('Form Responses'!$I$1:$Q$200,9,$A98)&amp;", ")),ISNUMBER(SEARCH(", "&amp;$B98&amp;", ", ", "&amp;INDEX('Form Responses'!$R$1:$R$200,9)&amp;", "))),1,""))</f>
        <v/>
      </c>
      <c r="L98">
        <f>IF(Wizards!$A$10="","",IF(OR(ISNUMBER(SEARCH(", "&amp;$B98&amp;", ", ", "&amp;INDEX('Form Responses'!$I$1:$Q$200,10,$A98)&amp;", ")),ISNUMBER(SEARCH(", "&amp;$B98&amp;", ", ", "&amp;INDEX('Form Responses'!$R$1:$R$200,10)&amp;", "))),1,""))</f>
        <v/>
      </c>
      <c r="M98">
        <f>IF(Wizards!$A$11="","",IF(OR(ISNUMBER(SEARCH(", "&amp;$B98&amp;", ", ", "&amp;INDEX('Form Responses'!$I$1:$Q$200,11,$A98)&amp;", ")),ISNUMBER(SEARCH(", "&amp;$B98&amp;", ", ", "&amp;INDEX('Form Responses'!$R$1:$R$200,11)&amp;", "))),1,""))</f>
        <v/>
      </c>
      <c r="N98">
        <f>IF(Wizards!$A$12="","",IF(OR(ISNUMBER(SEARCH(", "&amp;$B98&amp;", ", ", "&amp;INDEX('Form Responses'!$I$1:$Q$200,12,$A98)&amp;", ")),ISNUMBER(SEARCH(", "&amp;$B98&amp;", ", ", "&amp;INDEX('Form Responses'!$R$1:$R$200,12)&amp;", "))),1,""))</f>
        <v/>
      </c>
      <c r="O98">
        <f>IF(Wizards!$A$13="","",IF(OR(ISNUMBER(SEARCH(", "&amp;$B98&amp;", ", ", "&amp;INDEX('Form Responses'!$I$1:$Q$200,13,$A98)&amp;", ")),ISNUMBER(SEARCH(", "&amp;$B98&amp;", ", ", "&amp;INDEX('Form Responses'!$R$1:$R$200,13)&amp;", "))),1,""))</f>
        <v/>
      </c>
      <c r="P98">
        <f>IF(Wizards!$A$14="","",IF(OR(ISNUMBER(SEARCH(", "&amp;$B98&amp;", ", ", "&amp;INDEX('Form Responses'!$I$1:$Q$200,14,$A98)&amp;", ")),ISNUMBER(SEARCH(", "&amp;$B98&amp;", ", ", "&amp;INDEX('Form Responses'!$R$1:$R$200,14)&amp;", "))),1,""))</f>
        <v/>
      </c>
      <c r="Q98">
        <f>IF(Wizards!$A$15="","",IF(OR(ISNUMBER(SEARCH(", "&amp;$B98&amp;", ", ", "&amp;INDEX('Form Responses'!$I$1:$Q$200,15,$A98)&amp;", ")),ISNUMBER(SEARCH(", "&amp;$B98&amp;", ", ", "&amp;INDEX('Form Responses'!$R$1:$R$200,15)&amp;", "))),1,""))</f>
        <v/>
      </c>
      <c r="R98">
        <f>IF(Wizards!$A$16="","",IF(OR(ISNUMBER(SEARCH(", "&amp;$B98&amp;", ", ", "&amp;INDEX('Form Responses'!$I$1:$Q$200,16,$A98)&amp;", ")),ISNUMBER(SEARCH(", "&amp;$B98&amp;", ", ", "&amp;INDEX('Form Responses'!$R$1:$R$200,16)&amp;", "))),1,""))</f>
        <v/>
      </c>
      <c r="S98">
        <f>IF(Wizards!$A$17="","",IF(OR(ISNUMBER(SEARCH(", "&amp;$B98&amp;", ", ", "&amp;INDEX('Form Responses'!$I$1:$Q$200,17,$A98)&amp;", ")),ISNUMBER(SEARCH(", "&amp;$B98&amp;", ", ", "&amp;INDEX('Form Responses'!$R$1:$R$200,17)&amp;", "))),1,""))</f>
        <v/>
      </c>
      <c r="T98">
        <f>IF(Wizards!$A$18="","",IF(OR(ISNUMBER(SEARCH(", "&amp;$B98&amp;", ", ", "&amp;INDEX('Form Responses'!$I$1:$Q$200,18,$A98)&amp;", ")),ISNUMBER(SEARCH(", "&amp;$B98&amp;", ", ", "&amp;INDEX('Form Responses'!$R$1:$R$200,18)&amp;", "))),1,""))</f>
        <v/>
      </c>
      <c r="U98">
        <f>IF(Wizards!$A$19="","",IF(OR(ISNUMBER(SEARCH(", "&amp;$B98&amp;", ", ", "&amp;INDEX('Form Responses'!$I$1:$Q$200,19,$A98)&amp;", ")),ISNUMBER(SEARCH(", "&amp;$B98&amp;", ", ", "&amp;INDEX('Form Responses'!$R$1:$R$200,19)&amp;", "))),1,""))</f>
        <v/>
      </c>
      <c r="V98">
        <f>IF(Wizards!$A$20="","",IF(OR(ISNUMBER(SEARCH(", "&amp;$B98&amp;", ", ", "&amp;INDEX('Form Responses'!$I$1:$Q$200,20,$A98)&amp;", ")),ISNUMBER(SEARCH(", "&amp;$B98&amp;", ", ", "&amp;INDEX('Form Responses'!$R$1:$R$200,20)&amp;", "))),1,""))</f>
        <v/>
      </c>
      <c r="W98">
        <f>IF(Wizards!$A$21="","",IF(OR(ISNUMBER(SEARCH(", "&amp;$B98&amp;", ", ", "&amp;INDEX('Form Responses'!$I$1:$Q$200,21,$A98)&amp;", ")),ISNUMBER(SEARCH(", "&amp;$B98&amp;", ", ", "&amp;INDEX('Form Responses'!$R$1:$R$200,21)&amp;", "))),1,""))</f>
        <v/>
      </c>
      <c r="X98">
        <f>IF(Wizards!$A$22="","",IF(OR(ISNUMBER(SEARCH(", "&amp;$B98&amp;", ", ", "&amp;INDEX('Form Responses'!$I$1:$Q$200,22,$A98)&amp;", ")),ISNUMBER(SEARCH(", "&amp;$B98&amp;", ", ", "&amp;INDEX('Form Responses'!$R$1:$R$200,22)&amp;", "))),1,""))</f>
        <v/>
      </c>
      <c r="Y98">
        <f>IF(Wizards!$A$23="","",IF(OR(ISNUMBER(SEARCH(", "&amp;$B98&amp;", ", ", "&amp;INDEX('Form Responses'!$I$1:$Q$200,23,$A98)&amp;", ")),ISNUMBER(SEARCH(", "&amp;$B98&amp;", ", ", "&amp;INDEX('Form Responses'!$R$1:$R$200,23)&amp;", "))),1,""))</f>
        <v/>
      </c>
      <c r="Z98">
        <f>IF(Wizards!$A$24="","",IF(OR(ISNUMBER(SEARCH(", "&amp;$B98&amp;", ", ", "&amp;INDEX('Form Responses'!$I$1:$Q$200,24,$A98)&amp;", ")),ISNUMBER(SEARCH(", "&amp;$B98&amp;", ", ", "&amp;INDEX('Form Responses'!$R$1:$R$200,24)&amp;", "))),1,""))</f>
        <v/>
      </c>
      <c r="AA98">
        <f>IF(Wizards!$A$25="","",IF(OR(ISNUMBER(SEARCH(", "&amp;$B98&amp;", ", ", "&amp;INDEX('Form Responses'!$I$1:$Q$200,25,$A98)&amp;", ")),ISNUMBER(SEARCH(", "&amp;$B98&amp;", ", ", "&amp;INDEX('Form Responses'!$R$1:$R$200,25)&amp;", "))),1,""))</f>
        <v/>
      </c>
      <c r="AB98">
        <f>IF(D98=1,", "&amp;D$1,"")</f>
        <v/>
      </c>
      <c r="AC98">
        <f>IF(E98=1,", "&amp;E$1,"")</f>
        <v/>
      </c>
      <c r="AD98">
        <f>IF(F98=1,", "&amp;F$1,"")</f>
        <v/>
      </c>
      <c r="AE98">
        <f>IF(G98=1,", "&amp;G$1,"")</f>
        <v/>
      </c>
      <c r="AF98">
        <f>IF(H98=1,", "&amp;H$1,"")</f>
        <v/>
      </c>
      <c r="AG98">
        <f>IF(I98=1,", "&amp;I$1,"")</f>
        <v/>
      </c>
      <c r="AH98">
        <f>IF(J98=1,", "&amp;J$1,"")</f>
        <v/>
      </c>
      <c r="AI98">
        <f>IF(K98=1,", "&amp;K$1,"")</f>
        <v/>
      </c>
      <c r="AJ98">
        <f>IF(L98=1,", "&amp;L$1,"")</f>
        <v/>
      </c>
      <c r="AK98">
        <f>IF(M98=1,", "&amp;M$1,"")</f>
        <v/>
      </c>
      <c r="AL98">
        <f>IF(N98=1,", "&amp;N$1,"")</f>
        <v/>
      </c>
      <c r="AM98">
        <f>IF(O98=1,", "&amp;O$1,"")</f>
        <v/>
      </c>
      <c r="AN98">
        <f>IF(P98=1,", "&amp;P$1,"")</f>
        <v/>
      </c>
      <c r="AO98">
        <f>IF(Q98=1,", "&amp;Q$1,"")</f>
        <v/>
      </c>
      <c r="AP98">
        <f>IF(R98=1,", "&amp;R$1,"")</f>
        <v/>
      </c>
      <c r="AQ98">
        <f>IF(S98=1,", "&amp;S$1,"")</f>
        <v/>
      </c>
      <c r="AR98">
        <f>IF(T98=1,", "&amp;T$1,"")</f>
        <v/>
      </c>
      <c r="AS98">
        <f>IF(U98=1,", "&amp;U$1,"")</f>
        <v/>
      </c>
      <c r="AT98">
        <f>IF(V98=1,", "&amp;V$1,"")</f>
        <v/>
      </c>
      <c r="AU98">
        <f>IF(W98=1,", "&amp;W$1,"")</f>
        <v/>
      </c>
      <c r="AV98">
        <f>IF(X98=1,", "&amp;X$1,"")</f>
        <v/>
      </c>
      <c r="AW98">
        <f>IF(Y98=1,", "&amp;Y$1,"")</f>
        <v/>
      </c>
      <c r="AX98">
        <f>IF(Z98=1,", "&amp;Z$1,"")</f>
        <v/>
      </c>
      <c r="AY98">
        <f>IF(AA98=1,", "&amp;AA$1,"")</f>
        <v/>
      </c>
      <c r="AZ98">
        <f>MID($AB98&amp;$AC98&amp;$AD98&amp;$AE98&amp;$AF98&amp;$AG98&amp;$AH98&amp;$AI98&amp;$AJ98&amp;$AK98&amp;$AL98&amp;$AM98&amp;$AN98&amp;$AO98&amp;$AP98&amp;$AQ98&amp;$AR98&amp;$AS98&amp;$AT98&amp;$AU98&amp;$AV98&amp;$AW98&amp;$AX98&amp;$AY98,3,32767)</f>
        <v/>
      </c>
      <c r="BA98">
        <f>COUNT($D98:$AA98)</f>
        <v/>
      </c>
    </row>
    <row r="99">
      <c r="A99" t="n">
        <v>2</v>
      </c>
      <c r="B99" t="inlineStr">
        <is>
          <t>Tasha's Mind Whip</t>
        </is>
      </c>
      <c r="C99" t="inlineStr">
        <is>
          <t>Enchantment</t>
        </is>
      </c>
      <c r="D99">
        <f>IF(Wizards!$A$2="","",IF(OR(ISNUMBER(SEARCH(", "&amp;$B99&amp;", ", ", "&amp;INDEX('Form Responses'!$I$1:$Q$200,2,$A99)&amp;", ")),ISNUMBER(SEARCH(", "&amp;$B99&amp;", ", ", "&amp;INDEX('Form Responses'!$R$1:$R$200,2)&amp;", "))),1,""))</f>
        <v/>
      </c>
      <c r="E99">
        <f>IF(Wizards!$A$3="","",IF(OR(ISNUMBER(SEARCH(", "&amp;$B99&amp;", ", ", "&amp;INDEX('Form Responses'!$I$1:$Q$200,3,$A99)&amp;", ")),ISNUMBER(SEARCH(", "&amp;$B99&amp;", ", ", "&amp;INDEX('Form Responses'!$R$1:$R$200,3)&amp;", "))),1,""))</f>
        <v/>
      </c>
      <c r="F99">
        <f>IF(Wizards!$A$4="","",IF(OR(ISNUMBER(SEARCH(", "&amp;$B99&amp;", ", ", "&amp;INDEX('Form Responses'!$I$1:$Q$200,4,$A99)&amp;", ")),ISNUMBER(SEARCH(", "&amp;$B99&amp;", ", ", "&amp;INDEX('Form Responses'!$R$1:$R$200,4)&amp;", "))),1,""))</f>
        <v/>
      </c>
      <c r="G99">
        <f>IF(Wizards!$A$5="","",IF(OR(ISNUMBER(SEARCH(", "&amp;$B99&amp;", ", ", "&amp;INDEX('Form Responses'!$I$1:$Q$200,5,$A99)&amp;", ")),ISNUMBER(SEARCH(", "&amp;$B99&amp;", ", ", "&amp;INDEX('Form Responses'!$R$1:$R$200,5)&amp;", "))),1,""))</f>
        <v/>
      </c>
      <c r="H99">
        <f>IF(Wizards!$A$6="","",IF(OR(ISNUMBER(SEARCH(", "&amp;$B99&amp;", ", ", "&amp;INDEX('Form Responses'!$I$1:$Q$200,6,$A99)&amp;", ")),ISNUMBER(SEARCH(", "&amp;$B99&amp;", ", ", "&amp;INDEX('Form Responses'!$R$1:$R$200,6)&amp;", "))),1,""))</f>
        <v/>
      </c>
      <c r="I99">
        <f>IF(Wizards!$A$7="","",IF(OR(ISNUMBER(SEARCH(", "&amp;$B99&amp;", ", ", "&amp;INDEX('Form Responses'!$I$1:$Q$200,7,$A99)&amp;", ")),ISNUMBER(SEARCH(", "&amp;$B99&amp;", ", ", "&amp;INDEX('Form Responses'!$R$1:$R$200,7)&amp;", "))),1,""))</f>
        <v/>
      </c>
      <c r="J99">
        <f>IF(Wizards!$A$8="","",IF(OR(ISNUMBER(SEARCH(", "&amp;$B99&amp;", ", ", "&amp;INDEX('Form Responses'!$I$1:$Q$200,8,$A99)&amp;", ")),ISNUMBER(SEARCH(", "&amp;$B99&amp;", ", ", "&amp;INDEX('Form Responses'!$R$1:$R$200,8)&amp;", "))),1,""))</f>
        <v/>
      </c>
      <c r="K99">
        <f>IF(Wizards!$A$9="","",IF(OR(ISNUMBER(SEARCH(", "&amp;$B99&amp;", ", ", "&amp;INDEX('Form Responses'!$I$1:$Q$200,9,$A99)&amp;", ")),ISNUMBER(SEARCH(", "&amp;$B99&amp;", ", ", "&amp;INDEX('Form Responses'!$R$1:$R$200,9)&amp;", "))),1,""))</f>
        <v/>
      </c>
      <c r="L99">
        <f>IF(Wizards!$A$10="","",IF(OR(ISNUMBER(SEARCH(", "&amp;$B99&amp;", ", ", "&amp;INDEX('Form Responses'!$I$1:$Q$200,10,$A99)&amp;", ")),ISNUMBER(SEARCH(", "&amp;$B99&amp;", ", ", "&amp;INDEX('Form Responses'!$R$1:$R$200,10)&amp;", "))),1,""))</f>
        <v/>
      </c>
      <c r="M99">
        <f>IF(Wizards!$A$11="","",IF(OR(ISNUMBER(SEARCH(", "&amp;$B99&amp;", ", ", "&amp;INDEX('Form Responses'!$I$1:$Q$200,11,$A99)&amp;", ")),ISNUMBER(SEARCH(", "&amp;$B99&amp;", ", ", "&amp;INDEX('Form Responses'!$R$1:$R$200,11)&amp;", "))),1,""))</f>
        <v/>
      </c>
      <c r="N99">
        <f>IF(Wizards!$A$12="","",IF(OR(ISNUMBER(SEARCH(", "&amp;$B99&amp;", ", ", "&amp;INDEX('Form Responses'!$I$1:$Q$200,12,$A99)&amp;", ")),ISNUMBER(SEARCH(", "&amp;$B99&amp;", ", ", "&amp;INDEX('Form Responses'!$R$1:$R$200,12)&amp;", "))),1,""))</f>
        <v/>
      </c>
      <c r="O99">
        <f>IF(Wizards!$A$13="","",IF(OR(ISNUMBER(SEARCH(", "&amp;$B99&amp;", ", ", "&amp;INDEX('Form Responses'!$I$1:$Q$200,13,$A99)&amp;", ")),ISNUMBER(SEARCH(", "&amp;$B99&amp;", ", ", "&amp;INDEX('Form Responses'!$R$1:$R$200,13)&amp;", "))),1,""))</f>
        <v/>
      </c>
      <c r="P99">
        <f>IF(Wizards!$A$14="","",IF(OR(ISNUMBER(SEARCH(", "&amp;$B99&amp;", ", ", "&amp;INDEX('Form Responses'!$I$1:$Q$200,14,$A99)&amp;", ")),ISNUMBER(SEARCH(", "&amp;$B99&amp;", ", ", "&amp;INDEX('Form Responses'!$R$1:$R$200,14)&amp;", "))),1,""))</f>
        <v/>
      </c>
      <c r="Q99">
        <f>IF(Wizards!$A$15="","",IF(OR(ISNUMBER(SEARCH(", "&amp;$B99&amp;", ", ", "&amp;INDEX('Form Responses'!$I$1:$Q$200,15,$A99)&amp;", ")),ISNUMBER(SEARCH(", "&amp;$B99&amp;", ", ", "&amp;INDEX('Form Responses'!$R$1:$R$200,15)&amp;", "))),1,""))</f>
        <v/>
      </c>
      <c r="R99">
        <f>IF(Wizards!$A$16="","",IF(OR(ISNUMBER(SEARCH(", "&amp;$B99&amp;", ", ", "&amp;INDEX('Form Responses'!$I$1:$Q$200,16,$A99)&amp;", ")),ISNUMBER(SEARCH(", "&amp;$B99&amp;", ", ", "&amp;INDEX('Form Responses'!$R$1:$R$200,16)&amp;", "))),1,""))</f>
        <v/>
      </c>
      <c r="S99">
        <f>IF(Wizards!$A$17="","",IF(OR(ISNUMBER(SEARCH(", "&amp;$B99&amp;", ", ", "&amp;INDEX('Form Responses'!$I$1:$Q$200,17,$A99)&amp;", ")),ISNUMBER(SEARCH(", "&amp;$B99&amp;", ", ", "&amp;INDEX('Form Responses'!$R$1:$R$200,17)&amp;", "))),1,""))</f>
        <v/>
      </c>
      <c r="T99">
        <f>IF(Wizards!$A$18="","",IF(OR(ISNUMBER(SEARCH(", "&amp;$B99&amp;", ", ", "&amp;INDEX('Form Responses'!$I$1:$Q$200,18,$A99)&amp;", ")),ISNUMBER(SEARCH(", "&amp;$B99&amp;", ", ", "&amp;INDEX('Form Responses'!$R$1:$R$200,18)&amp;", "))),1,""))</f>
        <v/>
      </c>
      <c r="U99">
        <f>IF(Wizards!$A$19="","",IF(OR(ISNUMBER(SEARCH(", "&amp;$B99&amp;", ", ", "&amp;INDEX('Form Responses'!$I$1:$Q$200,19,$A99)&amp;", ")),ISNUMBER(SEARCH(", "&amp;$B99&amp;", ", ", "&amp;INDEX('Form Responses'!$R$1:$R$200,19)&amp;", "))),1,""))</f>
        <v/>
      </c>
      <c r="V99">
        <f>IF(Wizards!$A$20="","",IF(OR(ISNUMBER(SEARCH(", "&amp;$B99&amp;", ", ", "&amp;INDEX('Form Responses'!$I$1:$Q$200,20,$A99)&amp;", ")),ISNUMBER(SEARCH(", "&amp;$B99&amp;", ", ", "&amp;INDEX('Form Responses'!$R$1:$R$200,20)&amp;", "))),1,""))</f>
        <v/>
      </c>
      <c r="W99">
        <f>IF(Wizards!$A$21="","",IF(OR(ISNUMBER(SEARCH(", "&amp;$B99&amp;", ", ", "&amp;INDEX('Form Responses'!$I$1:$Q$200,21,$A99)&amp;", ")),ISNUMBER(SEARCH(", "&amp;$B99&amp;", ", ", "&amp;INDEX('Form Responses'!$R$1:$R$200,21)&amp;", "))),1,""))</f>
        <v/>
      </c>
      <c r="X99">
        <f>IF(Wizards!$A$22="","",IF(OR(ISNUMBER(SEARCH(", "&amp;$B99&amp;", ", ", "&amp;INDEX('Form Responses'!$I$1:$Q$200,22,$A99)&amp;", ")),ISNUMBER(SEARCH(", "&amp;$B99&amp;", ", ", "&amp;INDEX('Form Responses'!$R$1:$R$200,22)&amp;", "))),1,""))</f>
        <v/>
      </c>
      <c r="Y99">
        <f>IF(Wizards!$A$23="","",IF(OR(ISNUMBER(SEARCH(", "&amp;$B99&amp;", ", ", "&amp;INDEX('Form Responses'!$I$1:$Q$200,23,$A99)&amp;", ")),ISNUMBER(SEARCH(", "&amp;$B99&amp;", ", ", "&amp;INDEX('Form Responses'!$R$1:$R$200,23)&amp;", "))),1,""))</f>
        <v/>
      </c>
      <c r="Z99">
        <f>IF(Wizards!$A$24="","",IF(OR(ISNUMBER(SEARCH(", "&amp;$B99&amp;", ", ", "&amp;INDEX('Form Responses'!$I$1:$Q$200,24,$A99)&amp;", ")),ISNUMBER(SEARCH(", "&amp;$B99&amp;", ", ", "&amp;INDEX('Form Responses'!$R$1:$R$200,24)&amp;", "))),1,""))</f>
        <v/>
      </c>
      <c r="AA99">
        <f>IF(Wizards!$A$25="","",IF(OR(ISNUMBER(SEARCH(", "&amp;$B99&amp;", ", ", "&amp;INDEX('Form Responses'!$I$1:$Q$200,25,$A99)&amp;", ")),ISNUMBER(SEARCH(", "&amp;$B99&amp;", ", ", "&amp;INDEX('Form Responses'!$R$1:$R$200,25)&amp;", "))),1,""))</f>
        <v/>
      </c>
      <c r="AB99">
        <f>IF(D99=1,", "&amp;D$1,"")</f>
        <v/>
      </c>
      <c r="AC99">
        <f>IF(E99=1,", "&amp;E$1,"")</f>
        <v/>
      </c>
      <c r="AD99">
        <f>IF(F99=1,", "&amp;F$1,"")</f>
        <v/>
      </c>
      <c r="AE99">
        <f>IF(G99=1,", "&amp;G$1,"")</f>
        <v/>
      </c>
      <c r="AF99">
        <f>IF(H99=1,", "&amp;H$1,"")</f>
        <v/>
      </c>
      <c r="AG99">
        <f>IF(I99=1,", "&amp;I$1,"")</f>
        <v/>
      </c>
      <c r="AH99">
        <f>IF(J99=1,", "&amp;J$1,"")</f>
        <v/>
      </c>
      <c r="AI99">
        <f>IF(K99=1,", "&amp;K$1,"")</f>
        <v/>
      </c>
      <c r="AJ99">
        <f>IF(L99=1,", "&amp;L$1,"")</f>
        <v/>
      </c>
      <c r="AK99">
        <f>IF(M99=1,", "&amp;M$1,"")</f>
        <v/>
      </c>
      <c r="AL99">
        <f>IF(N99=1,", "&amp;N$1,"")</f>
        <v/>
      </c>
      <c r="AM99">
        <f>IF(O99=1,", "&amp;O$1,"")</f>
        <v/>
      </c>
      <c r="AN99">
        <f>IF(P99=1,", "&amp;P$1,"")</f>
        <v/>
      </c>
      <c r="AO99">
        <f>IF(Q99=1,", "&amp;Q$1,"")</f>
        <v/>
      </c>
      <c r="AP99">
        <f>IF(R99=1,", "&amp;R$1,"")</f>
        <v/>
      </c>
      <c r="AQ99">
        <f>IF(S99=1,", "&amp;S$1,"")</f>
        <v/>
      </c>
      <c r="AR99">
        <f>IF(T99=1,", "&amp;T$1,"")</f>
        <v/>
      </c>
      <c r="AS99">
        <f>IF(U99=1,", "&amp;U$1,"")</f>
        <v/>
      </c>
      <c r="AT99">
        <f>IF(V99=1,", "&amp;V$1,"")</f>
        <v/>
      </c>
      <c r="AU99">
        <f>IF(W99=1,", "&amp;W$1,"")</f>
        <v/>
      </c>
      <c r="AV99">
        <f>IF(X99=1,", "&amp;X$1,"")</f>
        <v/>
      </c>
      <c r="AW99">
        <f>IF(Y99=1,", "&amp;Y$1,"")</f>
        <v/>
      </c>
      <c r="AX99">
        <f>IF(Z99=1,", "&amp;Z$1,"")</f>
        <v/>
      </c>
      <c r="AY99">
        <f>IF(AA99=1,", "&amp;AA$1,"")</f>
        <v/>
      </c>
      <c r="AZ99">
        <f>MID($AB99&amp;$AC99&amp;$AD99&amp;$AE99&amp;$AF99&amp;$AG99&amp;$AH99&amp;$AI99&amp;$AJ99&amp;$AK99&amp;$AL99&amp;$AM99&amp;$AN99&amp;$AO99&amp;$AP99&amp;$AQ99&amp;$AR99&amp;$AS99&amp;$AT99&amp;$AU99&amp;$AV99&amp;$AW99&amp;$AX99&amp;$AY99,3,32767)</f>
        <v/>
      </c>
      <c r="BA99">
        <f>COUNT($D99:$AA99)</f>
        <v/>
      </c>
    </row>
    <row r="100">
      <c r="A100" t="n">
        <v>2</v>
      </c>
      <c r="B100" t="inlineStr">
        <is>
          <t>Uncertain Footing</t>
        </is>
      </c>
      <c r="C100" t="inlineStr">
        <is>
          <t>Illusion</t>
        </is>
      </c>
      <c r="D100">
        <f>IF(Wizards!$A$2="","",IF(OR(ISNUMBER(SEARCH(", "&amp;$B100&amp;", ", ", "&amp;INDEX('Form Responses'!$I$1:$Q$200,2,$A100)&amp;", ")),ISNUMBER(SEARCH(", "&amp;$B100&amp;", ", ", "&amp;INDEX('Form Responses'!$R$1:$R$200,2)&amp;", "))),1,""))</f>
        <v/>
      </c>
      <c r="E100">
        <f>IF(Wizards!$A$3="","",IF(OR(ISNUMBER(SEARCH(", "&amp;$B100&amp;", ", ", "&amp;INDEX('Form Responses'!$I$1:$Q$200,3,$A100)&amp;", ")),ISNUMBER(SEARCH(", "&amp;$B100&amp;", ", ", "&amp;INDEX('Form Responses'!$R$1:$R$200,3)&amp;", "))),1,""))</f>
        <v/>
      </c>
      <c r="F100">
        <f>IF(Wizards!$A$4="","",IF(OR(ISNUMBER(SEARCH(", "&amp;$B100&amp;", ", ", "&amp;INDEX('Form Responses'!$I$1:$Q$200,4,$A100)&amp;", ")),ISNUMBER(SEARCH(", "&amp;$B100&amp;", ", ", "&amp;INDEX('Form Responses'!$R$1:$R$200,4)&amp;", "))),1,""))</f>
        <v/>
      </c>
      <c r="G100">
        <f>IF(Wizards!$A$5="","",IF(OR(ISNUMBER(SEARCH(", "&amp;$B100&amp;", ", ", "&amp;INDEX('Form Responses'!$I$1:$Q$200,5,$A100)&amp;", ")),ISNUMBER(SEARCH(", "&amp;$B100&amp;", ", ", "&amp;INDEX('Form Responses'!$R$1:$R$200,5)&amp;", "))),1,""))</f>
        <v/>
      </c>
      <c r="H100">
        <f>IF(Wizards!$A$6="","",IF(OR(ISNUMBER(SEARCH(", "&amp;$B100&amp;", ", ", "&amp;INDEX('Form Responses'!$I$1:$Q$200,6,$A100)&amp;", ")),ISNUMBER(SEARCH(", "&amp;$B100&amp;", ", ", "&amp;INDEX('Form Responses'!$R$1:$R$200,6)&amp;", "))),1,""))</f>
        <v/>
      </c>
      <c r="I100">
        <f>IF(Wizards!$A$7="","",IF(OR(ISNUMBER(SEARCH(", "&amp;$B100&amp;", ", ", "&amp;INDEX('Form Responses'!$I$1:$Q$200,7,$A100)&amp;", ")),ISNUMBER(SEARCH(", "&amp;$B100&amp;", ", ", "&amp;INDEX('Form Responses'!$R$1:$R$200,7)&amp;", "))),1,""))</f>
        <v/>
      </c>
      <c r="J100">
        <f>IF(Wizards!$A$8="","",IF(OR(ISNUMBER(SEARCH(", "&amp;$B100&amp;", ", ", "&amp;INDEX('Form Responses'!$I$1:$Q$200,8,$A100)&amp;", ")),ISNUMBER(SEARCH(", "&amp;$B100&amp;", ", ", "&amp;INDEX('Form Responses'!$R$1:$R$200,8)&amp;", "))),1,""))</f>
        <v/>
      </c>
      <c r="K100">
        <f>IF(Wizards!$A$9="","",IF(OR(ISNUMBER(SEARCH(", "&amp;$B100&amp;", ", ", "&amp;INDEX('Form Responses'!$I$1:$Q$200,9,$A100)&amp;", ")),ISNUMBER(SEARCH(", "&amp;$B100&amp;", ", ", "&amp;INDEX('Form Responses'!$R$1:$R$200,9)&amp;", "))),1,""))</f>
        <v/>
      </c>
      <c r="L100">
        <f>IF(Wizards!$A$10="","",IF(OR(ISNUMBER(SEARCH(", "&amp;$B100&amp;", ", ", "&amp;INDEX('Form Responses'!$I$1:$Q$200,10,$A100)&amp;", ")),ISNUMBER(SEARCH(", "&amp;$B100&amp;", ", ", "&amp;INDEX('Form Responses'!$R$1:$R$200,10)&amp;", "))),1,""))</f>
        <v/>
      </c>
      <c r="M100">
        <f>IF(Wizards!$A$11="","",IF(OR(ISNUMBER(SEARCH(", "&amp;$B100&amp;", ", ", "&amp;INDEX('Form Responses'!$I$1:$Q$200,11,$A100)&amp;", ")),ISNUMBER(SEARCH(", "&amp;$B100&amp;", ", ", "&amp;INDEX('Form Responses'!$R$1:$R$200,11)&amp;", "))),1,""))</f>
        <v/>
      </c>
      <c r="N100">
        <f>IF(Wizards!$A$12="","",IF(OR(ISNUMBER(SEARCH(", "&amp;$B100&amp;", ", ", "&amp;INDEX('Form Responses'!$I$1:$Q$200,12,$A100)&amp;", ")),ISNUMBER(SEARCH(", "&amp;$B100&amp;", ", ", "&amp;INDEX('Form Responses'!$R$1:$R$200,12)&amp;", "))),1,""))</f>
        <v/>
      </c>
      <c r="O100">
        <f>IF(Wizards!$A$13="","",IF(OR(ISNUMBER(SEARCH(", "&amp;$B100&amp;", ", ", "&amp;INDEX('Form Responses'!$I$1:$Q$200,13,$A100)&amp;", ")),ISNUMBER(SEARCH(", "&amp;$B100&amp;", ", ", "&amp;INDEX('Form Responses'!$R$1:$R$200,13)&amp;", "))),1,""))</f>
        <v/>
      </c>
      <c r="P100">
        <f>IF(Wizards!$A$14="","",IF(OR(ISNUMBER(SEARCH(", "&amp;$B100&amp;", ", ", "&amp;INDEX('Form Responses'!$I$1:$Q$200,14,$A100)&amp;", ")),ISNUMBER(SEARCH(", "&amp;$B100&amp;", ", ", "&amp;INDEX('Form Responses'!$R$1:$R$200,14)&amp;", "))),1,""))</f>
        <v/>
      </c>
      <c r="Q100">
        <f>IF(Wizards!$A$15="","",IF(OR(ISNUMBER(SEARCH(", "&amp;$B100&amp;", ", ", "&amp;INDEX('Form Responses'!$I$1:$Q$200,15,$A100)&amp;", ")),ISNUMBER(SEARCH(", "&amp;$B100&amp;", ", ", "&amp;INDEX('Form Responses'!$R$1:$R$200,15)&amp;", "))),1,""))</f>
        <v/>
      </c>
      <c r="R100">
        <f>IF(Wizards!$A$16="","",IF(OR(ISNUMBER(SEARCH(", "&amp;$B100&amp;", ", ", "&amp;INDEX('Form Responses'!$I$1:$Q$200,16,$A100)&amp;", ")),ISNUMBER(SEARCH(", "&amp;$B100&amp;", ", ", "&amp;INDEX('Form Responses'!$R$1:$R$200,16)&amp;", "))),1,""))</f>
        <v/>
      </c>
      <c r="S100">
        <f>IF(Wizards!$A$17="","",IF(OR(ISNUMBER(SEARCH(", "&amp;$B100&amp;", ", ", "&amp;INDEX('Form Responses'!$I$1:$Q$200,17,$A100)&amp;", ")),ISNUMBER(SEARCH(", "&amp;$B100&amp;", ", ", "&amp;INDEX('Form Responses'!$R$1:$R$200,17)&amp;", "))),1,""))</f>
        <v/>
      </c>
      <c r="T100">
        <f>IF(Wizards!$A$18="","",IF(OR(ISNUMBER(SEARCH(", "&amp;$B100&amp;", ", ", "&amp;INDEX('Form Responses'!$I$1:$Q$200,18,$A100)&amp;", ")),ISNUMBER(SEARCH(", "&amp;$B100&amp;", ", ", "&amp;INDEX('Form Responses'!$R$1:$R$200,18)&amp;", "))),1,""))</f>
        <v/>
      </c>
      <c r="U100">
        <f>IF(Wizards!$A$19="","",IF(OR(ISNUMBER(SEARCH(", "&amp;$B100&amp;", ", ", "&amp;INDEX('Form Responses'!$I$1:$Q$200,19,$A100)&amp;", ")),ISNUMBER(SEARCH(", "&amp;$B100&amp;", ", ", "&amp;INDEX('Form Responses'!$R$1:$R$200,19)&amp;", "))),1,""))</f>
        <v/>
      </c>
      <c r="V100">
        <f>IF(Wizards!$A$20="","",IF(OR(ISNUMBER(SEARCH(", "&amp;$B100&amp;", ", ", "&amp;INDEX('Form Responses'!$I$1:$Q$200,20,$A100)&amp;", ")),ISNUMBER(SEARCH(", "&amp;$B100&amp;", ", ", "&amp;INDEX('Form Responses'!$R$1:$R$200,20)&amp;", "))),1,""))</f>
        <v/>
      </c>
      <c r="W100">
        <f>IF(Wizards!$A$21="","",IF(OR(ISNUMBER(SEARCH(", "&amp;$B100&amp;", ", ", "&amp;INDEX('Form Responses'!$I$1:$Q$200,21,$A100)&amp;", ")),ISNUMBER(SEARCH(", "&amp;$B100&amp;", ", ", "&amp;INDEX('Form Responses'!$R$1:$R$200,21)&amp;", "))),1,""))</f>
        <v/>
      </c>
      <c r="X100">
        <f>IF(Wizards!$A$22="","",IF(OR(ISNUMBER(SEARCH(", "&amp;$B100&amp;", ", ", "&amp;INDEX('Form Responses'!$I$1:$Q$200,22,$A100)&amp;", ")),ISNUMBER(SEARCH(", "&amp;$B100&amp;", ", ", "&amp;INDEX('Form Responses'!$R$1:$R$200,22)&amp;", "))),1,""))</f>
        <v/>
      </c>
      <c r="Y100">
        <f>IF(Wizards!$A$23="","",IF(OR(ISNUMBER(SEARCH(", "&amp;$B100&amp;", ", ", "&amp;INDEX('Form Responses'!$I$1:$Q$200,23,$A100)&amp;", ")),ISNUMBER(SEARCH(", "&amp;$B100&amp;", ", ", "&amp;INDEX('Form Responses'!$R$1:$R$200,23)&amp;", "))),1,""))</f>
        <v/>
      </c>
      <c r="Z100">
        <f>IF(Wizards!$A$24="","",IF(OR(ISNUMBER(SEARCH(", "&amp;$B100&amp;", ", ", "&amp;INDEX('Form Responses'!$I$1:$Q$200,24,$A100)&amp;", ")),ISNUMBER(SEARCH(", "&amp;$B100&amp;", ", ", "&amp;INDEX('Form Responses'!$R$1:$R$200,24)&amp;", "))),1,""))</f>
        <v/>
      </c>
      <c r="AA100">
        <f>IF(Wizards!$A$25="","",IF(OR(ISNUMBER(SEARCH(", "&amp;$B100&amp;", ", ", "&amp;INDEX('Form Responses'!$I$1:$Q$200,25,$A100)&amp;", ")),ISNUMBER(SEARCH(", "&amp;$B100&amp;", ", ", "&amp;INDEX('Form Responses'!$R$1:$R$200,25)&amp;", "))),1,""))</f>
        <v/>
      </c>
      <c r="AB100">
        <f>IF(D100=1,", "&amp;D$1,"")</f>
        <v/>
      </c>
      <c r="AC100">
        <f>IF(E100=1,", "&amp;E$1,"")</f>
        <v/>
      </c>
      <c r="AD100">
        <f>IF(F100=1,", "&amp;F$1,"")</f>
        <v/>
      </c>
      <c r="AE100">
        <f>IF(G100=1,", "&amp;G$1,"")</f>
        <v/>
      </c>
      <c r="AF100">
        <f>IF(H100=1,", "&amp;H$1,"")</f>
        <v/>
      </c>
      <c r="AG100">
        <f>IF(I100=1,", "&amp;I$1,"")</f>
        <v/>
      </c>
      <c r="AH100">
        <f>IF(J100=1,", "&amp;J$1,"")</f>
        <v/>
      </c>
      <c r="AI100">
        <f>IF(K100=1,", "&amp;K$1,"")</f>
        <v/>
      </c>
      <c r="AJ100">
        <f>IF(L100=1,", "&amp;L$1,"")</f>
        <v/>
      </c>
      <c r="AK100">
        <f>IF(M100=1,", "&amp;M$1,"")</f>
        <v/>
      </c>
      <c r="AL100">
        <f>IF(N100=1,", "&amp;N$1,"")</f>
        <v/>
      </c>
      <c r="AM100">
        <f>IF(O100=1,", "&amp;O$1,"")</f>
        <v/>
      </c>
      <c r="AN100">
        <f>IF(P100=1,", "&amp;P$1,"")</f>
        <v/>
      </c>
      <c r="AO100">
        <f>IF(Q100=1,", "&amp;Q$1,"")</f>
        <v/>
      </c>
      <c r="AP100">
        <f>IF(R100=1,", "&amp;R$1,"")</f>
        <v/>
      </c>
      <c r="AQ100">
        <f>IF(S100=1,", "&amp;S$1,"")</f>
        <v/>
      </c>
      <c r="AR100">
        <f>IF(T100=1,", "&amp;T$1,"")</f>
        <v/>
      </c>
      <c r="AS100">
        <f>IF(U100=1,", "&amp;U$1,"")</f>
        <v/>
      </c>
      <c r="AT100">
        <f>IF(V100=1,", "&amp;V$1,"")</f>
        <v/>
      </c>
      <c r="AU100">
        <f>IF(W100=1,", "&amp;W$1,"")</f>
        <v/>
      </c>
      <c r="AV100">
        <f>IF(X100=1,", "&amp;X$1,"")</f>
        <v/>
      </c>
      <c r="AW100">
        <f>IF(Y100=1,", "&amp;Y$1,"")</f>
        <v/>
      </c>
      <c r="AX100">
        <f>IF(Z100=1,", "&amp;Z$1,"")</f>
        <v/>
      </c>
      <c r="AY100">
        <f>IF(AA100=1,", "&amp;AA$1,"")</f>
        <v/>
      </c>
      <c r="AZ100">
        <f>MID($AB100&amp;$AC100&amp;$AD100&amp;$AE100&amp;$AF100&amp;$AG100&amp;$AH100&amp;$AI100&amp;$AJ100&amp;$AK100&amp;$AL100&amp;$AM100&amp;$AN100&amp;$AO100&amp;$AP100&amp;$AQ100&amp;$AR100&amp;$AS100&amp;$AT100&amp;$AU100&amp;$AV100&amp;$AW100&amp;$AX100&amp;$AY100,3,32767)</f>
        <v/>
      </c>
      <c r="BA100">
        <f>COUNT($D100:$AA100)</f>
        <v/>
      </c>
    </row>
    <row r="101">
      <c r="A101" t="n">
        <v>2</v>
      </c>
      <c r="B101" t="inlineStr">
        <is>
          <t>Warding Wind</t>
        </is>
      </c>
      <c r="C101" t="inlineStr">
        <is>
          <t>Evocation</t>
        </is>
      </c>
      <c r="D101">
        <f>IF(Wizards!$A$2="","",IF(OR(ISNUMBER(SEARCH(", "&amp;$B101&amp;", ", ", "&amp;INDEX('Form Responses'!$I$1:$Q$200,2,$A101)&amp;", ")),ISNUMBER(SEARCH(", "&amp;$B101&amp;", ", ", "&amp;INDEX('Form Responses'!$R$1:$R$200,2)&amp;", "))),1,""))</f>
        <v/>
      </c>
      <c r="E101">
        <f>IF(Wizards!$A$3="","",IF(OR(ISNUMBER(SEARCH(", "&amp;$B101&amp;", ", ", "&amp;INDEX('Form Responses'!$I$1:$Q$200,3,$A101)&amp;", ")),ISNUMBER(SEARCH(", "&amp;$B101&amp;", ", ", "&amp;INDEX('Form Responses'!$R$1:$R$200,3)&amp;", "))),1,""))</f>
        <v/>
      </c>
      <c r="F101">
        <f>IF(Wizards!$A$4="","",IF(OR(ISNUMBER(SEARCH(", "&amp;$B101&amp;", ", ", "&amp;INDEX('Form Responses'!$I$1:$Q$200,4,$A101)&amp;", ")),ISNUMBER(SEARCH(", "&amp;$B101&amp;", ", ", "&amp;INDEX('Form Responses'!$R$1:$R$200,4)&amp;", "))),1,""))</f>
        <v/>
      </c>
      <c r="G101">
        <f>IF(Wizards!$A$5="","",IF(OR(ISNUMBER(SEARCH(", "&amp;$B101&amp;", ", ", "&amp;INDEX('Form Responses'!$I$1:$Q$200,5,$A101)&amp;", ")),ISNUMBER(SEARCH(", "&amp;$B101&amp;", ", ", "&amp;INDEX('Form Responses'!$R$1:$R$200,5)&amp;", "))),1,""))</f>
        <v/>
      </c>
      <c r="H101">
        <f>IF(Wizards!$A$6="","",IF(OR(ISNUMBER(SEARCH(", "&amp;$B101&amp;", ", ", "&amp;INDEX('Form Responses'!$I$1:$Q$200,6,$A101)&amp;", ")),ISNUMBER(SEARCH(", "&amp;$B101&amp;", ", ", "&amp;INDEX('Form Responses'!$R$1:$R$200,6)&amp;", "))),1,""))</f>
        <v/>
      </c>
      <c r="I101">
        <f>IF(Wizards!$A$7="","",IF(OR(ISNUMBER(SEARCH(", "&amp;$B101&amp;", ", ", "&amp;INDEX('Form Responses'!$I$1:$Q$200,7,$A101)&amp;", ")),ISNUMBER(SEARCH(", "&amp;$B101&amp;", ", ", "&amp;INDEX('Form Responses'!$R$1:$R$200,7)&amp;", "))),1,""))</f>
        <v/>
      </c>
      <c r="J101">
        <f>IF(Wizards!$A$8="","",IF(OR(ISNUMBER(SEARCH(", "&amp;$B101&amp;", ", ", "&amp;INDEX('Form Responses'!$I$1:$Q$200,8,$A101)&amp;", ")),ISNUMBER(SEARCH(", "&amp;$B101&amp;", ", ", "&amp;INDEX('Form Responses'!$R$1:$R$200,8)&amp;", "))),1,""))</f>
        <v/>
      </c>
      <c r="K101">
        <f>IF(Wizards!$A$9="","",IF(OR(ISNUMBER(SEARCH(", "&amp;$B101&amp;", ", ", "&amp;INDEX('Form Responses'!$I$1:$Q$200,9,$A101)&amp;", ")),ISNUMBER(SEARCH(", "&amp;$B101&amp;", ", ", "&amp;INDEX('Form Responses'!$R$1:$R$200,9)&amp;", "))),1,""))</f>
        <v/>
      </c>
      <c r="L101">
        <f>IF(Wizards!$A$10="","",IF(OR(ISNUMBER(SEARCH(", "&amp;$B101&amp;", ", ", "&amp;INDEX('Form Responses'!$I$1:$Q$200,10,$A101)&amp;", ")),ISNUMBER(SEARCH(", "&amp;$B101&amp;", ", ", "&amp;INDEX('Form Responses'!$R$1:$R$200,10)&amp;", "))),1,""))</f>
        <v/>
      </c>
      <c r="M101">
        <f>IF(Wizards!$A$11="","",IF(OR(ISNUMBER(SEARCH(", "&amp;$B101&amp;", ", ", "&amp;INDEX('Form Responses'!$I$1:$Q$200,11,$A101)&amp;", ")),ISNUMBER(SEARCH(", "&amp;$B101&amp;", ", ", "&amp;INDEX('Form Responses'!$R$1:$R$200,11)&amp;", "))),1,""))</f>
        <v/>
      </c>
      <c r="N101">
        <f>IF(Wizards!$A$12="","",IF(OR(ISNUMBER(SEARCH(", "&amp;$B101&amp;", ", ", "&amp;INDEX('Form Responses'!$I$1:$Q$200,12,$A101)&amp;", ")),ISNUMBER(SEARCH(", "&amp;$B101&amp;", ", ", "&amp;INDEX('Form Responses'!$R$1:$R$200,12)&amp;", "))),1,""))</f>
        <v/>
      </c>
      <c r="O101">
        <f>IF(Wizards!$A$13="","",IF(OR(ISNUMBER(SEARCH(", "&amp;$B101&amp;", ", ", "&amp;INDEX('Form Responses'!$I$1:$Q$200,13,$A101)&amp;", ")),ISNUMBER(SEARCH(", "&amp;$B101&amp;", ", ", "&amp;INDEX('Form Responses'!$R$1:$R$200,13)&amp;", "))),1,""))</f>
        <v/>
      </c>
      <c r="P101">
        <f>IF(Wizards!$A$14="","",IF(OR(ISNUMBER(SEARCH(", "&amp;$B101&amp;", ", ", "&amp;INDEX('Form Responses'!$I$1:$Q$200,14,$A101)&amp;", ")),ISNUMBER(SEARCH(", "&amp;$B101&amp;", ", ", "&amp;INDEX('Form Responses'!$R$1:$R$200,14)&amp;", "))),1,""))</f>
        <v/>
      </c>
      <c r="Q101">
        <f>IF(Wizards!$A$15="","",IF(OR(ISNUMBER(SEARCH(", "&amp;$B101&amp;", ", ", "&amp;INDEX('Form Responses'!$I$1:$Q$200,15,$A101)&amp;", ")),ISNUMBER(SEARCH(", "&amp;$B101&amp;", ", ", "&amp;INDEX('Form Responses'!$R$1:$R$200,15)&amp;", "))),1,""))</f>
        <v/>
      </c>
      <c r="R101">
        <f>IF(Wizards!$A$16="","",IF(OR(ISNUMBER(SEARCH(", "&amp;$B101&amp;", ", ", "&amp;INDEX('Form Responses'!$I$1:$Q$200,16,$A101)&amp;", ")),ISNUMBER(SEARCH(", "&amp;$B101&amp;", ", ", "&amp;INDEX('Form Responses'!$R$1:$R$200,16)&amp;", "))),1,""))</f>
        <v/>
      </c>
      <c r="S101">
        <f>IF(Wizards!$A$17="","",IF(OR(ISNUMBER(SEARCH(", "&amp;$B101&amp;", ", ", "&amp;INDEX('Form Responses'!$I$1:$Q$200,17,$A101)&amp;", ")),ISNUMBER(SEARCH(", "&amp;$B101&amp;", ", ", "&amp;INDEX('Form Responses'!$R$1:$R$200,17)&amp;", "))),1,""))</f>
        <v/>
      </c>
      <c r="T101">
        <f>IF(Wizards!$A$18="","",IF(OR(ISNUMBER(SEARCH(", "&amp;$B101&amp;", ", ", "&amp;INDEX('Form Responses'!$I$1:$Q$200,18,$A101)&amp;", ")),ISNUMBER(SEARCH(", "&amp;$B101&amp;", ", ", "&amp;INDEX('Form Responses'!$R$1:$R$200,18)&amp;", "))),1,""))</f>
        <v/>
      </c>
      <c r="U101">
        <f>IF(Wizards!$A$19="","",IF(OR(ISNUMBER(SEARCH(", "&amp;$B101&amp;", ", ", "&amp;INDEX('Form Responses'!$I$1:$Q$200,19,$A101)&amp;", ")),ISNUMBER(SEARCH(", "&amp;$B101&amp;", ", ", "&amp;INDEX('Form Responses'!$R$1:$R$200,19)&amp;", "))),1,""))</f>
        <v/>
      </c>
      <c r="V101">
        <f>IF(Wizards!$A$20="","",IF(OR(ISNUMBER(SEARCH(", "&amp;$B101&amp;", ", ", "&amp;INDEX('Form Responses'!$I$1:$Q$200,20,$A101)&amp;", ")),ISNUMBER(SEARCH(", "&amp;$B101&amp;", ", ", "&amp;INDEX('Form Responses'!$R$1:$R$200,20)&amp;", "))),1,""))</f>
        <v/>
      </c>
      <c r="W101">
        <f>IF(Wizards!$A$21="","",IF(OR(ISNUMBER(SEARCH(", "&amp;$B101&amp;", ", ", "&amp;INDEX('Form Responses'!$I$1:$Q$200,21,$A101)&amp;", ")),ISNUMBER(SEARCH(", "&amp;$B101&amp;", ", ", "&amp;INDEX('Form Responses'!$R$1:$R$200,21)&amp;", "))),1,""))</f>
        <v/>
      </c>
      <c r="X101">
        <f>IF(Wizards!$A$22="","",IF(OR(ISNUMBER(SEARCH(", "&amp;$B101&amp;", ", ", "&amp;INDEX('Form Responses'!$I$1:$Q$200,22,$A101)&amp;", ")),ISNUMBER(SEARCH(", "&amp;$B101&amp;", ", ", "&amp;INDEX('Form Responses'!$R$1:$R$200,22)&amp;", "))),1,""))</f>
        <v/>
      </c>
      <c r="Y101">
        <f>IF(Wizards!$A$23="","",IF(OR(ISNUMBER(SEARCH(", "&amp;$B101&amp;", ", ", "&amp;INDEX('Form Responses'!$I$1:$Q$200,23,$A101)&amp;", ")),ISNUMBER(SEARCH(", "&amp;$B101&amp;", ", ", "&amp;INDEX('Form Responses'!$R$1:$R$200,23)&amp;", "))),1,""))</f>
        <v/>
      </c>
      <c r="Z101">
        <f>IF(Wizards!$A$24="","",IF(OR(ISNUMBER(SEARCH(", "&amp;$B101&amp;", ", ", "&amp;INDEX('Form Responses'!$I$1:$Q$200,24,$A101)&amp;", ")),ISNUMBER(SEARCH(", "&amp;$B101&amp;", ", ", "&amp;INDEX('Form Responses'!$R$1:$R$200,24)&amp;", "))),1,""))</f>
        <v/>
      </c>
      <c r="AA101">
        <f>IF(Wizards!$A$25="","",IF(OR(ISNUMBER(SEARCH(", "&amp;$B101&amp;", ", ", "&amp;INDEX('Form Responses'!$I$1:$Q$200,25,$A101)&amp;", ")),ISNUMBER(SEARCH(", "&amp;$B101&amp;", ", ", "&amp;INDEX('Form Responses'!$R$1:$R$200,25)&amp;", "))),1,""))</f>
        <v/>
      </c>
      <c r="AB101">
        <f>IF(D101=1,", "&amp;D$1,"")</f>
        <v/>
      </c>
      <c r="AC101">
        <f>IF(E101=1,", "&amp;E$1,"")</f>
        <v/>
      </c>
      <c r="AD101">
        <f>IF(F101=1,", "&amp;F$1,"")</f>
        <v/>
      </c>
      <c r="AE101">
        <f>IF(G101=1,", "&amp;G$1,"")</f>
        <v/>
      </c>
      <c r="AF101">
        <f>IF(H101=1,", "&amp;H$1,"")</f>
        <v/>
      </c>
      <c r="AG101">
        <f>IF(I101=1,", "&amp;I$1,"")</f>
        <v/>
      </c>
      <c r="AH101">
        <f>IF(J101=1,", "&amp;J$1,"")</f>
        <v/>
      </c>
      <c r="AI101">
        <f>IF(K101=1,", "&amp;K$1,"")</f>
        <v/>
      </c>
      <c r="AJ101">
        <f>IF(L101=1,", "&amp;L$1,"")</f>
        <v/>
      </c>
      <c r="AK101">
        <f>IF(M101=1,", "&amp;M$1,"")</f>
        <v/>
      </c>
      <c r="AL101">
        <f>IF(N101=1,", "&amp;N$1,"")</f>
        <v/>
      </c>
      <c r="AM101">
        <f>IF(O101=1,", "&amp;O$1,"")</f>
        <v/>
      </c>
      <c r="AN101">
        <f>IF(P101=1,", "&amp;P$1,"")</f>
        <v/>
      </c>
      <c r="AO101">
        <f>IF(Q101=1,", "&amp;Q$1,"")</f>
        <v/>
      </c>
      <c r="AP101">
        <f>IF(R101=1,", "&amp;R$1,"")</f>
        <v/>
      </c>
      <c r="AQ101">
        <f>IF(S101=1,", "&amp;S$1,"")</f>
        <v/>
      </c>
      <c r="AR101">
        <f>IF(T101=1,", "&amp;T$1,"")</f>
        <v/>
      </c>
      <c r="AS101">
        <f>IF(U101=1,", "&amp;U$1,"")</f>
        <v/>
      </c>
      <c r="AT101">
        <f>IF(V101=1,", "&amp;V$1,"")</f>
        <v/>
      </c>
      <c r="AU101">
        <f>IF(W101=1,", "&amp;W$1,"")</f>
        <v/>
      </c>
      <c r="AV101">
        <f>IF(X101=1,", "&amp;X$1,"")</f>
        <v/>
      </c>
      <c r="AW101">
        <f>IF(Y101=1,", "&amp;Y$1,"")</f>
        <v/>
      </c>
      <c r="AX101">
        <f>IF(Z101=1,", "&amp;Z$1,"")</f>
        <v/>
      </c>
      <c r="AY101">
        <f>IF(AA101=1,", "&amp;AA$1,"")</f>
        <v/>
      </c>
      <c r="AZ101">
        <f>MID($AB101&amp;$AC101&amp;$AD101&amp;$AE101&amp;$AF101&amp;$AG101&amp;$AH101&amp;$AI101&amp;$AJ101&amp;$AK101&amp;$AL101&amp;$AM101&amp;$AN101&amp;$AO101&amp;$AP101&amp;$AQ101&amp;$AR101&amp;$AS101&amp;$AT101&amp;$AU101&amp;$AV101&amp;$AW101&amp;$AX101&amp;$AY101,3,32767)</f>
        <v/>
      </c>
      <c r="BA101">
        <f>COUNT($D101:$AA101)</f>
        <v/>
      </c>
    </row>
    <row r="102">
      <c r="A102" t="n">
        <v>2</v>
      </c>
      <c r="B102" t="inlineStr">
        <is>
          <t>Warp Sense</t>
        </is>
      </c>
      <c r="C102" t="inlineStr">
        <is>
          <t>Divination</t>
        </is>
      </c>
      <c r="D102">
        <f>IF(Wizards!$A$2="","",IF(OR(ISNUMBER(SEARCH(", "&amp;$B102&amp;", ", ", "&amp;INDEX('Form Responses'!$I$1:$Q$200,2,$A102)&amp;", ")),ISNUMBER(SEARCH(", "&amp;$B102&amp;", ", ", "&amp;INDEX('Form Responses'!$R$1:$R$200,2)&amp;", "))),1,""))</f>
        <v/>
      </c>
      <c r="E102">
        <f>IF(Wizards!$A$3="","",IF(OR(ISNUMBER(SEARCH(", "&amp;$B102&amp;", ", ", "&amp;INDEX('Form Responses'!$I$1:$Q$200,3,$A102)&amp;", ")),ISNUMBER(SEARCH(", "&amp;$B102&amp;", ", ", "&amp;INDEX('Form Responses'!$R$1:$R$200,3)&amp;", "))),1,""))</f>
        <v/>
      </c>
      <c r="F102">
        <f>IF(Wizards!$A$4="","",IF(OR(ISNUMBER(SEARCH(", "&amp;$B102&amp;", ", ", "&amp;INDEX('Form Responses'!$I$1:$Q$200,4,$A102)&amp;", ")),ISNUMBER(SEARCH(", "&amp;$B102&amp;", ", ", "&amp;INDEX('Form Responses'!$R$1:$R$200,4)&amp;", "))),1,""))</f>
        <v/>
      </c>
      <c r="G102">
        <f>IF(Wizards!$A$5="","",IF(OR(ISNUMBER(SEARCH(", "&amp;$B102&amp;", ", ", "&amp;INDEX('Form Responses'!$I$1:$Q$200,5,$A102)&amp;", ")),ISNUMBER(SEARCH(", "&amp;$B102&amp;", ", ", "&amp;INDEX('Form Responses'!$R$1:$R$200,5)&amp;", "))),1,""))</f>
        <v/>
      </c>
      <c r="H102">
        <f>IF(Wizards!$A$6="","",IF(OR(ISNUMBER(SEARCH(", "&amp;$B102&amp;", ", ", "&amp;INDEX('Form Responses'!$I$1:$Q$200,6,$A102)&amp;", ")),ISNUMBER(SEARCH(", "&amp;$B102&amp;", ", ", "&amp;INDEX('Form Responses'!$R$1:$R$200,6)&amp;", "))),1,""))</f>
        <v/>
      </c>
      <c r="I102">
        <f>IF(Wizards!$A$7="","",IF(OR(ISNUMBER(SEARCH(", "&amp;$B102&amp;", ", ", "&amp;INDEX('Form Responses'!$I$1:$Q$200,7,$A102)&amp;", ")),ISNUMBER(SEARCH(", "&amp;$B102&amp;", ", ", "&amp;INDEX('Form Responses'!$R$1:$R$200,7)&amp;", "))),1,""))</f>
        <v/>
      </c>
      <c r="J102">
        <f>IF(Wizards!$A$8="","",IF(OR(ISNUMBER(SEARCH(", "&amp;$B102&amp;", ", ", "&amp;INDEX('Form Responses'!$I$1:$Q$200,8,$A102)&amp;", ")),ISNUMBER(SEARCH(", "&amp;$B102&amp;", ", ", "&amp;INDEX('Form Responses'!$R$1:$R$200,8)&amp;", "))),1,""))</f>
        <v/>
      </c>
      <c r="K102">
        <f>IF(Wizards!$A$9="","",IF(OR(ISNUMBER(SEARCH(", "&amp;$B102&amp;", ", ", "&amp;INDEX('Form Responses'!$I$1:$Q$200,9,$A102)&amp;", ")),ISNUMBER(SEARCH(", "&amp;$B102&amp;", ", ", "&amp;INDEX('Form Responses'!$R$1:$R$200,9)&amp;", "))),1,""))</f>
        <v/>
      </c>
      <c r="L102">
        <f>IF(Wizards!$A$10="","",IF(OR(ISNUMBER(SEARCH(", "&amp;$B102&amp;", ", ", "&amp;INDEX('Form Responses'!$I$1:$Q$200,10,$A102)&amp;", ")),ISNUMBER(SEARCH(", "&amp;$B102&amp;", ", ", "&amp;INDEX('Form Responses'!$R$1:$R$200,10)&amp;", "))),1,""))</f>
        <v/>
      </c>
      <c r="M102">
        <f>IF(Wizards!$A$11="","",IF(OR(ISNUMBER(SEARCH(", "&amp;$B102&amp;", ", ", "&amp;INDEX('Form Responses'!$I$1:$Q$200,11,$A102)&amp;", ")),ISNUMBER(SEARCH(", "&amp;$B102&amp;", ", ", "&amp;INDEX('Form Responses'!$R$1:$R$200,11)&amp;", "))),1,""))</f>
        <v/>
      </c>
      <c r="N102">
        <f>IF(Wizards!$A$12="","",IF(OR(ISNUMBER(SEARCH(", "&amp;$B102&amp;", ", ", "&amp;INDEX('Form Responses'!$I$1:$Q$200,12,$A102)&amp;", ")),ISNUMBER(SEARCH(", "&amp;$B102&amp;", ", ", "&amp;INDEX('Form Responses'!$R$1:$R$200,12)&amp;", "))),1,""))</f>
        <v/>
      </c>
      <c r="O102">
        <f>IF(Wizards!$A$13="","",IF(OR(ISNUMBER(SEARCH(", "&amp;$B102&amp;", ", ", "&amp;INDEX('Form Responses'!$I$1:$Q$200,13,$A102)&amp;", ")),ISNUMBER(SEARCH(", "&amp;$B102&amp;", ", ", "&amp;INDEX('Form Responses'!$R$1:$R$200,13)&amp;", "))),1,""))</f>
        <v/>
      </c>
      <c r="P102">
        <f>IF(Wizards!$A$14="","",IF(OR(ISNUMBER(SEARCH(", "&amp;$B102&amp;", ", ", "&amp;INDEX('Form Responses'!$I$1:$Q$200,14,$A102)&amp;", ")),ISNUMBER(SEARCH(", "&amp;$B102&amp;", ", ", "&amp;INDEX('Form Responses'!$R$1:$R$200,14)&amp;", "))),1,""))</f>
        <v/>
      </c>
      <c r="Q102">
        <f>IF(Wizards!$A$15="","",IF(OR(ISNUMBER(SEARCH(", "&amp;$B102&amp;", ", ", "&amp;INDEX('Form Responses'!$I$1:$Q$200,15,$A102)&amp;", ")),ISNUMBER(SEARCH(", "&amp;$B102&amp;", ", ", "&amp;INDEX('Form Responses'!$R$1:$R$200,15)&amp;", "))),1,""))</f>
        <v/>
      </c>
      <c r="R102">
        <f>IF(Wizards!$A$16="","",IF(OR(ISNUMBER(SEARCH(", "&amp;$B102&amp;", ", ", "&amp;INDEX('Form Responses'!$I$1:$Q$200,16,$A102)&amp;", ")),ISNUMBER(SEARCH(", "&amp;$B102&amp;", ", ", "&amp;INDEX('Form Responses'!$R$1:$R$200,16)&amp;", "))),1,""))</f>
        <v/>
      </c>
      <c r="S102">
        <f>IF(Wizards!$A$17="","",IF(OR(ISNUMBER(SEARCH(", "&amp;$B102&amp;", ", ", "&amp;INDEX('Form Responses'!$I$1:$Q$200,17,$A102)&amp;", ")),ISNUMBER(SEARCH(", "&amp;$B102&amp;", ", ", "&amp;INDEX('Form Responses'!$R$1:$R$200,17)&amp;", "))),1,""))</f>
        <v/>
      </c>
      <c r="T102">
        <f>IF(Wizards!$A$18="","",IF(OR(ISNUMBER(SEARCH(", "&amp;$B102&amp;", ", ", "&amp;INDEX('Form Responses'!$I$1:$Q$200,18,$A102)&amp;", ")),ISNUMBER(SEARCH(", "&amp;$B102&amp;", ", ", "&amp;INDEX('Form Responses'!$R$1:$R$200,18)&amp;", "))),1,""))</f>
        <v/>
      </c>
      <c r="U102">
        <f>IF(Wizards!$A$19="","",IF(OR(ISNUMBER(SEARCH(", "&amp;$B102&amp;", ", ", "&amp;INDEX('Form Responses'!$I$1:$Q$200,19,$A102)&amp;", ")),ISNUMBER(SEARCH(", "&amp;$B102&amp;", ", ", "&amp;INDEX('Form Responses'!$R$1:$R$200,19)&amp;", "))),1,""))</f>
        <v/>
      </c>
      <c r="V102">
        <f>IF(Wizards!$A$20="","",IF(OR(ISNUMBER(SEARCH(", "&amp;$B102&amp;", ", ", "&amp;INDEX('Form Responses'!$I$1:$Q$200,20,$A102)&amp;", ")),ISNUMBER(SEARCH(", "&amp;$B102&amp;", ", ", "&amp;INDEX('Form Responses'!$R$1:$R$200,20)&amp;", "))),1,""))</f>
        <v/>
      </c>
      <c r="W102">
        <f>IF(Wizards!$A$21="","",IF(OR(ISNUMBER(SEARCH(", "&amp;$B102&amp;", ", ", "&amp;INDEX('Form Responses'!$I$1:$Q$200,21,$A102)&amp;", ")),ISNUMBER(SEARCH(", "&amp;$B102&amp;", ", ", "&amp;INDEX('Form Responses'!$R$1:$R$200,21)&amp;", "))),1,""))</f>
        <v/>
      </c>
      <c r="X102">
        <f>IF(Wizards!$A$22="","",IF(OR(ISNUMBER(SEARCH(", "&amp;$B102&amp;", ", ", "&amp;INDEX('Form Responses'!$I$1:$Q$200,22,$A102)&amp;", ")),ISNUMBER(SEARCH(", "&amp;$B102&amp;", ", ", "&amp;INDEX('Form Responses'!$R$1:$R$200,22)&amp;", "))),1,""))</f>
        <v/>
      </c>
      <c r="Y102">
        <f>IF(Wizards!$A$23="","",IF(OR(ISNUMBER(SEARCH(", "&amp;$B102&amp;", ", ", "&amp;INDEX('Form Responses'!$I$1:$Q$200,23,$A102)&amp;", ")),ISNUMBER(SEARCH(", "&amp;$B102&amp;", ", ", "&amp;INDEX('Form Responses'!$R$1:$R$200,23)&amp;", "))),1,""))</f>
        <v/>
      </c>
      <c r="Z102">
        <f>IF(Wizards!$A$24="","",IF(OR(ISNUMBER(SEARCH(", "&amp;$B102&amp;", ", ", "&amp;INDEX('Form Responses'!$I$1:$Q$200,24,$A102)&amp;", ")),ISNUMBER(SEARCH(", "&amp;$B102&amp;", ", ", "&amp;INDEX('Form Responses'!$R$1:$R$200,24)&amp;", "))),1,""))</f>
        <v/>
      </c>
      <c r="AA102">
        <f>IF(Wizards!$A$25="","",IF(OR(ISNUMBER(SEARCH(", "&amp;$B102&amp;", ", ", "&amp;INDEX('Form Responses'!$I$1:$Q$200,25,$A102)&amp;", ")),ISNUMBER(SEARCH(", "&amp;$B102&amp;", ", ", "&amp;INDEX('Form Responses'!$R$1:$R$200,25)&amp;", "))),1,""))</f>
        <v/>
      </c>
      <c r="AB102">
        <f>IF(D102=1,", "&amp;D$1,"")</f>
        <v/>
      </c>
      <c r="AC102">
        <f>IF(E102=1,", "&amp;E$1,"")</f>
        <v/>
      </c>
      <c r="AD102">
        <f>IF(F102=1,", "&amp;F$1,"")</f>
        <v/>
      </c>
      <c r="AE102">
        <f>IF(G102=1,", "&amp;G$1,"")</f>
        <v/>
      </c>
      <c r="AF102">
        <f>IF(H102=1,", "&amp;H$1,"")</f>
        <v/>
      </c>
      <c r="AG102">
        <f>IF(I102=1,", "&amp;I$1,"")</f>
        <v/>
      </c>
      <c r="AH102">
        <f>IF(J102=1,", "&amp;J$1,"")</f>
        <v/>
      </c>
      <c r="AI102">
        <f>IF(K102=1,", "&amp;K$1,"")</f>
        <v/>
      </c>
      <c r="AJ102">
        <f>IF(L102=1,", "&amp;L$1,"")</f>
        <v/>
      </c>
      <c r="AK102">
        <f>IF(M102=1,", "&amp;M$1,"")</f>
        <v/>
      </c>
      <c r="AL102">
        <f>IF(N102=1,", "&amp;N$1,"")</f>
        <v/>
      </c>
      <c r="AM102">
        <f>IF(O102=1,", "&amp;O$1,"")</f>
        <v/>
      </c>
      <c r="AN102">
        <f>IF(P102=1,", "&amp;P$1,"")</f>
        <v/>
      </c>
      <c r="AO102">
        <f>IF(Q102=1,", "&amp;Q$1,"")</f>
        <v/>
      </c>
      <c r="AP102">
        <f>IF(R102=1,", "&amp;R$1,"")</f>
        <v/>
      </c>
      <c r="AQ102">
        <f>IF(S102=1,", "&amp;S$1,"")</f>
        <v/>
      </c>
      <c r="AR102">
        <f>IF(T102=1,", "&amp;T$1,"")</f>
        <v/>
      </c>
      <c r="AS102">
        <f>IF(U102=1,", "&amp;U$1,"")</f>
        <v/>
      </c>
      <c r="AT102">
        <f>IF(V102=1,", "&amp;V$1,"")</f>
        <v/>
      </c>
      <c r="AU102">
        <f>IF(W102=1,", "&amp;W$1,"")</f>
        <v/>
      </c>
      <c r="AV102">
        <f>IF(X102=1,", "&amp;X$1,"")</f>
        <v/>
      </c>
      <c r="AW102">
        <f>IF(Y102=1,", "&amp;Y$1,"")</f>
        <v/>
      </c>
      <c r="AX102">
        <f>IF(Z102=1,", "&amp;Z$1,"")</f>
        <v/>
      </c>
      <c r="AY102">
        <f>IF(AA102=1,", "&amp;AA$1,"")</f>
        <v/>
      </c>
      <c r="AZ102">
        <f>MID($AB102&amp;$AC102&amp;$AD102&amp;$AE102&amp;$AF102&amp;$AG102&amp;$AH102&amp;$AI102&amp;$AJ102&amp;$AK102&amp;$AL102&amp;$AM102&amp;$AN102&amp;$AO102&amp;$AP102&amp;$AQ102&amp;$AR102&amp;$AS102&amp;$AT102&amp;$AU102&amp;$AV102&amp;$AW102&amp;$AX102&amp;$AY102,3,32767)</f>
        <v/>
      </c>
      <c r="BA102">
        <f>COUNT($D102:$AA102)</f>
        <v/>
      </c>
    </row>
    <row r="103">
      <c r="A103" t="n">
        <v>2</v>
      </c>
      <c r="B103" t="inlineStr">
        <is>
          <t>Web</t>
        </is>
      </c>
      <c r="C103" t="inlineStr">
        <is>
          <t>Conjuration</t>
        </is>
      </c>
      <c r="D103">
        <f>IF(Wizards!$A$2="","",IF(OR(ISNUMBER(SEARCH(", "&amp;$B103&amp;", ", ", "&amp;INDEX('Form Responses'!$I$1:$Q$200,2,$A103)&amp;", ")),ISNUMBER(SEARCH(", "&amp;$B103&amp;", ", ", "&amp;INDEX('Form Responses'!$R$1:$R$200,2)&amp;", "))),1,""))</f>
        <v/>
      </c>
      <c r="E103">
        <f>IF(Wizards!$A$3="","",IF(OR(ISNUMBER(SEARCH(", "&amp;$B103&amp;", ", ", "&amp;INDEX('Form Responses'!$I$1:$Q$200,3,$A103)&amp;", ")),ISNUMBER(SEARCH(", "&amp;$B103&amp;", ", ", "&amp;INDEX('Form Responses'!$R$1:$R$200,3)&amp;", "))),1,""))</f>
        <v/>
      </c>
      <c r="F103">
        <f>IF(Wizards!$A$4="","",IF(OR(ISNUMBER(SEARCH(", "&amp;$B103&amp;", ", ", "&amp;INDEX('Form Responses'!$I$1:$Q$200,4,$A103)&amp;", ")),ISNUMBER(SEARCH(", "&amp;$B103&amp;", ", ", "&amp;INDEX('Form Responses'!$R$1:$R$200,4)&amp;", "))),1,""))</f>
        <v/>
      </c>
      <c r="G103">
        <f>IF(Wizards!$A$5="","",IF(OR(ISNUMBER(SEARCH(", "&amp;$B103&amp;", ", ", "&amp;INDEX('Form Responses'!$I$1:$Q$200,5,$A103)&amp;", ")),ISNUMBER(SEARCH(", "&amp;$B103&amp;", ", ", "&amp;INDEX('Form Responses'!$R$1:$R$200,5)&amp;", "))),1,""))</f>
        <v/>
      </c>
      <c r="H103">
        <f>IF(Wizards!$A$6="","",IF(OR(ISNUMBER(SEARCH(", "&amp;$B103&amp;", ", ", "&amp;INDEX('Form Responses'!$I$1:$Q$200,6,$A103)&amp;", ")),ISNUMBER(SEARCH(", "&amp;$B103&amp;", ", ", "&amp;INDEX('Form Responses'!$R$1:$R$200,6)&amp;", "))),1,""))</f>
        <v/>
      </c>
      <c r="I103">
        <f>IF(Wizards!$A$7="","",IF(OR(ISNUMBER(SEARCH(", "&amp;$B103&amp;", ", ", "&amp;INDEX('Form Responses'!$I$1:$Q$200,7,$A103)&amp;", ")),ISNUMBER(SEARCH(", "&amp;$B103&amp;", ", ", "&amp;INDEX('Form Responses'!$R$1:$R$200,7)&amp;", "))),1,""))</f>
        <v/>
      </c>
      <c r="J103">
        <f>IF(Wizards!$A$8="","",IF(OR(ISNUMBER(SEARCH(", "&amp;$B103&amp;", ", ", "&amp;INDEX('Form Responses'!$I$1:$Q$200,8,$A103)&amp;", ")),ISNUMBER(SEARCH(", "&amp;$B103&amp;", ", ", "&amp;INDEX('Form Responses'!$R$1:$R$200,8)&amp;", "))),1,""))</f>
        <v/>
      </c>
      <c r="K103">
        <f>IF(Wizards!$A$9="","",IF(OR(ISNUMBER(SEARCH(", "&amp;$B103&amp;", ", ", "&amp;INDEX('Form Responses'!$I$1:$Q$200,9,$A103)&amp;", ")),ISNUMBER(SEARCH(", "&amp;$B103&amp;", ", ", "&amp;INDEX('Form Responses'!$R$1:$R$200,9)&amp;", "))),1,""))</f>
        <v/>
      </c>
      <c r="L103">
        <f>IF(Wizards!$A$10="","",IF(OR(ISNUMBER(SEARCH(", "&amp;$B103&amp;", ", ", "&amp;INDEX('Form Responses'!$I$1:$Q$200,10,$A103)&amp;", ")),ISNUMBER(SEARCH(", "&amp;$B103&amp;", ", ", "&amp;INDEX('Form Responses'!$R$1:$R$200,10)&amp;", "))),1,""))</f>
        <v/>
      </c>
      <c r="M103">
        <f>IF(Wizards!$A$11="","",IF(OR(ISNUMBER(SEARCH(", "&amp;$B103&amp;", ", ", "&amp;INDEX('Form Responses'!$I$1:$Q$200,11,$A103)&amp;", ")),ISNUMBER(SEARCH(", "&amp;$B103&amp;", ", ", "&amp;INDEX('Form Responses'!$R$1:$R$200,11)&amp;", "))),1,""))</f>
        <v/>
      </c>
      <c r="N103">
        <f>IF(Wizards!$A$12="","",IF(OR(ISNUMBER(SEARCH(", "&amp;$B103&amp;", ", ", "&amp;INDEX('Form Responses'!$I$1:$Q$200,12,$A103)&amp;", ")),ISNUMBER(SEARCH(", "&amp;$B103&amp;", ", ", "&amp;INDEX('Form Responses'!$R$1:$R$200,12)&amp;", "))),1,""))</f>
        <v/>
      </c>
      <c r="O103">
        <f>IF(Wizards!$A$13="","",IF(OR(ISNUMBER(SEARCH(", "&amp;$B103&amp;", ", ", "&amp;INDEX('Form Responses'!$I$1:$Q$200,13,$A103)&amp;", ")),ISNUMBER(SEARCH(", "&amp;$B103&amp;", ", ", "&amp;INDEX('Form Responses'!$R$1:$R$200,13)&amp;", "))),1,""))</f>
        <v/>
      </c>
      <c r="P103">
        <f>IF(Wizards!$A$14="","",IF(OR(ISNUMBER(SEARCH(", "&amp;$B103&amp;", ", ", "&amp;INDEX('Form Responses'!$I$1:$Q$200,14,$A103)&amp;", ")),ISNUMBER(SEARCH(", "&amp;$B103&amp;", ", ", "&amp;INDEX('Form Responses'!$R$1:$R$200,14)&amp;", "))),1,""))</f>
        <v/>
      </c>
      <c r="Q103">
        <f>IF(Wizards!$A$15="","",IF(OR(ISNUMBER(SEARCH(", "&amp;$B103&amp;", ", ", "&amp;INDEX('Form Responses'!$I$1:$Q$200,15,$A103)&amp;", ")),ISNUMBER(SEARCH(", "&amp;$B103&amp;", ", ", "&amp;INDEX('Form Responses'!$R$1:$R$200,15)&amp;", "))),1,""))</f>
        <v/>
      </c>
      <c r="R103">
        <f>IF(Wizards!$A$16="","",IF(OR(ISNUMBER(SEARCH(", "&amp;$B103&amp;", ", ", "&amp;INDEX('Form Responses'!$I$1:$Q$200,16,$A103)&amp;", ")),ISNUMBER(SEARCH(", "&amp;$B103&amp;", ", ", "&amp;INDEX('Form Responses'!$R$1:$R$200,16)&amp;", "))),1,""))</f>
        <v/>
      </c>
      <c r="S103">
        <f>IF(Wizards!$A$17="","",IF(OR(ISNUMBER(SEARCH(", "&amp;$B103&amp;", ", ", "&amp;INDEX('Form Responses'!$I$1:$Q$200,17,$A103)&amp;", ")),ISNUMBER(SEARCH(", "&amp;$B103&amp;", ", ", "&amp;INDEX('Form Responses'!$R$1:$R$200,17)&amp;", "))),1,""))</f>
        <v/>
      </c>
      <c r="T103">
        <f>IF(Wizards!$A$18="","",IF(OR(ISNUMBER(SEARCH(", "&amp;$B103&amp;", ", ", "&amp;INDEX('Form Responses'!$I$1:$Q$200,18,$A103)&amp;", ")),ISNUMBER(SEARCH(", "&amp;$B103&amp;", ", ", "&amp;INDEX('Form Responses'!$R$1:$R$200,18)&amp;", "))),1,""))</f>
        <v/>
      </c>
      <c r="U103">
        <f>IF(Wizards!$A$19="","",IF(OR(ISNUMBER(SEARCH(", "&amp;$B103&amp;", ", ", "&amp;INDEX('Form Responses'!$I$1:$Q$200,19,$A103)&amp;", ")),ISNUMBER(SEARCH(", "&amp;$B103&amp;", ", ", "&amp;INDEX('Form Responses'!$R$1:$R$200,19)&amp;", "))),1,""))</f>
        <v/>
      </c>
      <c r="V103">
        <f>IF(Wizards!$A$20="","",IF(OR(ISNUMBER(SEARCH(", "&amp;$B103&amp;", ", ", "&amp;INDEX('Form Responses'!$I$1:$Q$200,20,$A103)&amp;", ")),ISNUMBER(SEARCH(", "&amp;$B103&amp;", ", ", "&amp;INDEX('Form Responses'!$R$1:$R$200,20)&amp;", "))),1,""))</f>
        <v/>
      </c>
      <c r="W103">
        <f>IF(Wizards!$A$21="","",IF(OR(ISNUMBER(SEARCH(", "&amp;$B103&amp;", ", ", "&amp;INDEX('Form Responses'!$I$1:$Q$200,21,$A103)&amp;", ")),ISNUMBER(SEARCH(", "&amp;$B103&amp;", ", ", "&amp;INDEX('Form Responses'!$R$1:$R$200,21)&amp;", "))),1,""))</f>
        <v/>
      </c>
      <c r="X103">
        <f>IF(Wizards!$A$22="","",IF(OR(ISNUMBER(SEARCH(", "&amp;$B103&amp;", ", ", "&amp;INDEX('Form Responses'!$I$1:$Q$200,22,$A103)&amp;", ")),ISNUMBER(SEARCH(", "&amp;$B103&amp;", ", ", "&amp;INDEX('Form Responses'!$R$1:$R$200,22)&amp;", "))),1,""))</f>
        <v/>
      </c>
      <c r="Y103">
        <f>IF(Wizards!$A$23="","",IF(OR(ISNUMBER(SEARCH(", "&amp;$B103&amp;", ", ", "&amp;INDEX('Form Responses'!$I$1:$Q$200,23,$A103)&amp;", ")),ISNUMBER(SEARCH(", "&amp;$B103&amp;", ", ", "&amp;INDEX('Form Responses'!$R$1:$R$200,23)&amp;", "))),1,""))</f>
        <v/>
      </c>
      <c r="Z103">
        <f>IF(Wizards!$A$24="","",IF(OR(ISNUMBER(SEARCH(", "&amp;$B103&amp;", ", ", "&amp;INDEX('Form Responses'!$I$1:$Q$200,24,$A103)&amp;", ")),ISNUMBER(SEARCH(", "&amp;$B103&amp;", ", ", "&amp;INDEX('Form Responses'!$R$1:$R$200,24)&amp;", "))),1,""))</f>
        <v/>
      </c>
      <c r="AA103">
        <f>IF(Wizards!$A$25="","",IF(OR(ISNUMBER(SEARCH(", "&amp;$B103&amp;", ", ", "&amp;INDEX('Form Responses'!$I$1:$Q$200,25,$A103)&amp;", ")),ISNUMBER(SEARCH(", "&amp;$B103&amp;", ", ", "&amp;INDEX('Form Responses'!$R$1:$R$200,25)&amp;", "))),1,""))</f>
        <v/>
      </c>
      <c r="AB103">
        <f>IF(D103=1,", "&amp;D$1,"")</f>
        <v/>
      </c>
      <c r="AC103">
        <f>IF(E103=1,", "&amp;E$1,"")</f>
        <v/>
      </c>
      <c r="AD103">
        <f>IF(F103=1,", "&amp;F$1,"")</f>
        <v/>
      </c>
      <c r="AE103">
        <f>IF(G103=1,", "&amp;G$1,"")</f>
        <v/>
      </c>
      <c r="AF103">
        <f>IF(H103=1,", "&amp;H$1,"")</f>
        <v/>
      </c>
      <c r="AG103">
        <f>IF(I103=1,", "&amp;I$1,"")</f>
        <v/>
      </c>
      <c r="AH103">
        <f>IF(J103=1,", "&amp;J$1,"")</f>
        <v/>
      </c>
      <c r="AI103">
        <f>IF(K103=1,", "&amp;K$1,"")</f>
        <v/>
      </c>
      <c r="AJ103">
        <f>IF(L103=1,", "&amp;L$1,"")</f>
        <v/>
      </c>
      <c r="AK103">
        <f>IF(M103=1,", "&amp;M$1,"")</f>
        <v/>
      </c>
      <c r="AL103">
        <f>IF(N103=1,", "&amp;N$1,"")</f>
        <v/>
      </c>
      <c r="AM103">
        <f>IF(O103=1,", "&amp;O$1,"")</f>
        <v/>
      </c>
      <c r="AN103">
        <f>IF(P103=1,", "&amp;P$1,"")</f>
        <v/>
      </c>
      <c r="AO103">
        <f>IF(Q103=1,", "&amp;Q$1,"")</f>
        <v/>
      </c>
      <c r="AP103">
        <f>IF(R103=1,", "&amp;R$1,"")</f>
        <v/>
      </c>
      <c r="AQ103">
        <f>IF(S103=1,", "&amp;S$1,"")</f>
        <v/>
      </c>
      <c r="AR103">
        <f>IF(T103=1,", "&amp;T$1,"")</f>
        <v/>
      </c>
      <c r="AS103">
        <f>IF(U103=1,", "&amp;U$1,"")</f>
        <v/>
      </c>
      <c r="AT103">
        <f>IF(V103=1,", "&amp;V$1,"")</f>
        <v/>
      </c>
      <c r="AU103">
        <f>IF(W103=1,", "&amp;W$1,"")</f>
        <v/>
      </c>
      <c r="AV103">
        <f>IF(X103=1,", "&amp;X$1,"")</f>
        <v/>
      </c>
      <c r="AW103">
        <f>IF(Y103=1,", "&amp;Y$1,"")</f>
        <v/>
      </c>
      <c r="AX103">
        <f>IF(Z103=1,", "&amp;Z$1,"")</f>
        <v/>
      </c>
      <c r="AY103">
        <f>IF(AA103=1,", "&amp;AA$1,"")</f>
        <v/>
      </c>
      <c r="AZ103">
        <f>MID($AB103&amp;$AC103&amp;$AD103&amp;$AE103&amp;$AF103&amp;$AG103&amp;$AH103&amp;$AI103&amp;$AJ103&amp;$AK103&amp;$AL103&amp;$AM103&amp;$AN103&amp;$AO103&amp;$AP103&amp;$AQ103&amp;$AR103&amp;$AS103&amp;$AT103&amp;$AU103&amp;$AV103&amp;$AW103&amp;$AX103&amp;$AY103,3,32767)</f>
        <v/>
      </c>
      <c r="BA103">
        <f>COUNT($D103:$AA103)</f>
        <v/>
      </c>
    </row>
    <row r="104">
      <c r="A104" t="n">
        <v>2</v>
      </c>
      <c r="B104" t="inlineStr">
        <is>
          <t>Wither and Bloom</t>
        </is>
      </c>
      <c r="C104" t="inlineStr">
        <is>
          <t>Necromancy</t>
        </is>
      </c>
      <c r="D104">
        <f>IF(Wizards!$A$2="","",IF(OR(ISNUMBER(SEARCH(", "&amp;$B104&amp;", ", ", "&amp;INDEX('Form Responses'!$I$1:$Q$200,2,$A104)&amp;", ")),ISNUMBER(SEARCH(", "&amp;$B104&amp;", ", ", "&amp;INDEX('Form Responses'!$R$1:$R$200,2)&amp;", "))),1,""))</f>
        <v/>
      </c>
      <c r="E104">
        <f>IF(Wizards!$A$3="","",IF(OR(ISNUMBER(SEARCH(", "&amp;$B104&amp;", ", ", "&amp;INDEX('Form Responses'!$I$1:$Q$200,3,$A104)&amp;", ")),ISNUMBER(SEARCH(", "&amp;$B104&amp;", ", ", "&amp;INDEX('Form Responses'!$R$1:$R$200,3)&amp;", "))),1,""))</f>
        <v/>
      </c>
      <c r="F104">
        <f>IF(Wizards!$A$4="","",IF(OR(ISNUMBER(SEARCH(", "&amp;$B104&amp;", ", ", "&amp;INDEX('Form Responses'!$I$1:$Q$200,4,$A104)&amp;", ")),ISNUMBER(SEARCH(", "&amp;$B104&amp;", ", ", "&amp;INDEX('Form Responses'!$R$1:$R$200,4)&amp;", "))),1,""))</f>
        <v/>
      </c>
      <c r="G104">
        <f>IF(Wizards!$A$5="","",IF(OR(ISNUMBER(SEARCH(", "&amp;$B104&amp;", ", ", "&amp;INDEX('Form Responses'!$I$1:$Q$200,5,$A104)&amp;", ")),ISNUMBER(SEARCH(", "&amp;$B104&amp;", ", ", "&amp;INDEX('Form Responses'!$R$1:$R$200,5)&amp;", "))),1,""))</f>
        <v/>
      </c>
      <c r="H104">
        <f>IF(Wizards!$A$6="","",IF(OR(ISNUMBER(SEARCH(", "&amp;$B104&amp;", ", ", "&amp;INDEX('Form Responses'!$I$1:$Q$200,6,$A104)&amp;", ")),ISNUMBER(SEARCH(", "&amp;$B104&amp;", ", ", "&amp;INDEX('Form Responses'!$R$1:$R$200,6)&amp;", "))),1,""))</f>
        <v/>
      </c>
      <c r="I104">
        <f>IF(Wizards!$A$7="","",IF(OR(ISNUMBER(SEARCH(", "&amp;$B104&amp;", ", ", "&amp;INDEX('Form Responses'!$I$1:$Q$200,7,$A104)&amp;", ")),ISNUMBER(SEARCH(", "&amp;$B104&amp;", ", ", "&amp;INDEX('Form Responses'!$R$1:$R$200,7)&amp;", "))),1,""))</f>
        <v/>
      </c>
      <c r="J104">
        <f>IF(Wizards!$A$8="","",IF(OR(ISNUMBER(SEARCH(", "&amp;$B104&amp;", ", ", "&amp;INDEX('Form Responses'!$I$1:$Q$200,8,$A104)&amp;", ")),ISNUMBER(SEARCH(", "&amp;$B104&amp;", ", ", "&amp;INDEX('Form Responses'!$R$1:$R$200,8)&amp;", "))),1,""))</f>
        <v/>
      </c>
      <c r="K104">
        <f>IF(Wizards!$A$9="","",IF(OR(ISNUMBER(SEARCH(", "&amp;$B104&amp;", ", ", "&amp;INDEX('Form Responses'!$I$1:$Q$200,9,$A104)&amp;", ")),ISNUMBER(SEARCH(", "&amp;$B104&amp;", ", ", "&amp;INDEX('Form Responses'!$R$1:$R$200,9)&amp;", "))),1,""))</f>
        <v/>
      </c>
      <c r="L104">
        <f>IF(Wizards!$A$10="","",IF(OR(ISNUMBER(SEARCH(", "&amp;$B104&amp;", ", ", "&amp;INDEX('Form Responses'!$I$1:$Q$200,10,$A104)&amp;", ")),ISNUMBER(SEARCH(", "&amp;$B104&amp;", ", ", "&amp;INDEX('Form Responses'!$R$1:$R$200,10)&amp;", "))),1,""))</f>
        <v/>
      </c>
      <c r="M104">
        <f>IF(Wizards!$A$11="","",IF(OR(ISNUMBER(SEARCH(", "&amp;$B104&amp;", ", ", "&amp;INDEX('Form Responses'!$I$1:$Q$200,11,$A104)&amp;", ")),ISNUMBER(SEARCH(", "&amp;$B104&amp;", ", ", "&amp;INDEX('Form Responses'!$R$1:$R$200,11)&amp;", "))),1,""))</f>
        <v/>
      </c>
      <c r="N104">
        <f>IF(Wizards!$A$12="","",IF(OR(ISNUMBER(SEARCH(", "&amp;$B104&amp;", ", ", "&amp;INDEX('Form Responses'!$I$1:$Q$200,12,$A104)&amp;", ")),ISNUMBER(SEARCH(", "&amp;$B104&amp;", ", ", "&amp;INDEX('Form Responses'!$R$1:$R$200,12)&amp;", "))),1,""))</f>
        <v/>
      </c>
      <c r="O104">
        <f>IF(Wizards!$A$13="","",IF(OR(ISNUMBER(SEARCH(", "&amp;$B104&amp;", ", ", "&amp;INDEX('Form Responses'!$I$1:$Q$200,13,$A104)&amp;", ")),ISNUMBER(SEARCH(", "&amp;$B104&amp;", ", ", "&amp;INDEX('Form Responses'!$R$1:$R$200,13)&amp;", "))),1,""))</f>
        <v/>
      </c>
      <c r="P104">
        <f>IF(Wizards!$A$14="","",IF(OR(ISNUMBER(SEARCH(", "&amp;$B104&amp;", ", ", "&amp;INDEX('Form Responses'!$I$1:$Q$200,14,$A104)&amp;", ")),ISNUMBER(SEARCH(", "&amp;$B104&amp;", ", ", "&amp;INDEX('Form Responses'!$R$1:$R$200,14)&amp;", "))),1,""))</f>
        <v/>
      </c>
      <c r="Q104">
        <f>IF(Wizards!$A$15="","",IF(OR(ISNUMBER(SEARCH(", "&amp;$B104&amp;", ", ", "&amp;INDEX('Form Responses'!$I$1:$Q$200,15,$A104)&amp;", ")),ISNUMBER(SEARCH(", "&amp;$B104&amp;", ", ", "&amp;INDEX('Form Responses'!$R$1:$R$200,15)&amp;", "))),1,""))</f>
        <v/>
      </c>
      <c r="R104">
        <f>IF(Wizards!$A$16="","",IF(OR(ISNUMBER(SEARCH(", "&amp;$B104&amp;", ", ", "&amp;INDEX('Form Responses'!$I$1:$Q$200,16,$A104)&amp;", ")),ISNUMBER(SEARCH(", "&amp;$B104&amp;", ", ", "&amp;INDEX('Form Responses'!$R$1:$R$200,16)&amp;", "))),1,""))</f>
        <v/>
      </c>
      <c r="S104">
        <f>IF(Wizards!$A$17="","",IF(OR(ISNUMBER(SEARCH(", "&amp;$B104&amp;", ", ", "&amp;INDEX('Form Responses'!$I$1:$Q$200,17,$A104)&amp;", ")),ISNUMBER(SEARCH(", "&amp;$B104&amp;", ", ", "&amp;INDEX('Form Responses'!$R$1:$R$200,17)&amp;", "))),1,""))</f>
        <v/>
      </c>
      <c r="T104">
        <f>IF(Wizards!$A$18="","",IF(OR(ISNUMBER(SEARCH(", "&amp;$B104&amp;", ", ", "&amp;INDEX('Form Responses'!$I$1:$Q$200,18,$A104)&amp;", ")),ISNUMBER(SEARCH(", "&amp;$B104&amp;", ", ", "&amp;INDEX('Form Responses'!$R$1:$R$200,18)&amp;", "))),1,""))</f>
        <v/>
      </c>
      <c r="U104">
        <f>IF(Wizards!$A$19="","",IF(OR(ISNUMBER(SEARCH(", "&amp;$B104&amp;", ", ", "&amp;INDEX('Form Responses'!$I$1:$Q$200,19,$A104)&amp;", ")),ISNUMBER(SEARCH(", "&amp;$B104&amp;", ", ", "&amp;INDEX('Form Responses'!$R$1:$R$200,19)&amp;", "))),1,""))</f>
        <v/>
      </c>
      <c r="V104">
        <f>IF(Wizards!$A$20="","",IF(OR(ISNUMBER(SEARCH(", "&amp;$B104&amp;", ", ", "&amp;INDEX('Form Responses'!$I$1:$Q$200,20,$A104)&amp;", ")),ISNUMBER(SEARCH(", "&amp;$B104&amp;", ", ", "&amp;INDEX('Form Responses'!$R$1:$R$200,20)&amp;", "))),1,""))</f>
        <v/>
      </c>
      <c r="W104">
        <f>IF(Wizards!$A$21="","",IF(OR(ISNUMBER(SEARCH(", "&amp;$B104&amp;", ", ", "&amp;INDEX('Form Responses'!$I$1:$Q$200,21,$A104)&amp;", ")),ISNUMBER(SEARCH(", "&amp;$B104&amp;", ", ", "&amp;INDEX('Form Responses'!$R$1:$R$200,21)&amp;", "))),1,""))</f>
        <v/>
      </c>
      <c r="X104">
        <f>IF(Wizards!$A$22="","",IF(OR(ISNUMBER(SEARCH(", "&amp;$B104&amp;", ", ", "&amp;INDEX('Form Responses'!$I$1:$Q$200,22,$A104)&amp;", ")),ISNUMBER(SEARCH(", "&amp;$B104&amp;", ", ", "&amp;INDEX('Form Responses'!$R$1:$R$200,22)&amp;", "))),1,""))</f>
        <v/>
      </c>
      <c r="Y104">
        <f>IF(Wizards!$A$23="","",IF(OR(ISNUMBER(SEARCH(", "&amp;$B104&amp;", ", ", "&amp;INDEX('Form Responses'!$I$1:$Q$200,23,$A104)&amp;", ")),ISNUMBER(SEARCH(", "&amp;$B104&amp;", ", ", "&amp;INDEX('Form Responses'!$R$1:$R$200,23)&amp;", "))),1,""))</f>
        <v/>
      </c>
      <c r="Z104">
        <f>IF(Wizards!$A$24="","",IF(OR(ISNUMBER(SEARCH(", "&amp;$B104&amp;", ", ", "&amp;INDEX('Form Responses'!$I$1:$Q$200,24,$A104)&amp;", ")),ISNUMBER(SEARCH(", "&amp;$B104&amp;", ", ", "&amp;INDEX('Form Responses'!$R$1:$R$200,24)&amp;", "))),1,""))</f>
        <v/>
      </c>
      <c r="AA104">
        <f>IF(Wizards!$A$25="","",IF(OR(ISNUMBER(SEARCH(", "&amp;$B104&amp;", ", ", "&amp;INDEX('Form Responses'!$I$1:$Q$200,25,$A104)&amp;", ")),ISNUMBER(SEARCH(", "&amp;$B104&amp;", ", ", "&amp;INDEX('Form Responses'!$R$1:$R$200,25)&amp;", "))),1,""))</f>
        <v/>
      </c>
      <c r="AB104">
        <f>IF(D104=1,", "&amp;D$1,"")</f>
        <v/>
      </c>
      <c r="AC104">
        <f>IF(E104=1,", "&amp;E$1,"")</f>
        <v/>
      </c>
      <c r="AD104">
        <f>IF(F104=1,", "&amp;F$1,"")</f>
        <v/>
      </c>
      <c r="AE104">
        <f>IF(G104=1,", "&amp;G$1,"")</f>
        <v/>
      </c>
      <c r="AF104">
        <f>IF(H104=1,", "&amp;H$1,"")</f>
        <v/>
      </c>
      <c r="AG104">
        <f>IF(I104=1,", "&amp;I$1,"")</f>
        <v/>
      </c>
      <c r="AH104">
        <f>IF(J104=1,", "&amp;J$1,"")</f>
        <v/>
      </c>
      <c r="AI104">
        <f>IF(K104=1,", "&amp;K$1,"")</f>
        <v/>
      </c>
      <c r="AJ104">
        <f>IF(L104=1,", "&amp;L$1,"")</f>
        <v/>
      </c>
      <c r="AK104">
        <f>IF(M104=1,", "&amp;M$1,"")</f>
        <v/>
      </c>
      <c r="AL104">
        <f>IF(N104=1,", "&amp;N$1,"")</f>
        <v/>
      </c>
      <c r="AM104">
        <f>IF(O104=1,", "&amp;O$1,"")</f>
        <v/>
      </c>
      <c r="AN104">
        <f>IF(P104=1,", "&amp;P$1,"")</f>
        <v/>
      </c>
      <c r="AO104">
        <f>IF(Q104=1,", "&amp;Q$1,"")</f>
        <v/>
      </c>
      <c r="AP104">
        <f>IF(R104=1,", "&amp;R$1,"")</f>
        <v/>
      </c>
      <c r="AQ104">
        <f>IF(S104=1,", "&amp;S$1,"")</f>
        <v/>
      </c>
      <c r="AR104">
        <f>IF(T104=1,", "&amp;T$1,"")</f>
        <v/>
      </c>
      <c r="AS104">
        <f>IF(U104=1,", "&amp;U$1,"")</f>
        <v/>
      </c>
      <c r="AT104">
        <f>IF(V104=1,", "&amp;V$1,"")</f>
        <v/>
      </c>
      <c r="AU104">
        <f>IF(W104=1,", "&amp;W$1,"")</f>
        <v/>
      </c>
      <c r="AV104">
        <f>IF(X104=1,", "&amp;X$1,"")</f>
        <v/>
      </c>
      <c r="AW104">
        <f>IF(Y104=1,", "&amp;Y$1,"")</f>
        <v/>
      </c>
      <c r="AX104">
        <f>IF(Z104=1,", "&amp;Z$1,"")</f>
        <v/>
      </c>
      <c r="AY104">
        <f>IF(AA104=1,", "&amp;AA$1,"")</f>
        <v/>
      </c>
      <c r="AZ104">
        <f>MID($AB104&amp;$AC104&amp;$AD104&amp;$AE104&amp;$AF104&amp;$AG104&amp;$AH104&amp;$AI104&amp;$AJ104&amp;$AK104&amp;$AL104&amp;$AM104&amp;$AN104&amp;$AO104&amp;$AP104&amp;$AQ104&amp;$AR104&amp;$AS104&amp;$AT104&amp;$AU104&amp;$AV104&amp;$AW104&amp;$AX104&amp;$AY104,3,32767)</f>
        <v/>
      </c>
      <c r="BA104">
        <f>COUNT($D104:$AA104)</f>
        <v/>
      </c>
    </row>
    <row r="105">
      <c r="A105" t="n">
        <v>3</v>
      </c>
      <c r="B105" t="inlineStr">
        <is>
          <t>Animate Dead</t>
        </is>
      </c>
      <c r="C105" t="inlineStr">
        <is>
          <t>Necromancy</t>
        </is>
      </c>
      <c r="D105">
        <f>IF(Wizards!$A$2="","",IF(OR(ISNUMBER(SEARCH(", "&amp;$B105&amp;", ", ", "&amp;INDEX('Form Responses'!$I$1:$Q$200,2,$A105)&amp;", ")),ISNUMBER(SEARCH(", "&amp;$B105&amp;", ", ", "&amp;INDEX('Form Responses'!$R$1:$R$200,2)&amp;", "))),1,""))</f>
        <v/>
      </c>
      <c r="E105">
        <f>IF(Wizards!$A$3="","",IF(OR(ISNUMBER(SEARCH(", "&amp;$B105&amp;", ", ", "&amp;INDEX('Form Responses'!$I$1:$Q$200,3,$A105)&amp;", ")),ISNUMBER(SEARCH(", "&amp;$B105&amp;", ", ", "&amp;INDEX('Form Responses'!$R$1:$R$200,3)&amp;", "))),1,""))</f>
        <v/>
      </c>
      <c r="F105">
        <f>IF(Wizards!$A$4="","",IF(OR(ISNUMBER(SEARCH(", "&amp;$B105&amp;", ", ", "&amp;INDEX('Form Responses'!$I$1:$Q$200,4,$A105)&amp;", ")),ISNUMBER(SEARCH(", "&amp;$B105&amp;", ", ", "&amp;INDEX('Form Responses'!$R$1:$R$200,4)&amp;", "))),1,""))</f>
        <v/>
      </c>
      <c r="G105">
        <f>IF(Wizards!$A$5="","",IF(OR(ISNUMBER(SEARCH(", "&amp;$B105&amp;", ", ", "&amp;INDEX('Form Responses'!$I$1:$Q$200,5,$A105)&amp;", ")),ISNUMBER(SEARCH(", "&amp;$B105&amp;", ", ", "&amp;INDEX('Form Responses'!$R$1:$R$200,5)&amp;", "))),1,""))</f>
        <v/>
      </c>
      <c r="H105">
        <f>IF(Wizards!$A$6="","",IF(OR(ISNUMBER(SEARCH(", "&amp;$B105&amp;", ", ", "&amp;INDEX('Form Responses'!$I$1:$Q$200,6,$A105)&amp;", ")),ISNUMBER(SEARCH(", "&amp;$B105&amp;", ", ", "&amp;INDEX('Form Responses'!$R$1:$R$200,6)&amp;", "))),1,""))</f>
        <v/>
      </c>
      <c r="I105">
        <f>IF(Wizards!$A$7="","",IF(OR(ISNUMBER(SEARCH(", "&amp;$B105&amp;", ", ", "&amp;INDEX('Form Responses'!$I$1:$Q$200,7,$A105)&amp;", ")),ISNUMBER(SEARCH(", "&amp;$B105&amp;", ", ", "&amp;INDEX('Form Responses'!$R$1:$R$200,7)&amp;", "))),1,""))</f>
        <v/>
      </c>
      <c r="J105">
        <f>IF(Wizards!$A$8="","",IF(OR(ISNUMBER(SEARCH(", "&amp;$B105&amp;", ", ", "&amp;INDEX('Form Responses'!$I$1:$Q$200,8,$A105)&amp;", ")),ISNUMBER(SEARCH(", "&amp;$B105&amp;", ", ", "&amp;INDEX('Form Responses'!$R$1:$R$200,8)&amp;", "))),1,""))</f>
        <v/>
      </c>
      <c r="K105">
        <f>IF(Wizards!$A$9="","",IF(OR(ISNUMBER(SEARCH(", "&amp;$B105&amp;", ", ", "&amp;INDEX('Form Responses'!$I$1:$Q$200,9,$A105)&amp;", ")),ISNUMBER(SEARCH(", "&amp;$B105&amp;", ", ", "&amp;INDEX('Form Responses'!$R$1:$R$200,9)&amp;", "))),1,""))</f>
        <v/>
      </c>
      <c r="L105">
        <f>IF(Wizards!$A$10="","",IF(OR(ISNUMBER(SEARCH(", "&amp;$B105&amp;", ", ", "&amp;INDEX('Form Responses'!$I$1:$Q$200,10,$A105)&amp;", ")),ISNUMBER(SEARCH(", "&amp;$B105&amp;", ", ", "&amp;INDEX('Form Responses'!$R$1:$R$200,10)&amp;", "))),1,""))</f>
        <v/>
      </c>
      <c r="M105">
        <f>IF(Wizards!$A$11="","",IF(OR(ISNUMBER(SEARCH(", "&amp;$B105&amp;", ", ", "&amp;INDEX('Form Responses'!$I$1:$Q$200,11,$A105)&amp;", ")),ISNUMBER(SEARCH(", "&amp;$B105&amp;", ", ", "&amp;INDEX('Form Responses'!$R$1:$R$200,11)&amp;", "))),1,""))</f>
        <v/>
      </c>
      <c r="N105">
        <f>IF(Wizards!$A$12="","",IF(OR(ISNUMBER(SEARCH(", "&amp;$B105&amp;", ", ", "&amp;INDEX('Form Responses'!$I$1:$Q$200,12,$A105)&amp;", ")),ISNUMBER(SEARCH(", "&amp;$B105&amp;", ", ", "&amp;INDEX('Form Responses'!$R$1:$R$200,12)&amp;", "))),1,""))</f>
        <v/>
      </c>
      <c r="O105">
        <f>IF(Wizards!$A$13="","",IF(OR(ISNUMBER(SEARCH(", "&amp;$B105&amp;", ", ", "&amp;INDEX('Form Responses'!$I$1:$Q$200,13,$A105)&amp;", ")),ISNUMBER(SEARCH(", "&amp;$B105&amp;", ", ", "&amp;INDEX('Form Responses'!$R$1:$R$200,13)&amp;", "))),1,""))</f>
        <v/>
      </c>
      <c r="P105">
        <f>IF(Wizards!$A$14="","",IF(OR(ISNUMBER(SEARCH(", "&amp;$B105&amp;", ", ", "&amp;INDEX('Form Responses'!$I$1:$Q$200,14,$A105)&amp;", ")),ISNUMBER(SEARCH(", "&amp;$B105&amp;", ", ", "&amp;INDEX('Form Responses'!$R$1:$R$200,14)&amp;", "))),1,""))</f>
        <v/>
      </c>
      <c r="Q105">
        <f>IF(Wizards!$A$15="","",IF(OR(ISNUMBER(SEARCH(", "&amp;$B105&amp;", ", ", "&amp;INDEX('Form Responses'!$I$1:$Q$200,15,$A105)&amp;", ")),ISNUMBER(SEARCH(", "&amp;$B105&amp;", ", ", "&amp;INDEX('Form Responses'!$R$1:$R$200,15)&amp;", "))),1,""))</f>
        <v/>
      </c>
      <c r="R105">
        <f>IF(Wizards!$A$16="","",IF(OR(ISNUMBER(SEARCH(", "&amp;$B105&amp;", ", ", "&amp;INDEX('Form Responses'!$I$1:$Q$200,16,$A105)&amp;", ")),ISNUMBER(SEARCH(", "&amp;$B105&amp;", ", ", "&amp;INDEX('Form Responses'!$R$1:$R$200,16)&amp;", "))),1,""))</f>
        <v/>
      </c>
      <c r="S105">
        <f>IF(Wizards!$A$17="","",IF(OR(ISNUMBER(SEARCH(", "&amp;$B105&amp;", ", ", "&amp;INDEX('Form Responses'!$I$1:$Q$200,17,$A105)&amp;", ")),ISNUMBER(SEARCH(", "&amp;$B105&amp;", ", ", "&amp;INDEX('Form Responses'!$R$1:$R$200,17)&amp;", "))),1,""))</f>
        <v/>
      </c>
      <c r="T105">
        <f>IF(Wizards!$A$18="","",IF(OR(ISNUMBER(SEARCH(", "&amp;$B105&amp;", ", ", "&amp;INDEX('Form Responses'!$I$1:$Q$200,18,$A105)&amp;", ")),ISNUMBER(SEARCH(", "&amp;$B105&amp;", ", ", "&amp;INDEX('Form Responses'!$R$1:$R$200,18)&amp;", "))),1,""))</f>
        <v/>
      </c>
      <c r="U105">
        <f>IF(Wizards!$A$19="","",IF(OR(ISNUMBER(SEARCH(", "&amp;$B105&amp;", ", ", "&amp;INDEX('Form Responses'!$I$1:$Q$200,19,$A105)&amp;", ")),ISNUMBER(SEARCH(", "&amp;$B105&amp;", ", ", "&amp;INDEX('Form Responses'!$R$1:$R$200,19)&amp;", "))),1,""))</f>
        <v/>
      </c>
      <c r="V105">
        <f>IF(Wizards!$A$20="","",IF(OR(ISNUMBER(SEARCH(", "&amp;$B105&amp;", ", ", "&amp;INDEX('Form Responses'!$I$1:$Q$200,20,$A105)&amp;", ")),ISNUMBER(SEARCH(", "&amp;$B105&amp;", ", ", "&amp;INDEX('Form Responses'!$R$1:$R$200,20)&amp;", "))),1,""))</f>
        <v/>
      </c>
      <c r="W105">
        <f>IF(Wizards!$A$21="","",IF(OR(ISNUMBER(SEARCH(", "&amp;$B105&amp;", ", ", "&amp;INDEX('Form Responses'!$I$1:$Q$200,21,$A105)&amp;", ")),ISNUMBER(SEARCH(", "&amp;$B105&amp;", ", ", "&amp;INDEX('Form Responses'!$R$1:$R$200,21)&amp;", "))),1,""))</f>
        <v/>
      </c>
      <c r="X105">
        <f>IF(Wizards!$A$22="","",IF(OR(ISNUMBER(SEARCH(", "&amp;$B105&amp;", ", ", "&amp;INDEX('Form Responses'!$I$1:$Q$200,22,$A105)&amp;", ")),ISNUMBER(SEARCH(", "&amp;$B105&amp;", ", ", "&amp;INDEX('Form Responses'!$R$1:$R$200,22)&amp;", "))),1,""))</f>
        <v/>
      </c>
      <c r="Y105">
        <f>IF(Wizards!$A$23="","",IF(OR(ISNUMBER(SEARCH(", "&amp;$B105&amp;", ", ", "&amp;INDEX('Form Responses'!$I$1:$Q$200,23,$A105)&amp;", ")),ISNUMBER(SEARCH(", "&amp;$B105&amp;", ", ", "&amp;INDEX('Form Responses'!$R$1:$R$200,23)&amp;", "))),1,""))</f>
        <v/>
      </c>
      <c r="Z105">
        <f>IF(Wizards!$A$24="","",IF(OR(ISNUMBER(SEARCH(", "&amp;$B105&amp;", ", ", "&amp;INDEX('Form Responses'!$I$1:$Q$200,24,$A105)&amp;", ")),ISNUMBER(SEARCH(", "&amp;$B105&amp;", ", ", "&amp;INDEX('Form Responses'!$R$1:$R$200,24)&amp;", "))),1,""))</f>
        <v/>
      </c>
      <c r="AA105">
        <f>IF(Wizards!$A$25="","",IF(OR(ISNUMBER(SEARCH(", "&amp;$B105&amp;", ", ", "&amp;INDEX('Form Responses'!$I$1:$Q$200,25,$A105)&amp;", ")),ISNUMBER(SEARCH(", "&amp;$B105&amp;", ", ", "&amp;INDEX('Form Responses'!$R$1:$R$200,25)&amp;", "))),1,""))</f>
        <v/>
      </c>
      <c r="AB105">
        <f>IF(D105=1,", "&amp;D$1,"")</f>
        <v/>
      </c>
      <c r="AC105">
        <f>IF(E105=1,", "&amp;E$1,"")</f>
        <v/>
      </c>
      <c r="AD105">
        <f>IF(F105=1,", "&amp;F$1,"")</f>
        <v/>
      </c>
      <c r="AE105">
        <f>IF(G105=1,", "&amp;G$1,"")</f>
        <v/>
      </c>
      <c r="AF105">
        <f>IF(H105=1,", "&amp;H$1,"")</f>
        <v/>
      </c>
      <c r="AG105">
        <f>IF(I105=1,", "&amp;I$1,"")</f>
        <v/>
      </c>
      <c r="AH105">
        <f>IF(J105=1,", "&amp;J$1,"")</f>
        <v/>
      </c>
      <c r="AI105">
        <f>IF(K105=1,", "&amp;K$1,"")</f>
        <v/>
      </c>
      <c r="AJ105">
        <f>IF(L105=1,", "&amp;L$1,"")</f>
        <v/>
      </c>
      <c r="AK105">
        <f>IF(M105=1,", "&amp;M$1,"")</f>
        <v/>
      </c>
      <c r="AL105">
        <f>IF(N105=1,", "&amp;N$1,"")</f>
        <v/>
      </c>
      <c r="AM105">
        <f>IF(O105=1,", "&amp;O$1,"")</f>
        <v/>
      </c>
      <c r="AN105">
        <f>IF(P105=1,", "&amp;P$1,"")</f>
        <v/>
      </c>
      <c r="AO105">
        <f>IF(Q105=1,", "&amp;Q$1,"")</f>
        <v/>
      </c>
      <c r="AP105">
        <f>IF(R105=1,", "&amp;R$1,"")</f>
        <v/>
      </c>
      <c r="AQ105">
        <f>IF(S105=1,", "&amp;S$1,"")</f>
        <v/>
      </c>
      <c r="AR105">
        <f>IF(T105=1,", "&amp;T$1,"")</f>
        <v/>
      </c>
      <c r="AS105">
        <f>IF(U105=1,", "&amp;U$1,"")</f>
        <v/>
      </c>
      <c r="AT105">
        <f>IF(V105=1,", "&amp;V$1,"")</f>
        <v/>
      </c>
      <c r="AU105">
        <f>IF(W105=1,", "&amp;W$1,"")</f>
        <v/>
      </c>
      <c r="AV105">
        <f>IF(X105=1,", "&amp;X$1,"")</f>
        <v/>
      </c>
      <c r="AW105">
        <f>IF(Y105=1,", "&amp;Y$1,"")</f>
        <v/>
      </c>
      <c r="AX105">
        <f>IF(Z105=1,", "&amp;Z$1,"")</f>
        <v/>
      </c>
      <c r="AY105">
        <f>IF(AA105=1,", "&amp;AA$1,"")</f>
        <v/>
      </c>
      <c r="AZ105">
        <f>MID($AB105&amp;$AC105&amp;$AD105&amp;$AE105&amp;$AF105&amp;$AG105&amp;$AH105&amp;$AI105&amp;$AJ105&amp;$AK105&amp;$AL105&amp;$AM105&amp;$AN105&amp;$AO105&amp;$AP105&amp;$AQ105&amp;$AR105&amp;$AS105&amp;$AT105&amp;$AU105&amp;$AV105&amp;$AW105&amp;$AX105&amp;$AY105,3,32767)</f>
        <v/>
      </c>
      <c r="BA105">
        <f>COUNT($D105:$AA105)</f>
        <v/>
      </c>
    </row>
    <row r="106">
      <c r="A106" t="n">
        <v>3</v>
      </c>
      <c r="B106" t="inlineStr">
        <is>
          <t>Antagonize</t>
        </is>
      </c>
      <c r="C106" t="inlineStr">
        <is>
          <t>Enchantment</t>
        </is>
      </c>
      <c r="D106">
        <f>IF(Wizards!$A$2="","",IF(OR(ISNUMBER(SEARCH(", "&amp;$B106&amp;", ", ", "&amp;INDEX('Form Responses'!$I$1:$Q$200,2,$A106)&amp;", ")),ISNUMBER(SEARCH(", "&amp;$B106&amp;", ", ", "&amp;INDEX('Form Responses'!$R$1:$R$200,2)&amp;", "))),1,""))</f>
        <v/>
      </c>
      <c r="E106">
        <f>IF(Wizards!$A$3="","",IF(OR(ISNUMBER(SEARCH(", "&amp;$B106&amp;", ", ", "&amp;INDEX('Form Responses'!$I$1:$Q$200,3,$A106)&amp;", ")),ISNUMBER(SEARCH(", "&amp;$B106&amp;", ", ", "&amp;INDEX('Form Responses'!$R$1:$R$200,3)&amp;", "))),1,""))</f>
        <v/>
      </c>
      <c r="F106">
        <f>IF(Wizards!$A$4="","",IF(OR(ISNUMBER(SEARCH(", "&amp;$B106&amp;", ", ", "&amp;INDEX('Form Responses'!$I$1:$Q$200,4,$A106)&amp;", ")),ISNUMBER(SEARCH(", "&amp;$B106&amp;", ", ", "&amp;INDEX('Form Responses'!$R$1:$R$200,4)&amp;", "))),1,""))</f>
        <v/>
      </c>
      <c r="G106">
        <f>IF(Wizards!$A$5="","",IF(OR(ISNUMBER(SEARCH(", "&amp;$B106&amp;", ", ", "&amp;INDEX('Form Responses'!$I$1:$Q$200,5,$A106)&amp;", ")),ISNUMBER(SEARCH(", "&amp;$B106&amp;", ", ", "&amp;INDEX('Form Responses'!$R$1:$R$200,5)&amp;", "))),1,""))</f>
        <v/>
      </c>
      <c r="H106">
        <f>IF(Wizards!$A$6="","",IF(OR(ISNUMBER(SEARCH(", "&amp;$B106&amp;", ", ", "&amp;INDEX('Form Responses'!$I$1:$Q$200,6,$A106)&amp;", ")),ISNUMBER(SEARCH(", "&amp;$B106&amp;", ", ", "&amp;INDEX('Form Responses'!$R$1:$R$200,6)&amp;", "))),1,""))</f>
        <v/>
      </c>
      <c r="I106">
        <f>IF(Wizards!$A$7="","",IF(OR(ISNUMBER(SEARCH(", "&amp;$B106&amp;", ", ", "&amp;INDEX('Form Responses'!$I$1:$Q$200,7,$A106)&amp;", ")),ISNUMBER(SEARCH(", "&amp;$B106&amp;", ", ", "&amp;INDEX('Form Responses'!$R$1:$R$200,7)&amp;", "))),1,""))</f>
        <v/>
      </c>
      <c r="J106">
        <f>IF(Wizards!$A$8="","",IF(OR(ISNUMBER(SEARCH(", "&amp;$B106&amp;", ", ", "&amp;INDEX('Form Responses'!$I$1:$Q$200,8,$A106)&amp;", ")),ISNUMBER(SEARCH(", "&amp;$B106&amp;", ", ", "&amp;INDEX('Form Responses'!$R$1:$R$200,8)&amp;", "))),1,""))</f>
        <v/>
      </c>
      <c r="K106">
        <f>IF(Wizards!$A$9="","",IF(OR(ISNUMBER(SEARCH(", "&amp;$B106&amp;", ", ", "&amp;INDEX('Form Responses'!$I$1:$Q$200,9,$A106)&amp;", ")),ISNUMBER(SEARCH(", "&amp;$B106&amp;", ", ", "&amp;INDEX('Form Responses'!$R$1:$R$200,9)&amp;", "))),1,""))</f>
        <v/>
      </c>
      <c r="L106">
        <f>IF(Wizards!$A$10="","",IF(OR(ISNUMBER(SEARCH(", "&amp;$B106&amp;", ", ", "&amp;INDEX('Form Responses'!$I$1:$Q$200,10,$A106)&amp;", ")),ISNUMBER(SEARCH(", "&amp;$B106&amp;", ", ", "&amp;INDEX('Form Responses'!$R$1:$R$200,10)&amp;", "))),1,""))</f>
        <v/>
      </c>
      <c r="M106">
        <f>IF(Wizards!$A$11="","",IF(OR(ISNUMBER(SEARCH(", "&amp;$B106&amp;", ", ", "&amp;INDEX('Form Responses'!$I$1:$Q$200,11,$A106)&amp;", ")),ISNUMBER(SEARCH(", "&amp;$B106&amp;", ", ", "&amp;INDEX('Form Responses'!$R$1:$R$200,11)&amp;", "))),1,""))</f>
        <v/>
      </c>
      <c r="N106">
        <f>IF(Wizards!$A$12="","",IF(OR(ISNUMBER(SEARCH(", "&amp;$B106&amp;", ", ", "&amp;INDEX('Form Responses'!$I$1:$Q$200,12,$A106)&amp;", ")),ISNUMBER(SEARCH(", "&amp;$B106&amp;", ", ", "&amp;INDEX('Form Responses'!$R$1:$R$200,12)&amp;", "))),1,""))</f>
        <v/>
      </c>
      <c r="O106">
        <f>IF(Wizards!$A$13="","",IF(OR(ISNUMBER(SEARCH(", "&amp;$B106&amp;", ", ", "&amp;INDEX('Form Responses'!$I$1:$Q$200,13,$A106)&amp;", ")),ISNUMBER(SEARCH(", "&amp;$B106&amp;", ", ", "&amp;INDEX('Form Responses'!$R$1:$R$200,13)&amp;", "))),1,""))</f>
        <v/>
      </c>
      <c r="P106">
        <f>IF(Wizards!$A$14="","",IF(OR(ISNUMBER(SEARCH(", "&amp;$B106&amp;", ", ", "&amp;INDEX('Form Responses'!$I$1:$Q$200,14,$A106)&amp;", ")),ISNUMBER(SEARCH(", "&amp;$B106&amp;", ", ", "&amp;INDEX('Form Responses'!$R$1:$R$200,14)&amp;", "))),1,""))</f>
        <v/>
      </c>
      <c r="Q106">
        <f>IF(Wizards!$A$15="","",IF(OR(ISNUMBER(SEARCH(", "&amp;$B106&amp;", ", ", "&amp;INDEX('Form Responses'!$I$1:$Q$200,15,$A106)&amp;", ")),ISNUMBER(SEARCH(", "&amp;$B106&amp;", ", ", "&amp;INDEX('Form Responses'!$R$1:$R$200,15)&amp;", "))),1,""))</f>
        <v/>
      </c>
      <c r="R106">
        <f>IF(Wizards!$A$16="","",IF(OR(ISNUMBER(SEARCH(", "&amp;$B106&amp;", ", ", "&amp;INDEX('Form Responses'!$I$1:$Q$200,16,$A106)&amp;", ")),ISNUMBER(SEARCH(", "&amp;$B106&amp;", ", ", "&amp;INDEX('Form Responses'!$R$1:$R$200,16)&amp;", "))),1,""))</f>
        <v/>
      </c>
      <c r="S106">
        <f>IF(Wizards!$A$17="","",IF(OR(ISNUMBER(SEARCH(", "&amp;$B106&amp;", ", ", "&amp;INDEX('Form Responses'!$I$1:$Q$200,17,$A106)&amp;", ")),ISNUMBER(SEARCH(", "&amp;$B106&amp;", ", ", "&amp;INDEX('Form Responses'!$R$1:$R$200,17)&amp;", "))),1,""))</f>
        <v/>
      </c>
      <c r="T106">
        <f>IF(Wizards!$A$18="","",IF(OR(ISNUMBER(SEARCH(", "&amp;$B106&amp;", ", ", "&amp;INDEX('Form Responses'!$I$1:$Q$200,18,$A106)&amp;", ")),ISNUMBER(SEARCH(", "&amp;$B106&amp;", ", ", "&amp;INDEX('Form Responses'!$R$1:$R$200,18)&amp;", "))),1,""))</f>
        <v/>
      </c>
      <c r="U106">
        <f>IF(Wizards!$A$19="","",IF(OR(ISNUMBER(SEARCH(", "&amp;$B106&amp;", ", ", "&amp;INDEX('Form Responses'!$I$1:$Q$200,19,$A106)&amp;", ")),ISNUMBER(SEARCH(", "&amp;$B106&amp;", ", ", "&amp;INDEX('Form Responses'!$R$1:$R$200,19)&amp;", "))),1,""))</f>
        <v/>
      </c>
      <c r="V106">
        <f>IF(Wizards!$A$20="","",IF(OR(ISNUMBER(SEARCH(", "&amp;$B106&amp;", ", ", "&amp;INDEX('Form Responses'!$I$1:$Q$200,20,$A106)&amp;", ")),ISNUMBER(SEARCH(", "&amp;$B106&amp;", ", ", "&amp;INDEX('Form Responses'!$R$1:$R$200,20)&amp;", "))),1,""))</f>
        <v/>
      </c>
      <c r="W106">
        <f>IF(Wizards!$A$21="","",IF(OR(ISNUMBER(SEARCH(", "&amp;$B106&amp;", ", ", "&amp;INDEX('Form Responses'!$I$1:$Q$200,21,$A106)&amp;", ")),ISNUMBER(SEARCH(", "&amp;$B106&amp;", ", ", "&amp;INDEX('Form Responses'!$R$1:$R$200,21)&amp;", "))),1,""))</f>
        <v/>
      </c>
      <c r="X106">
        <f>IF(Wizards!$A$22="","",IF(OR(ISNUMBER(SEARCH(", "&amp;$B106&amp;", ", ", "&amp;INDEX('Form Responses'!$I$1:$Q$200,22,$A106)&amp;", ")),ISNUMBER(SEARCH(", "&amp;$B106&amp;", ", ", "&amp;INDEX('Form Responses'!$R$1:$R$200,22)&amp;", "))),1,""))</f>
        <v/>
      </c>
      <c r="Y106">
        <f>IF(Wizards!$A$23="","",IF(OR(ISNUMBER(SEARCH(", "&amp;$B106&amp;", ", ", "&amp;INDEX('Form Responses'!$I$1:$Q$200,23,$A106)&amp;", ")),ISNUMBER(SEARCH(", "&amp;$B106&amp;", ", ", "&amp;INDEX('Form Responses'!$R$1:$R$200,23)&amp;", "))),1,""))</f>
        <v/>
      </c>
      <c r="Z106">
        <f>IF(Wizards!$A$24="","",IF(OR(ISNUMBER(SEARCH(", "&amp;$B106&amp;", ", ", "&amp;INDEX('Form Responses'!$I$1:$Q$200,24,$A106)&amp;", ")),ISNUMBER(SEARCH(", "&amp;$B106&amp;", ", ", "&amp;INDEX('Form Responses'!$R$1:$R$200,24)&amp;", "))),1,""))</f>
        <v/>
      </c>
      <c r="AA106">
        <f>IF(Wizards!$A$25="","",IF(OR(ISNUMBER(SEARCH(", "&amp;$B106&amp;", ", ", "&amp;INDEX('Form Responses'!$I$1:$Q$200,25,$A106)&amp;", ")),ISNUMBER(SEARCH(", "&amp;$B106&amp;", ", ", "&amp;INDEX('Form Responses'!$R$1:$R$200,25)&amp;", "))),1,""))</f>
        <v/>
      </c>
      <c r="AB106">
        <f>IF(D106=1,", "&amp;D$1,"")</f>
        <v/>
      </c>
      <c r="AC106">
        <f>IF(E106=1,", "&amp;E$1,"")</f>
        <v/>
      </c>
      <c r="AD106">
        <f>IF(F106=1,", "&amp;F$1,"")</f>
        <v/>
      </c>
      <c r="AE106">
        <f>IF(G106=1,", "&amp;G$1,"")</f>
        <v/>
      </c>
      <c r="AF106">
        <f>IF(H106=1,", "&amp;H$1,"")</f>
        <v/>
      </c>
      <c r="AG106">
        <f>IF(I106=1,", "&amp;I$1,"")</f>
        <v/>
      </c>
      <c r="AH106">
        <f>IF(J106=1,", "&amp;J$1,"")</f>
        <v/>
      </c>
      <c r="AI106">
        <f>IF(K106=1,", "&amp;K$1,"")</f>
        <v/>
      </c>
      <c r="AJ106">
        <f>IF(L106=1,", "&amp;L$1,"")</f>
        <v/>
      </c>
      <c r="AK106">
        <f>IF(M106=1,", "&amp;M$1,"")</f>
        <v/>
      </c>
      <c r="AL106">
        <f>IF(N106=1,", "&amp;N$1,"")</f>
        <v/>
      </c>
      <c r="AM106">
        <f>IF(O106=1,", "&amp;O$1,"")</f>
        <v/>
      </c>
      <c r="AN106">
        <f>IF(P106=1,", "&amp;P$1,"")</f>
        <v/>
      </c>
      <c r="AO106">
        <f>IF(Q106=1,", "&amp;Q$1,"")</f>
        <v/>
      </c>
      <c r="AP106">
        <f>IF(R106=1,", "&amp;R$1,"")</f>
        <v/>
      </c>
      <c r="AQ106">
        <f>IF(S106=1,", "&amp;S$1,"")</f>
        <v/>
      </c>
      <c r="AR106">
        <f>IF(T106=1,", "&amp;T$1,"")</f>
        <v/>
      </c>
      <c r="AS106">
        <f>IF(U106=1,", "&amp;U$1,"")</f>
        <v/>
      </c>
      <c r="AT106">
        <f>IF(V106=1,", "&amp;V$1,"")</f>
        <v/>
      </c>
      <c r="AU106">
        <f>IF(W106=1,", "&amp;W$1,"")</f>
        <v/>
      </c>
      <c r="AV106">
        <f>IF(X106=1,", "&amp;X$1,"")</f>
        <v/>
      </c>
      <c r="AW106">
        <f>IF(Y106=1,", "&amp;Y$1,"")</f>
        <v/>
      </c>
      <c r="AX106">
        <f>IF(Z106=1,", "&amp;Z$1,"")</f>
        <v/>
      </c>
      <c r="AY106">
        <f>IF(AA106=1,", "&amp;AA$1,"")</f>
        <v/>
      </c>
      <c r="AZ106">
        <f>MID($AB106&amp;$AC106&amp;$AD106&amp;$AE106&amp;$AF106&amp;$AG106&amp;$AH106&amp;$AI106&amp;$AJ106&amp;$AK106&amp;$AL106&amp;$AM106&amp;$AN106&amp;$AO106&amp;$AP106&amp;$AQ106&amp;$AR106&amp;$AS106&amp;$AT106&amp;$AU106&amp;$AV106&amp;$AW106&amp;$AX106&amp;$AY106,3,32767)</f>
        <v/>
      </c>
      <c r="BA106">
        <f>COUNT($D106:$AA106)</f>
        <v/>
      </c>
    </row>
    <row r="107">
      <c r="A107" t="n">
        <v>3</v>
      </c>
      <c r="B107" t="inlineStr">
        <is>
          <t>Ashardalon's Stride</t>
        </is>
      </c>
      <c r="C107" t="inlineStr">
        <is>
          <t>Transmutation</t>
        </is>
      </c>
      <c r="D107">
        <f>IF(Wizards!$A$2="","",IF(OR(ISNUMBER(SEARCH(", "&amp;$B107&amp;", ", ", "&amp;INDEX('Form Responses'!$I$1:$Q$200,2,$A107)&amp;", ")),ISNUMBER(SEARCH(", "&amp;$B107&amp;", ", ", "&amp;INDEX('Form Responses'!$R$1:$R$200,2)&amp;", "))),1,""))</f>
        <v/>
      </c>
      <c r="E107">
        <f>IF(Wizards!$A$3="","",IF(OR(ISNUMBER(SEARCH(", "&amp;$B107&amp;", ", ", "&amp;INDEX('Form Responses'!$I$1:$Q$200,3,$A107)&amp;", ")),ISNUMBER(SEARCH(", "&amp;$B107&amp;", ", ", "&amp;INDEX('Form Responses'!$R$1:$R$200,3)&amp;", "))),1,""))</f>
        <v/>
      </c>
      <c r="F107">
        <f>IF(Wizards!$A$4="","",IF(OR(ISNUMBER(SEARCH(", "&amp;$B107&amp;", ", ", "&amp;INDEX('Form Responses'!$I$1:$Q$200,4,$A107)&amp;", ")),ISNUMBER(SEARCH(", "&amp;$B107&amp;", ", ", "&amp;INDEX('Form Responses'!$R$1:$R$200,4)&amp;", "))),1,""))</f>
        <v/>
      </c>
      <c r="G107">
        <f>IF(Wizards!$A$5="","",IF(OR(ISNUMBER(SEARCH(", "&amp;$B107&amp;", ", ", "&amp;INDEX('Form Responses'!$I$1:$Q$200,5,$A107)&amp;", ")),ISNUMBER(SEARCH(", "&amp;$B107&amp;", ", ", "&amp;INDEX('Form Responses'!$R$1:$R$200,5)&amp;", "))),1,""))</f>
        <v/>
      </c>
      <c r="H107">
        <f>IF(Wizards!$A$6="","",IF(OR(ISNUMBER(SEARCH(", "&amp;$B107&amp;", ", ", "&amp;INDEX('Form Responses'!$I$1:$Q$200,6,$A107)&amp;", ")),ISNUMBER(SEARCH(", "&amp;$B107&amp;", ", ", "&amp;INDEX('Form Responses'!$R$1:$R$200,6)&amp;", "))),1,""))</f>
        <v/>
      </c>
      <c r="I107">
        <f>IF(Wizards!$A$7="","",IF(OR(ISNUMBER(SEARCH(", "&amp;$B107&amp;", ", ", "&amp;INDEX('Form Responses'!$I$1:$Q$200,7,$A107)&amp;", ")),ISNUMBER(SEARCH(", "&amp;$B107&amp;", ", ", "&amp;INDEX('Form Responses'!$R$1:$R$200,7)&amp;", "))),1,""))</f>
        <v/>
      </c>
      <c r="J107">
        <f>IF(Wizards!$A$8="","",IF(OR(ISNUMBER(SEARCH(", "&amp;$B107&amp;", ", ", "&amp;INDEX('Form Responses'!$I$1:$Q$200,8,$A107)&amp;", ")),ISNUMBER(SEARCH(", "&amp;$B107&amp;", ", ", "&amp;INDEX('Form Responses'!$R$1:$R$200,8)&amp;", "))),1,""))</f>
        <v/>
      </c>
      <c r="K107">
        <f>IF(Wizards!$A$9="","",IF(OR(ISNUMBER(SEARCH(", "&amp;$B107&amp;", ", ", "&amp;INDEX('Form Responses'!$I$1:$Q$200,9,$A107)&amp;", ")),ISNUMBER(SEARCH(", "&amp;$B107&amp;", ", ", "&amp;INDEX('Form Responses'!$R$1:$R$200,9)&amp;", "))),1,""))</f>
        <v/>
      </c>
      <c r="L107">
        <f>IF(Wizards!$A$10="","",IF(OR(ISNUMBER(SEARCH(", "&amp;$B107&amp;", ", ", "&amp;INDEX('Form Responses'!$I$1:$Q$200,10,$A107)&amp;", ")),ISNUMBER(SEARCH(", "&amp;$B107&amp;", ", ", "&amp;INDEX('Form Responses'!$R$1:$R$200,10)&amp;", "))),1,""))</f>
        <v/>
      </c>
      <c r="M107">
        <f>IF(Wizards!$A$11="","",IF(OR(ISNUMBER(SEARCH(", "&amp;$B107&amp;", ", ", "&amp;INDEX('Form Responses'!$I$1:$Q$200,11,$A107)&amp;", ")),ISNUMBER(SEARCH(", "&amp;$B107&amp;", ", ", "&amp;INDEX('Form Responses'!$R$1:$R$200,11)&amp;", "))),1,""))</f>
        <v/>
      </c>
      <c r="N107">
        <f>IF(Wizards!$A$12="","",IF(OR(ISNUMBER(SEARCH(", "&amp;$B107&amp;", ", ", "&amp;INDEX('Form Responses'!$I$1:$Q$200,12,$A107)&amp;", ")),ISNUMBER(SEARCH(", "&amp;$B107&amp;", ", ", "&amp;INDEX('Form Responses'!$R$1:$R$200,12)&amp;", "))),1,""))</f>
        <v/>
      </c>
      <c r="O107">
        <f>IF(Wizards!$A$13="","",IF(OR(ISNUMBER(SEARCH(", "&amp;$B107&amp;", ", ", "&amp;INDEX('Form Responses'!$I$1:$Q$200,13,$A107)&amp;", ")),ISNUMBER(SEARCH(", "&amp;$B107&amp;", ", ", "&amp;INDEX('Form Responses'!$R$1:$R$200,13)&amp;", "))),1,""))</f>
        <v/>
      </c>
      <c r="P107">
        <f>IF(Wizards!$A$14="","",IF(OR(ISNUMBER(SEARCH(", "&amp;$B107&amp;", ", ", "&amp;INDEX('Form Responses'!$I$1:$Q$200,14,$A107)&amp;", ")),ISNUMBER(SEARCH(", "&amp;$B107&amp;", ", ", "&amp;INDEX('Form Responses'!$R$1:$R$200,14)&amp;", "))),1,""))</f>
        <v/>
      </c>
      <c r="Q107">
        <f>IF(Wizards!$A$15="","",IF(OR(ISNUMBER(SEARCH(", "&amp;$B107&amp;", ", ", "&amp;INDEX('Form Responses'!$I$1:$Q$200,15,$A107)&amp;", ")),ISNUMBER(SEARCH(", "&amp;$B107&amp;", ", ", "&amp;INDEX('Form Responses'!$R$1:$R$200,15)&amp;", "))),1,""))</f>
        <v/>
      </c>
      <c r="R107">
        <f>IF(Wizards!$A$16="","",IF(OR(ISNUMBER(SEARCH(", "&amp;$B107&amp;", ", ", "&amp;INDEX('Form Responses'!$I$1:$Q$200,16,$A107)&amp;", ")),ISNUMBER(SEARCH(", "&amp;$B107&amp;", ", ", "&amp;INDEX('Form Responses'!$R$1:$R$200,16)&amp;", "))),1,""))</f>
        <v/>
      </c>
      <c r="S107">
        <f>IF(Wizards!$A$17="","",IF(OR(ISNUMBER(SEARCH(", "&amp;$B107&amp;", ", ", "&amp;INDEX('Form Responses'!$I$1:$Q$200,17,$A107)&amp;", ")),ISNUMBER(SEARCH(", "&amp;$B107&amp;", ", ", "&amp;INDEX('Form Responses'!$R$1:$R$200,17)&amp;", "))),1,""))</f>
        <v/>
      </c>
      <c r="T107">
        <f>IF(Wizards!$A$18="","",IF(OR(ISNUMBER(SEARCH(", "&amp;$B107&amp;", ", ", "&amp;INDEX('Form Responses'!$I$1:$Q$200,18,$A107)&amp;", ")),ISNUMBER(SEARCH(", "&amp;$B107&amp;", ", ", "&amp;INDEX('Form Responses'!$R$1:$R$200,18)&amp;", "))),1,""))</f>
        <v/>
      </c>
      <c r="U107">
        <f>IF(Wizards!$A$19="","",IF(OR(ISNUMBER(SEARCH(", "&amp;$B107&amp;", ", ", "&amp;INDEX('Form Responses'!$I$1:$Q$200,19,$A107)&amp;", ")),ISNUMBER(SEARCH(", "&amp;$B107&amp;", ", ", "&amp;INDEX('Form Responses'!$R$1:$R$200,19)&amp;", "))),1,""))</f>
        <v/>
      </c>
      <c r="V107">
        <f>IF(Wizards!$A$20="","",IF(OR(ISNUMBER(SEARCH(", "&amp;$B107&amp;", ", ", "&amp;INDEX('Form Responses'!$I$1:$Q$200,20,$A107)&amp;", ")),ISNUMBER(SEARCH(", "&amp;$B107&amp;", ", ", "&amp;INDEX('Form Responses'!$R$1:$R$200,20)&amp;", "))),1,""))</f>
        <v/>
      </c>
      <c r="W107">
        <f>IF(Wizards!$A$21="","",IF(OR(ISNUMBER(SEARCH(", "&amp;$B107&amp;", ", ", "&amp;INDEX('Form Responses'!$I$1:$Q$200,21,$A107)&amp;", ")),ISNUMBER(SEARCH(", "&amp;$B107&amp;", ", ", "&amp;INDEX('Form Responses'!$R$1:$R$200,21)&amp;", "))),1,""))</f>
        <v/>
      </c>
      <c r="X107">
        <f>IF(Wizards!$A$22="","",IF(OR(ISNUMBER(SEARCH(", "&amp;$B107&amp;", ", ", "&amp;INDEX('Form Responses'!$I$1:$Q$200,22,$A107)&amp;", ")),ISNUMBER(SEARCH(", "&amp;$B107&amp;", ", ", "&amp;INDEX('Form Responses'!$R$1:$R$200,22)&amp;", "))),1,""))</f>
        <v/>
      </c>
      <c r="Y107">
        <f>IF(Wizards!$A$23="","",IF(OR(ISNUMBER(SEARCH(", "&amp;$B107&amp;", ", ", "&amp;INDEX('Form Responses'!$I$1:$Q$200,23,$A107)&amp;", ")),ISNUMBER(SEARCH(", "&amp;$B107&amp;", ", ", "&amp;INDEX('Form Responses'!$R$1:$R$200,23)&amp;", "))),1,""))</f>
        <v/>
      </c>
      <c r="Z107">
        <f>IF(Wizards!$A$24="","",IF(OR(ISNUMBER(SEARCH(", "&amp;$B107&amp;", ", ", "&amp;INDEX('Form Responses'!$I$1:$Q$200,24,$A107)&amp;", ")),ISNUMBER(SEARCH(", "&amp;$B107&amp;", ", ", "&amp;INDEX('Form Responses'!$R$1:$R$200,24)&amp;", "))),1,""))</f>
        <v/>
      </c>
      <c r="AA107">
        <f>IF(Wizards!$A$25="","",IF(OR(ISNUMBER(SEARCH(", "&amp;$B107&amp;", ", ", "&amp;INDEX('Form Responses'!$I$1:$Q$200,25,$A107)&amp;", ")),ISNUMBER(SEARCH(", "&amp;$B107&amp;", ", ", "&amp;INDEX('Form Responses'!$R$1:$R$200,25)&amp;", "))),1,""))</f>
        <v/>
      </c>
      <c r="AB107">
        <f>IF(D107=1,", "&amp;D$1,"")</f>
        <v/>
      </c>
      <c r="AC107">
        <f>IF(E107=1,", "&amp;E$1,"")</f>
        <v/>
      </c>
      <c r="AD107">
        <f>IF(F107=1,", "&amp;F$1,"")</f>
        <v/>
      </c>
      <c r="AE107">
        <f>IF(G107=1,", "&amp;G$1,"")</f>
        <v/>
      </c>
      <c r="AF107">
        <f>IF(H107=1,", "&amp;H$1,"")</f>
        <v/>
      </c>
      <c r="AG107">
        <f>IF(I107=1,", "&amp;I$1,"")</f>
        <v/>
      </c>
      <c r="AH107">
        <f>IF(J107=1,", "&amp;J$1,"")</f>
        <v/>
      </c>
      <c r="AI107">
        <f>IF(K107=1,", "&amp;K$1,"")</f>
        <v/>
      </c>
      <c r="AJ107">
        <f>IF(L107=1,", "&amp;L$1,"")</f>
        <v/>
      </c>
      <c r="AK107">
        <f>IF(M107=1,", "&amp;M$1,"")</f>
        <v/>
      </c>
      <c r="AL107">
        <f>IF(N107=1,", "&amp;N$1,"")</f>
        <v/>
      </c>
      <c r="AM107">
        <f>IF(O107=1,", "&amp;O$1,"")</f>
        <v/>
      </c>
      <c r="AN107">
        <f>IF(P107=1,", "&amp;P$1,"")</f>
        <v/>
      </c>
      <c r="AO107">
        <f>IF(Q107=1,", "&amp;Q$1,"")</f>
        <v/>
      </c>
      <c r="AP107">
        <f>IF(R107=1,", "&amp;R$1,"")</f>
        <v/>
      </c>
      <c r="AQ107">
        <f>IF(S107=1,", "&amp;S$1,"")</f>
        <v/>
      </c>
      <c r="AR107">
        <f>IF(T107=1,", "&amp;T$1,"")</f>
        <v/>
      </c>
      <c r="AS107">
        <f>IF(U107=1,", "&amp;U$1,"")</f>
        <v/>
      </c>
      <c r="AT107">
        <f>IF(V107=1,", "&amp;V$1,"")</f>
        <v/>
      </c>
      <c r="AU107">
        <f>IF(W107=1,", "&amp;W$1,"")</f>
        <v/>
      </c>
      <c r="AV107">
        <f>IF(X107=1,", "&amp;X$1,"")</f>
        <v/>
      </c>
      <c r="AW107">
        <f>IF(Y107=1,", "&amp;Y$1,"")</f>
        <v/>
      </c>
      <c r="AX107">
        <f>IF(Z107=1,", "&amp;Z$1,"")</f>
        <v/>
      </c>
      <c r="AY107">
        <f>IF(AA107=1,", "&amp;AA$1,"")</f>
        <v/>
      </c>
      <c r="AZ107">
        <f>MID($AB107&amp;$AC107&amp;$AD107&amp;$AE107&amp;$AF107&amp;$AG107&amp;$AH107&amp;$AI107&amp;$AJ107&amp;$AK107&amp;$AL107&amp;$AM107&amp;$AN107&amp;$AO107&amp;$AP107&amp;$AQ107&amp;$AR107&amp;$AS107&amp;$AT107&amp;$AU107&amp;$AV107&amp;$AW107&amp;$AX107&amp;$AY107,3,32767)</f>
        <v/>
      </c>
      <c r="BA107">
        <f>COUNT($D107:$AA107)</f>
        <v/>
      </c>
    </row>
    <row r="108">
      <c r="A108" t="n">
        <v>3</v>
      </c>
      <c r="B108" t="inlineStr">
        <is>
          <t>Bestow Curse</t>
        </is>
      </c>
      <c r="C108" t="inlineStr">
        <is>
          <t>Necromancy</t>
        </is>
      </c>
      <c r="D108">
        <f>IF(Wizards!$A$2="","",IF(OR(ISNUMBER(SEARCH(", "&amp;$B108&amp;", ", ", "&amp;INDEX('Form Responses'!$I$1:$Q$200,2,$A108)&amp;", ")),ISNUMBER(SEARCH(", "&amp;$B108&amp;", ", ", "&amp;INDEX('Form Responses'!$R$1:$R$200,2)&amp;", "))),1,""))</f>
        <v/>
      </c>
      <c r="E108">
        <f>IF(Wizards!$A$3="","",IF(OR(ISNUMBER(SEARCH(", "&amp;$B108&amp;", ", ", "&amp;INDEX('Form Responses'!$I$1:$Q$200,3,$A108)&amp;", ")),ISNUMBER(SEARCH(", "&amp;$B108&amp;", ", ", "&amp;INDEX('Form Responses'!$R$1:$R$200,3)&amp;", "))),1,""))</f>
        <v/>
      </c>
      <c r="F108">
        <f>IF(Wizards!$A$4="","",IF(OR(ISNUMBER(SEARCH(", "&amp;$B108&amp;", ", ", "&amp;INDEX('Form Responses'!$I$1:$Q$200,4,$A108)&amp;", ")),ISNUMBER(SEARCH(", "&amp;$B108&amp;", ", ", "&amp;INDEX('Form Responses'!$R$1:$R$200,4)&amp;", "))),1,""))</f>
        <v/>
      </c>
      <c r="G108">
        <f>IF(Wizards!$A$5="","",IF(OR(ISNUMBER(SEARCH(", "&amp;$B108&amp;", ", ", "&amp;INDEX('Form Responses'!$I$1:$Q$200,5,$A108)&amp;", ")),ISNUMBER(SEARCH(", "&amp;$B108&amp;", ", ", "&amp;INDEX('Form Responses'!$R$1:$R$200,5)&amp;", "))),1,""))</f>
        <v/>
      </c>
      <c r="H108">
        <f>IF(Wizards!$A$6="","",IF(OR(ISNUMBER(SEARCH(", "&amp;$B108&amp;", ", ", "&amp;INDEX('Form Responses'!$I$1:$Q$200,6,$A108)&amp;", ")),ISNUMBER(SEARCH(", "&amp;$B108&amp;", ", ", "&amp;INDEX('Form Responses'!$R$1:$R$200,6)&amp;", "))),1,""))</f>
        <v/>
      </c>
      <c r="I108">
        <f>IF(Wizards!$A$7="","",IF(OR(ISNUMBER(SEARCH(", "&amp;$B108&amp;", ", ", "&amp;INDEX('Form Responses'!$I$1:$Q$200,7,$A108)&amp;", ")),ISNUMBER(SEARCH(", "&amp;$B108&amp;", ", ", "&amp;INDEX('Form Responses'!$R$1:$R$200,7)&amp;", "))),1,""))</f>
        <v/>
      </c>
      <c r="J108">
        <f>IF(Wizards!$A$8="","",IF(OR(ISNUMBER(SEARCH(", "&amp;$B108&amp;", ", ", "&amp;INDEX('Form Responses'!$I$1:$Q$200,8,$A108)&amp;", ")),ISNUMBER(SEARCH(", "&amp;$B108&amp;", ", ", "&amp;INDEX('Form Responses'!$R$1:$R$200,8)&amp;", "))),1,""))</f>
        <v/>
      </c>
      <c r="K108">
        <f>IF(Wizards!$A$9="","",IF(OR(ISNUMBER(SEARCH(", "&amp;$B108&amp;", ", ", "&amp;INDEX('Form Responses'!$I$1:$Q$200,9,$A108)&amp;", ")),ISNUMBER(SEARCH(", "&amp;$B108&amp;", ", ", "&amp;INDEX('Form Responses'!$R$1:$R$200,9)&amp;", "))),1,""))</f>
        <v/>
      </c>
      <c r="L108">
        <f>IF(Wizards!$A$10="","",IF(OR(ISNUMBER(SEARCH(", "&amp;$B108&amp;", ", ", "&amp;INDEX('Form Responses'!$I$1:$Q$200,10,$A108)&amp;", ")),ISNUMBER(SEARCH(", "&amp;$B108&amp;", ", ", "&amp;INDEX('Form Responses'!$R$1:$R$200,10)&amp;", "))),1,""))</f>
        <v/>
      </c>
      <c r="M108">
        <f>IF(Wizards!$A$11="","",IF(OR(ISNUMBER(SEARCH(", "&amp;$B108&amp;", ", ", "&amp;INDEX('Form Responses'!$I$1:$Q$200,11,$A108)&amp;", ")),ISNUMBER(SEARCH(", "&amp;$B108&amp;", ", ", "&amp;INDEX('Form Responses'!$R$1:$R$200,11)&amp;", "))),1,""))</f>
        <v/>
      </c>
      <c r="N108">
        <f>IF(Wizards!$A$12="","",IF(OR(ISNUMBER(SEARCH(", "&amp;$B108&amp;", ", ", "&amp;INDEX('Form Responses'!$I$1:$Q$200,12,$A108)&amp;", ")),ISNUMBER(SEARCH(", "&amp;$B108&amp;", ", ", "&amp;INDEX('Form Responses'!$R$1:$R$200,12)&amp;", "))),1,""))</f>
        <v/>
      </c>
      <c r="O108">
        <f>IF(Wizards!$A$13="","",IF(OR(ISNUMBER(SEARCH(", "&amp;$B108&amp;", ", ", "&amp;INDEX('Form Responses'!$I$1:$Q$200,13,$A108)&amp;", ")),ISNUMBER(SEARCH(", "&amp;$B108&amp;", ", ", "&amp;INDEX('Form Responses'!$R$1:$R$200,13)&amp;", "))),1,""))</f>
        <v/>
      </c>
      <c r="P108">
        <f>IF(Wizards!$A$14="","",IF(OR(ISNUMBER(SEARCH(", "&amp;$B108&amp;", ", ", "&amp;INDEX('Form Responses'!$I$1:$Q$200,14,$A108)&amp;", ")),ISNUMBER(SEARCH(", "&amp;$B108&amp;", ", ", "&amp;INDEX('Form Responses'!$R$1:$R$200,14)&amp;", "))),1,""))</f>
        <v/>
      </c>
      <c r="Q108">
        <f>IF(Wizards!$A$15="","",IF(OR(ISNUMBER(SEARCH(", "&amp;$B108&amp;", ", ", "&amp;INDEX('Form Responses'!$I$1:$Q$200,15,$A108)&amp;", ")),ISNUMBER(SEARCH(", "&amp;$B108&amp;", ", ", "&amp;INDEX('Form Responses'!$R$1:$R$200,15)&amp;", "))),1,""))</f>
        <v/>
      </c>
      <c r="R108">
        <f>IF(Wizards!$A$16="","",IF(OR(ISNUMBER(SEARCH(", "&amp;$B108&amp;", ", ", "&amp;INDEX('Form Responses'!$I$1:$Q$200,16,$A108)&amp;", ")),ISNUMBER(SEARCH(", "&amp;$B108&amp;", ", ", "&amp;INDEX('Form Responses'!$R$1:$R$200,16)&amp;", "))),1,""))</f>
        <v/>
      </c>
      <c r="S108">
        <f>IF(Wizards!$A$17="","",IF(OR(ISNUMBER(SEARCH(", "&amp;$B108&amp;", ", ", "&amp;INDEX('Form Responses'!$I$1:$Q$200,17,$A108)&amp;", ")),ISNUMBER(SEARCH(", "&amp;$B108&amp;", ", ", "&amp;INDEX('Form Responses'!$R$1:$R$200,17)&amp;", "))),1,""))</f>
        <v/>
      </c>
      <c r="T108">
        <f>IF(Wizards!$A$18="","",IF(OR(ISNUMBER(SEARCH(", "&amp;$B108&amp;", ", ", "&amp;INDEX('Form Responses'!$I$1:$Q$200,18,$A108)&amp;", ")),ISNUMBER(SEARCH(", "&amp;$B108&amp;", ", ", "&amp;INDEX('Form Responses'!$R$1:$R$200,18)&amp;", "))),1,""))</f>
        <v/>
      </c>
      <c r="U108">
        <f>IF(Wizards!$A$19="","",IF(OR(ISNUMBER(SEARCH(", "&amp;$B108&amp;", ", ", "&amp;INDEX('Form Responses'!$I$1:$Q$200,19,$A108)&amp;", ")),ISNUMBER(SEARCH(", "&amp;$B108&amp;", ", ", "&amp;INDEX('Form Responses'!$R$1:$R$200,19)&amp;", "))),1,""))</f>
        <v/>
      </c>
      <c r="V108">
        <f>IF(Wizards!$A$20="","",IF(OR(ISNUMBER(SEARCH(", "&amp;$B108&amp;", ", ", "&amp;INDEX('Form Responses'!$I$1:$Q$200,20,$A108)&amp;", ")),ISNUMBER(SEARCH(", "&amp;$B108&amp;", ", ", "&amp;INDEX('Form Responses'!$R$1:$R$200,20)&amp;", "))),1,""))</f>
        <v/>
      </c>
      <c r="W108">
        <f>IF(Wizards!$A$21="","",IF(OR(ISNUMBER(SEARCH(", "&amp;$B108&amp;", ", ", "&amp;INDEX('Form Responses'!$I$1:$Q$200,21,$A108)&amp;", ")),ISNUMBER(SEARCH(", "&amp;$B108&amp;", ", ", "&amp;INDEX('Form Responses'!$R$1:$R$200,21)&amp;", "))),1,""))</f>
        <v/>
      </c>
      <c r="X108">
        <f>IF(Wizards!$A$22="","",IF(OR(ISNUMBER(SEARCH(", "&amp;$B108&amp;", ", ", "&amp;INDEX('Form Responses'!$I$1:$Q$200,22,$A108)&amp;", ")),ISNUMBER(SEARCH(", "&amp;$B108&amp;", ", ", "&amp;INDEX('Form Responses'!$R$1:$R$200,22)&amp;", "))),1,""))</f>
        <v/>
      </c>
      <c r="Y108">
        <f>IF(Wizards!$A$23="","",IF(OR(ISNUMBER(SEARCH(", "&amp;$B108&amp;", ", ", "&amp;INDEX('Form Responses'!$I$1:$Q$200,23,$A108)&amp;", ")),ISNUMBER(SEARCH(", "&amp;$B108&amp;", ", ", "&amp;INDEX('Form Responses'!$R$1:$R$200,23)&amp;", "))),1,""))</f>
        <v/>
      </c>
      <c r="Z108">
        <f>IF(Wizards!$A$24="","",IF(OR(ISNUMBER(SEARCH(", "&amp;$B108&amp;", ", ", "&amp;INDEX('Form Responses'!$I$1:$Q$200,24,$A108)&amp;", ")),ISNUMBER(SEARCH(", "&amp;$B108&amp;", ", ", "&amp;INDEX('Form Responses'!$R$1:$R$200,24)&amp;", "))),1,""))</f>
        <v/>
      </c>
      <c r="AA108">
        <f>IF(Wizards!$A$25="","",IF(OR(ISNUMBER(SEARCH(", "&amp;$B108&amp;", ", ", "&amp;INDEX('Form Responses'!$I$1:$Q$200,25,$A108)&amp;", ")),ISNUMBER(SEARCH(", "&amp;$B108&amp;", ", ", "&amp;INDEX('Form Responses'!$R$1:$R$200,25)&amp;", "))),1,""))</f>
        <v/>
      </c>
      <c r="AB108">
        <f>IF(D108=1,", "&amp;D$1,"")</f>
        <v/>
      </c>
      <c r="AC108">
        <f>IF(E108=1,", "&amp;E$1,"")</f>
        <v/>
      </c>
      <c r="AD108">
        <f>IF(F108=1,", "&amp;F$1,"")</f>
        <v/>
      </c>
      <c r="AE108">
        <f>IF(G108=1,", "&amp;G$1,"")</f>
        <v/>
      </c>
      <c r="AF108">
        <f>IF(H108=1,", "&amp;H$1,"")</f>
        <v/>
      </c>
      <c r="AG108">
        <f>IF(I108=1,", "&amp;I$1,"")</f>
        <v/>
      </c>
      <c r="AH108">
        <f>IF(J108=1,", "&amp;J$1,"")</f>
        <v/>
      </c>
      <c r="AI108">
        <f>IF(K108=1,", "&amp;K$1,"")</f>
        <v/>
      </c>
      <c r="AJ108">
        <f>IF(L108=1,", "&amp;L$1,"")</f>
        <v/>
      </c>
      <c r="AK108">
        <f>IF(M108=1,", "&amp;M$1,"")</f>
        <v/>
      </c>
      <c r="AL108">
        <f>IF(N108=1,", "&amp;N$1,"")</f>
        <v/>
      </c>
      <c r="AM108">
        <f>IF(O108=1,", "&amp;O$1,"")</f>
        <v/>
      </c>
      <c r="AN108">
        <f>IF(P108=1,", "&amp;P$1,"")</f>
        <v/>
      </c>
      <c r="AO108">
        <f>IF(Q108=1,", "&amp;Q$1,"")</f>
        <v/>
      </c>
      <c r="AP108">
        <f>IF(R108=1,", "&amp;R$1,"")</f>
        <v/>
      </c>
      <c r="AQ108">
        <f>IF(S108=1,", "&amp;S$1,"")</f>
        <v/>
      </c>
      <c r="AR108">
        <f>IF(T108=1,", "&amp;T$1,"")</f>
        <v/>
      </c>
      <c r="AS108">
        <f>IF(U108=1,", "&amp;U$1,"")</f>
        <v/>
      </c>
      <c r="AT108">
        <f>IF(V108=1,", "&amp;V$1,"")</f>
        <v/>
      </c>
      <c r="AU108">
        <f>IF(W108=1,", "&amp;W$1,"")</f>
        <v/>
      </c>
      <c r="AV108">
        <f>IF(X108=1,", "&amp;X$1,"")</f>
        <v/>
      </c>
      <c r="AW108">
        <f>IF(Y108=1,", "&amp;Y$1,"")</f>
        <v/>
      </c>
      <c r="AX108">
        <f>IF(Z108=1,", "&amp;Z$1,"")</f>
        <v/>
      </c>
      <c r="AY108">
        <f>IF(AA108=1,", "&amp;AA$1,"")</f>
        <v/>
      </c>
      <c r="AZ108">
        <f>MID($AB108&amp;$AC108&amp;$AD108&amp;$AE108&amp;$AF108&amp;$AG108&amp;$AH108&amp;$AI108&amp;$AJ108&amp;$AK108&amp;$AL108&amp;$AM108&amp;$AN108&amp;$AO108&amp;$AP108&amp;$AQ108&amp;$AR108&amp;$AS108&amp;$AT108&amp;$AU108&amp;$AV108&amp;$AW108&amp;$AX108&amp;$AY108,3,32767)</f>
        <v/>
      </c>
      <c r="BA108">
        <f>COUNT($D108:$AA108)</f>
        <v/>
      </c>
    </row>
    <row r="109">
      <c r="A109" t="n">
        <v>3</v>
      </c>
      <c r="B109" t="inlineStr">
        <is>
          <t>Blink</t>
        </is>
      </c>
      <c r="C109" t="inlineStr">
        <is>
          <t>Transmutation</t>
        </is>
      </c>
      <c r="D109">
        <f>IF(Wizards!$A$2="","",IF(OR(ISNUMBER(SEARCH(", "&amp;$B109&amp;", ", ", "&amp;INDEX('Form Responses'!$I$1:$Q$200,2,$A109)&amp;", ")),ISNUMBER(SEARCH(", "&amp;$B109&amp;", ", ", "&amp;INDEX('Form Responses'!$R$1:$R$200,2)&amp;", "))),1,""))</f>
        <v/>
      </c>
      <c r="E109">
        <f>IF(Wizards!$A$3="","",IF(OR(ISNUMBER(SEARCH(", "&amp;$B109&amp;", ", ", "&amp;INDEX('Form Responses'!$I$1:$Q$200,3,$A109)&amp;", ")),ISNUMBER(SEARCH(", "&amp;$B109&amp;", ", ", "&amp;INDEX('Form Responses'!$R$1:$R$200,3)&amp;", "))),1,""))</f>
        <v/>
      </c>
      <c r="F109">
        <f>IF(Wizards!$A$4="","",IF(OR(ISNUMBER(SEARCH(", "&amp;$B109&amp;", ", ", "&amp;INDEX('Form Responses'!$I$1:$Q$200,4,$A109)&amp;", ")),ISNUMBER(SEARCH(", "&amp;$B109&amp;", ", ", "&amp;INDEX('Form Responses'!$R$1:$R$200,4)&amp;", "))),1,""))</f>
        <v/>
      </c>
      <c r="G109">
        <f>IF(Wizards!$A$5="","",IF(OR(ISNUMBER(SEARCH(", "&amp;$B109&amp;", ", ", "&amp;INDEX('Form Responses'!$I$1:$Q$200,5,$A109)&amp;", ")),ISNUMBER(SEARCH(", "&amp;$B109&amp;", ", ", "&amp;INDEX('Form Responses'!$R$1:$R$200,5)&amp;", "))),1,""))</f>
        <v/>
      </c>
      <c r="H109">
        <f>IF(Wizards!$A$6="","",IF(OR(ISNUMBER(SEARCH(", "&amp;$B109&amp;", ", ", "&amp;INDEX('Form Responses'!$I$1:$Q$200,6,$A109)&amp;", ")),ISNUMBER(SEARCH(", "&amp;$B109&amp;", ", ", "&amp;INDEX('Form Responses'!$R$1:$R$200,6)&amp;", "))),1,""))</f>
        <v/>
      </c>
      <c r="I109">
        <f>IF(Wizards!$A$7="","",IF(OR(ISNUMBER(SEARCH(", "&amp;$B109&amp;", ", ", "&amp;INDEX('Form Responses'!$I$1:$Q$200,7,$A109)&amp;", ")),ISNUMBER(SEARCH(", "&amp;$B109&amp;", ", ", "&amp;INDEX('Form Responses'!$R$1:$R$200,7)&amp;", "))),1,""))</f>
        <v/>
      </c>
      <c r="J109">
        <f>IF(Wizards!$A$8="","",IF(OR(ISNUMBER(SEARCH(", "&amp;$B109&amp;", ", ", "&amp;INDEX('Form Responses'!$I$1:$Q$200,8,$A109)&amp;", ")),ISNUMBER(SEARCH(", "&amp;$B109&amp;", ", ", "&amp;INDEX('Form Responses'!$R$1:$R$200,8)&amp;", "))),1,""))</f>
        <v/>
      </c>
      <c r="K109">
        <f>IF(Wizards!$A$9="","",IF(OR(ISNUMBER(SEARCH(", "&amp;$B109&amp;", ", ", "&amp;INDEX('Form Responses'!$I$1:$Q$200,9,$A109)&amp;", ")),ISNUMBER(SEARCH(", "&amp;$B109&amp;", ", ", "&amp;INDEX('Form Responses'!$R$1:$R$200,9)&amp;", "))),1,""))</f>
        <v/>
      </c>
      <c r="L109">
        <f>IF(Wizards!$A$10="","",IF(OR(ISNUMBER(SEARCH(", "&amp;$B109&amp;", ", ", "&amp;INDEX('Form Responses'!$I$1:$Q$200,10,$A109)&amp;", ")),ISNUMBER(SEARCH(", "&amp;$B109&amp;", ", ", "&amp;INDEX('Form Responses'!$R$1:$R$200,10)&amp;", "))),1,""))</f>
        <v/>
      </c>
      <c r="M109">
        <f>IF(Wizards!$A$11="","",IF(OR(ISNUMBER(SEARCH(", "&amp;$B109&amp;", ", ", "&amp;INDEX('Form Responses'!$I$1:$Q$200,11,$A109)&amp;", ")),ISNUMBER(SEARCH(", "&amp;$B109&amp;", ", ", "&amp;INDEX('Form Responses'!$R$1:$R$200,11)&amp;", "))),1,""))</f>
        <v/>
      </c>
      <c r="N109">
        <f>IF(Wizards!$A$12="","",IF(OR(ISNUMBER(SEARCH(", "&amp;$B109&amp;", ", ", "&amp;INDEX('Form Responses'!$I$1:$Q$200,12,$A109)&amp;", ")),ISNUMBER(SEARCH(", "&amp;$B109&amp;", ", ", "&amp;INDEX('Form Responses'!$R$1:$R$200,12)&amp;", "))),1,""))</f>
        <v/>
      </c>
      <c r="O109">
        <f>IF(Wizards!$A$13="","",IF(OR(ISNUMBER(SEARCH(", "&amp;$B109&amp;", ", ", "&amp;INDEX('Form Responses'!$I$1:$Q$200,13,$A109)&amp;", ")),ISNUMBER(SEARCH(", "&amp;$B109&amp;", ", ", "&amp;INDEX('Form Responses'!$R$1:$R$200,13)&amp;", "))),1,""))</f>
        <v/>
      </c>
      <c r="P109">
        <f>IF(Wizards!$A$14="","",IF(OR(ISNUMBER(SEARCH(", "&amp;$B109&amp;", ", ", "&amp;INDEX('Form Responses'!$I$1:$Q$200,14,$A109)&amp;", ")),ISNUMBER(SEARCH(", "&amp;$B109&amp;", ", ", "&amp;INDEX('Form Responses'!$R$1:$R$200,14)&amp;", "))),1,""))</f>
        <v/>
      </c>
      <c r="Q109">
        <f>IF(Wizards!$A$15="","",IF(OR(ISNUMBER(SEARCH(", "&amp;$B109&amp;", ", ", "&amp;INDEX('Form Responses'!$I$1:$Q$200,15,$A109)&amp;", ")),ISNUMBER(SEARCH(", "&amp;$B109&amp;", ", ", "&amp;INDEX('Form Responses'!$R$1:$R$200,15)&amp;", "))),1,""))</f>
        <v/>
      </c>
      <c r="R109">
        <f>IF(Wizards!$A$16="","",IF(OR(ISNUMBER(SEARCH(", "&amp;$B109&amp;", ", ", "&amp;INDEX('Form Responses'!$I$1:$Q$200,16,$A109)&amp;", ")),ISNUMBER(SEARCH(", "&amp;$B109&amp;", ", ", "&amp;INDEX('Form Responses'!$R$1:$R$200,16)&amp;", "))),1,""))</f>
        <v/>
      </c>
      <c r="S109">
        <f>IF(Wizards!$A$17="","",IF(OR(ISNUMBER(SEARCH(", "&amp;$B109&amp;", ", ", "&amp;INDEX('Form Responses'!$I$1:$Q$200,17,$A109)&amp;", ")),ISNUMBER(SEARCH(", "&amp;$B109&amp;", ", ", "&amp;INDEX('Form Responses'!$R$1:$R$200,17)&amp;", "))),1,""))</f>
        <v/>
      </c>
      <c r="T109">
        <f>IF(Wizards!$A$18="","",IF(OR(ISNUMBER(SEARCH(", "&amp;$B109&amp;", ", ", "&amp;INDEX('Form Responses'!$I$1:$Q$200,18,$A109)&amp;", ")),ISNUMBER(SEARCH(", "&amp;$B109&amp;", ", ", "&amp;INDEX('Form Responses'!$R$1:$R$200,18)&amp;", "))),1,""))</f>
        <v/>
      </c>
      <c r="U109">
        <f>IF(Wizards!$A$19="","",IF(OR(ISNUMBER(SEARCH(", "&amp;$B109&amp;", ", ", "&amp;INDEX('Form Responses'!$I$1:$Q$200,19,$A109)&amp;", ")),ISNUMBER(SEARCH(", "&amp;$B109&amp;", ", ", "&amp;INDEX('Form Responses'!$R$1:$R$200,19)&amp;", "))),1,""))</f>
        <v/>
      </c>
      <c r="V109">
        <f>IF(Wizards!$A$20="","",IF(OR(ISNUMBER(SEARCH(", "&amp;$B109&amp;", ", ", "&amp;INDEX('Form Responses'!$I$1:$Q$200,20,$A109)&amp;", ")),ISNUMBER(SEARCH(", "&amp;$B109&amp;", ", ", "&amp;INDEX('Form Responses'!$R$1:$R$200,20)&amp;", "))),1,""))</f>
        <v/>
      </c>
      <c r="W109">
        <f>IF(Wizards!$A$21="","",IF(OR(ISNUMBER(SEARCH(", "&amp;$B109&amp;", ", ", "&amp;INDEX('Form Responses'!$I$1:$Q$200,21,$A109)&amp;", ")),ISNUMBER(SEARCH(", "&amp;$B109&amp;", ", ", "&amp;INDEX('Form Responses'!$R$1:$R$200,21)&amp;", "))),1,""))</f>
        <v/>
      </c>
      <c r="X109">
        <f>IF(Wizards!$A$22="","",IF(OR(ISNUMBER(SEARCH(", "&amp;$B109&amp;", ", ", "&amp;INDEX('Form Responses'!$I$1:$Q$200,22,$A109)&amp;", ")),ISNUMBER(SEARCH(", "&amp;$B109&amp;", ", ", "&amp;INDEX('Form Responses'!$R$1:$R$200,22)&amp;", "))),1,""))</f>
        <v/>
      </c>
      <c r="Y109">
        <f>IF(Wizards!$A$23="","",IF(OR(ISNUMBER(SEARCH(", "&amp;$B109&amp;", ", ", "&amp;INDEX('Form Responses'!$I$1:$Q$200,23,$A109)&amp;", ")),ISNUMBER(SEARCH(", "&amp;$B109&amp;", ", ", "&amp;INDEX('Form Responses'!$R$1:$R$200,23)&amp;", "))),1,""))</f>
        <v/>
      </c>
      <c r="Z109">
        <f>IF(Wizards!$A$24="","",IF(OR(ISNUMBER(SEARCH(", "&amp;$B109&amp;", ", ", "&amp;INDEX('Form Responses'!$I$1:$Q$200,24,$A109)&amp;", ")),ISNUMBER(SEARCH(", "&amp;$B109&amp;", ", ", "&amp;INDEX('Form Responses'!$R$1:$R$200,24)&amp;", "))),1,""))</f>
        <v/>
      </c>
      <c r="AA109">
        <f>IF(Wizards!$A$25="","",IF(OR(ISNUMBER(SEARCH(", "&amp;$B109&amp;", ", ", "&amp;INDEX('Form Responses'!$I$1:$Q$200,25,$A109)&amp;", ")),ISNUMBER(SEARCH(", "&amp;$B109&amp;", ", ", "&amp;INDEX('Form Responses'!$R$1:$R$200,25)&amp;", "))),1,""))</f>
        <v/>
      </c>
      <c r="AB109">
        <f>IF(D109=1,", "&amp;D$1,"")</f>
        <v/>
      </c>
      <c r="AC109">
        <f>IF(E109=1,", "&amp;E$1,"")</f>
        <v/>
      </c>
      <c r="AD109">
        <f>IF(F109=1,", "&amp;F$1,"")</f>
        <v/>
      </c>
      <c r="AE109">
        <f>IF(G109=1,", "&amp;G$1,"")</f>
        <v/>
      </c>
      <c r="AF109">
        <f>IF(H109=1,", "&amp;H$1,"")</f>
        <v/>
      </c>
      <c r="AG109">
        <f>IF(I109=1,", "&amp;I$1,"")</f>
        <v/>
      </c>
      <c r="AH109">
        <f>IF(J109=1,", "&amp;J$1,"")</f>
        <v/>
      </c>
      <c r="AI109">
        <f>IF(K109=1,", "&amp;K$1,"")</f>
        <v/>
      </c>
      <c r="AJ109">
        <f>IF(L109=1,", "&amp;L$1,"")</f>
        <v/>
      </c>
      <c r="AK109">
        <f>IF(M109=1,", "&amp;M$1,"")</f>
        <v/>
      </c>
      <c r="AL109">
        <f>IF(N109=1,", "&amp;N$1,"")</f>
        <v/>
      </c>
      <c r="AM109">
        <f>IF(O109=1,", "&amp;O$1,"")</f>
        <v/>
      </c>
      <c r="AN109">
        <f>IF(P109=1,", "&amp;P$1,"")</f>
        <v/>
      </c>
      <c r="AO109">
        <f>IF(Q109=1,", "&amp;Q$1,"")</f>
        <v/>
      </c>
      <c r="AP109">
        <f>IF(R109=1,", "&amp;R$1,"")</f>
        <v/>
      </c>
      <c r="AQ109">
        <f>IF(S109=1,", "&amp;S$1,"")</f>
        <v/>
      </c>
      <c r="AR109">
        <f>IF(T109=1,", "&amp;T$1,"")</f>
        <v/>
      </c>
      <c r="AS109">
        <f>IF(U109=1,", "&amp;U$1,"")</f>
        <v/>
      </c>
      <c r="AT109">
        <f>IF(V109=1,", "&amp;V$1,"")</f>
        <v/>
      </c>
      <c r="AU109">
        <f>IF(W109=1,", "&amp;W$1,"")</f>
        <v/>
      </c>
      <c r="AV109">
        <f>IF(X109=1,", "&amp;X$1,"")</f>
        <v/>
      </c>
      <c r="AW109">
        <f>IF(Y109=1,", "&amp;Y$1,"")</f>
        <v/>
      </c>
      <c r="AX109">
        <f>IF(Z109=1,", "&amp;Z$1,"")</f>
        <v/>
      </c>
      <c r="AY109">
        <f>IF(AA109=1,", "&amp;AA$1,"")</f>
        <v/>
      </c>
      <c r="AZ109">
        <f>MID($AB109&amp;$AC109&amp;$AD109&amp;$AE109&amp;$AF109&amp;$AG109&amp;$AH109&amp;$AI109&amp;$AJ109&amp;$AK109&amp;$AL109&amp;$AM109&amp;$AN109&amp;$AO109&amp;$AP109&amp;$AQ109&amp;$AR109&amp;$AS109&amp;$AT109&amp;$AU109&amp;$AV109&amp;$AW109&amp;$AX109&amp;$AY109,3,32767)</f>
        <v/>
      </c>
      <c r="BA109">
        <f>COUNT($D109:$AA109)</f>
        <v/>
      </c>
    </row>
    <row r="110">
      <c r="A110" t="n">
        <v>3</v>
      </c>
      <c r="B110" t="inlineStr">
        <is>
          <t>Cacophonic Shield</t>
        </is>
      </c>
      <c r="C110" t="inlineStr">
        <is>
          <t>Evocation</t>
        </is>
      </c>
      <c r="D110">
        <f>IF(Wizards!$A$2="","",IF(OR(ISNUMBER(SEARCH(", "&amp;$B110&amp;", ", ", "&amp;INDEX('Form Responses'!$I$1:$Q$200,2,$A110)&amp;", ")),ISNUMBER(SEARCH(", "&amp;$B110&amp;", ", ", "&amp;INDEX('Form Responses'!$R$1:$R$200,2)&amp;", "))),1,""))</f>
        <v/>
      </c>
      <c r="E110">
        <f>IF(Wizards!$A$3="","",IF(OR(ISNUMBER(SEARCH(", "&amp;$B110&amp;", ", ", "&amp;INDEX('Form Responses'!$I$1:$Q$200,3,$A110)&amp;", ")),ISNUMBER(SEARCH(", "&amp;$B110&amp;", ", ", "&amp;INDEX('Form Responses'!$R$1:$R$200,3)&amp;", "))),1,""))</f>
        <v/>
      </c>
      <c r="F110">
        <f>IF(Wizards!$A$4="","",IF(OR(ISNUMBER(SEARCH(", "&amp;$B110&amp;", ", ", "&amp;INDEX('Form Responses'!$I$1:$Q$200,4,$A110)&amp;", ")),ISNUMBER(SEARCH(", "&amp;$B110&amp;", ", ", "&amp;INDEX('Form Responses'!$R$1:$R$200,4)&amp;", "))),1,""))</f>
        <v/>
      </c>
      <c r="G110">
        <f>IF(Wizards!$A$5="","",IF(OR(ISNUMBER(SEARCH(", "&amp;$B110&amp;", ", ", "&amp;INDEX('Form Responses'!$I$1:$Q$200,5,$A110)&amp;", ")),ISNUMBER(SEARCH(", "&amp;$B110&amp;", ", ", "&amp;INDEX('Form Responses'!$R$1:$R$200,5)&amp;", "))),1,""))</f>
        <v/>
      </c>
      <c r="H110">
        <f>IF(Wizards!$A$6="","",IF(OR(ISNUMBER(SEARCH(", "&amp;$B110&amp;", ", ", "&amp;INDEX('Form Responses'!$I$1:$Q$200,6,$A110)&amp;", ")),ISNUMBER(SEARCH(", "&amp;$B110&amp;", ", ", "&amp;INDEX('Form Responses'!$R$1:$R$200,6)&amp;", "))),1,""))</f>
        <v/>
      </c>
      <c r="I110">
        <f>IF(Wizards!$A$7="","",IF(OR(ISNUMBER(SEARCH(", "&amp;$B110&amp;", ", ", "&amp;INDEX('Form Responses'!$I$1:$Q$200,7,$A110)&amp;", ")),ISNUMBER(SEARCH(", "&amp;$B110&amp;", ", ", "&amp;INDEX('Form Responses'!$R$1:$R$200,7)&amp;", "))),1,""))</f>
        <v/>
      </c>
      <c r="J110">
        <f>IF(Wizards!$A$8="","",IF(OR(ISNUMBER(SEARCH(", "&amp;$B110&amp;", ", ", "&amp;INDEX('Form Responses'!$I$1:$Q$200,8,$A110)&amp;", ")),ISNUMBER(SEARCH(", "&amp;$B110&amp;", ", ", "&amp;INDEX('Form Responses'!$R$1:$R$200,8)&amp;", "))),1,""))</f>
        <v/>
      </c>
      <c r="K110">
        <f>IF(Wizards!$A$9="","",IF(OR(ISNUMBER(SEARCH(", "&amp;$B110&amp;", ", ", "&amp;INDEX('Form Responses'!$I$1:$Q$200,9,$A110)&amp;", ")),ISNUMBER(SEARCH(", "&amp;$B110&amp;", ", ", "&amp;INDEX('Form Responses'!$R$1:$R$200,9)&amp;", "))),1,""))</f>
        <v/>
      </c>
      <c r="L110">
        <f>IF(Wizards!$A$10="","",IF(OR(ISNUMBER(SEARCH(", "&amp;$B110&amp;", ", ", "&amp;INDEX('Form Responses'!$I$1:$Q$200,10,$A110)&amp;", ")),ISNUMBER(SEARCH(", "&amp;$B110&amp;", ", ", "&amp;INDEX('Form Responses'!$R$1:$R$200,10)&amp;", "))),1,""))</f>
        <v/>
      </c>
      <c r="M110">
        <f>IF(Wizards!$A$11="","",IF(OR(ISNUMBER(SEARCH(", "&amp;$B110&amp;", ", ", "&amp;INDEX('Form Responses'!$I$1:$Q$200,11,$A110)&amp;", ")),ISNUMBER(SEARCH(", "&amp;$B110&amp;", ", ", "&amp;INDEX('Form Responses'!$R$1:$R$200,11)&amp;", "))),1,""))</f>
        <v/>
      </c>
      <c r="N110">
        <f>IF(Wizards!$A$12="","",IF(OR(ISNUMBER(SEARCH(", "&amp;$B110&amp;", ", ", "&amp;INDEX('Form Responses'!$I$1:$Q$200,12,$A110)&amp;", ")),ISNUMBER(SEARCH(", "&amp;$B110&amp;", ", ", "&amp;INDEX('Form Responses'!$R$1:$R$200,12)&amp;", "))),1,""))</f>
        <v/>
      </c>
      <c r="O110">
        <f>IF(Wizards!$A$13="","",IF(OR(ISNUMBER(SEARCH(", "&amp;$B110&amp;", ", ", "&amp;INDEX('Form Responses'!$I$1:$Q$200,13,$A110)&amp;", ")),ISNUMBER(SEARCH(", "&amp;$B110&amp;", ", ", "&amp;INDEX('Form Responses'!$R$1:$R$200,13)&amp;", "))),1,""))</f>
        <v/>
      </c>
      <c r="P110">
        <f>IF(Wizards!$A$14="","",IF(OR(ISNUMBER(SEARCH(", "&amp;$B110&amp;", ", ", "&amp;INDEX('Form Responses'!$I$1:$Q$200,14,$A110)&amp;", ")),ISNUMBER(SEARCH(", "&amp;$B110&amp;", ", ", "&amp;INDEX('Form Responses'!$R$1:$R$200,14)&amp;", "))),1,""))</f>
        <v/>
      </c>
      <c r="Q110">
        <f>IF(Wizards!$A$15="","",IF(OR(ISNUMBER(SEARCH(", "&amp;$B110&amp;", ", ", "&amp;INDEX('Form Responses'!$I$1:$Q$200,15,$A110)&amp;", ")),ISNUMBER(SEARCH(", "&amp;$B110&amp;", ", ", "&amp;INDEX('Form Responses'!$R$1:$R$200,15)&amp;", "))),1,""))</f>
        <v/>
      </c>
      <c r="R110">
        <f>IF(Wizards!$A$16="","",IF(OR(ISNUMBER(SEARCH(", "&amp;$B110&amp;", ", ", "&amp;INDEX('Form Responses'!$I$1:$Q$200,16,$A110)&amp;", ")),ISNUMBER(SEARCH(", "&amp;$B110&amp;", ", ", "&amp;INDEX('Form Responses'!$R$1:$R$200,16)&amp;", "))),1,""))</f>
        <v/>
      </c>
      <c r="S110">
        <f>IF(Wizards!$A$17="","",IF(OR(ISNUMBER(SEARCH(", "&amp;$B110&amp;", ", ", "&amp;INDEX('Form Responses'!$I$1:$Q$200,17,$A110)&amp;", ")),ISNUMBER(SEARCH(", "&amp;$B110&amp;", ", ", "&amp;INDEX('Form Responses'!$R$1:$R$200,17)&amp;", "))),1,""))</f>
        <v/>
      </c>
      <c r="T110">
        <f>IF(Wizards!$A$18="","",IF(OR(ISNUMBER(SEARCH(", "&amp;$B110&amp;", ", ", "&amp;INDEX('Form Responses'!$I$1:$Q$200,18,$A110)&amp;", ")),ISNUMBER(SEARCH(", "&amp;$B110&amp;", ", ", "&amp;INDEX('Form Responses'!$R$1:$R$200,18)&amp;", "))),1,""))</f>
        <v/>
      </c>
      <c r="U110">
        <f>IF(Wizards!$A$19="","",IF(OR(ISNUMBER(SEARCH(", "&amp;$B110&amp;", ", ", "&amp;INDEX('Form Responses'!$I$1:$Q$200,19,$A110)&amp;", ")),ISNUMBER(SEARCH(", "&amp;$B110&amp;", ", ", "&amp;INDEX('Form Responses'!$R$1:$R$200,19)&amp;", "))),1,""))</f>
        <v/>
      </c>
      <c r="V110">
        <f>IF(Wizards!$A$20="","",IF(OR(ISNUMBER(SEARCH(", "&amp;$B110&amp;", ", ", "&amp;INDEX('Form Responses'!$I$1:$Q$200,20,$A110)&amp;", ")),ISNUMBER(SEARCH(", "&amp;$B110&amp;", ", ", "&amp;INDEX('Form Responses'!$R$1:$R$200,20)&amp;", "))),1,""))</f>
        <v/>
      </c>
      <c r="W110">
        <f>IF(Wizards!$A$21="","",IF(OR(ISNUMBER(SEARCH(", "&amp;$B110&amp;", ", ", "&amp;INDEX('Form Responses'!$I$1:$Q$200,21,$A110)&amp;", ")),ISNUMBER(SEARCH(", "&amp;$B110&amp;", ", ", "&amp;INDEX('Form Responses'!$R$1:$R$200,21)&amp;", "))),1,""))</f>
        <v/>
      </c>
      <c r="X110">
        <f>IF(Wizards!$A$22="","",IF(OR(ISNUMBER(SEARCH(", "&amp;$B110&amp;", ", ", "&amp;INDEX('Form Responses'!$I$1:$Q$200,22,$A110)&amp;", ")),ISNUMBER(SEARCH(", "&amp;$B110&amp;", ", ", "&amp;INDEX('Form Responses'!$R$1:$R$200,22)&amp;", "))),1,""))</f>
        <v/>
      </c>
      <c r="Y110">
        <f>IF(Wizards!$A$23="","",IF(OR(ISNUMBER(SEARCH(", "&amp;$B110&amp;", ", ", "&amp;INDEX('Form Responses'!$I$1:$Q$200,23,$A110)&amp;", ")),ISNUMBER(SEARCH(", "&amp;$B110&amp;", ", ", "&amp;INDEX('Form Responses'!$R$1:$R$200,23)&amp;", "))),1,""))</f>
        <v/>
      </c>
      <c r="Z110">
        <f>IF(Wizards!$A$24="","",IF(OR(ISNUMBER(SEARCH(", "&amp;$B110&amp;", ", ", "&amp;INDEX('Form Responses'!$I$1:$Q$200,24,$A110)&amp;", ")),ISNUMBER(SEARCH(", "&amp;$B110&amp;", ", ", "&amp;INDEX('Form Responses'!$R$1:$R$200,24)&amp;", "))),1,""))</f>
        <v/>
      </c>
      <c r="AA110">
        <f>IF(Wizards!$A$25="","",IF(OR(ISNUMBER(SEARCH(", "&amp;$B110&amp;", ", ", "&amp;INDEX('Form Responses'!$I$1:$Q$200,25,$A110)&amp;", ")),ISNUMBER(SEARCH(", "&amp;$B110&amp;", ", ", "&amp;INDEX('Form Responses'!$R$1:$R$200,25)&amp;", "))),1,""))</f>
        <v/>
      </c>
      <c r="AB110">
        <f>IF(D110=1,", "&amp;D$1,"")</f>
        <v/>
      </c>
      <c r="AC110">
        <f>IF(E110=1,", "&amp;E$1,"")</f>
        <v/>
      </c>
      <c r="AD110">
        <f>IF(F110=1,", "&amp;F$1,"")</f>
        <v/>
      </c>
      <c r="AE110">
        <f>IF(G110=1,", "&amp;G$1,"")</f>
        <v/>
      </c>
      <c r="AF110">
        <f>IF(H110=1,", "&amp;H$1,"")</f>
        <v/>
      </c>
      <c r="AG110">
        <f>IF(I110=1,", "&amp;I$1,"")</f>
        <v/>
      </c>
      <c r="AH110">
        <f>IF(J110=1,", "&amp;J$1,"")</f>
        <v/>
      </c>
      <c r="AI110">
        <f>IF(K110=1,", "&amp;K$1,"")</f>
        <v/>
      </c>
      <c r="AJ110">
        <f>IF(L110=1,", "&amp;L$1,"")</f>
        <v/>
      </c>
      <c r="AK110">
        <f>IF(M110=1,", "&amp;M$1,"")</f>
        <v/>
      </c>
      <c r="AL110">
        <f>IF(N110=1,", "&amp;N$1,"")</f>
        <v/>
      </c>
      <c r="AM110">
        <f>IF(O110=1,", "&amp;O$1,"")</f>
        <v/>
      </c>
      <c r="AN110">
        <f>IF(P110=1,", "&amp;P$1,"")</f>
        <v/>
      </c>
      <c r="AO110">
        <f>IF(Q110=1,", "&amp;Q$1,"")</f>
        <v/>
      </c>
      <c r="AP110">
        <f>IF(R110=1,", "&amp;R$1,"")</f>
        <v/>
      </c>
      <c r="AQ110">
        <f>IF(S110=1,", "&amp;S$1,"")</f>
        <v/>
      </c>
      <c r="AR110">
        <f>IF(T110=1,", "&amp;T$1,"")</f>
        <v/>
      </c>
      <c r="AS110">
        <f>IF(U110=1,", "&amp;U$1,"")</f>
        <v/>
      </c>
      <c r="AT110">
        <f>IF(V110=1,", "&amp;V$1,"")</f>
        <v/>
      </c>
      <c r="AU110">
        <f>IF(W110=1,", "&amp;W$1,"")</f>
        <v/>
      </c>
      <c r="AV110">
        <f>IF(X110=1,", "&amp;X$1,"")</f>
        <v/>
      </c>
      <c r="AW110">
        <f>IF(Y110=1,", "&amp;Y$1,"")</f>
        <v/>
      </c>
      <c r="AX110">
        <f>IF(Z110=1,", "&amp;Z$1,"")</f>
        <v/>
      </c>
      <c r="AY110">
        <f>IF(AA110=1,", "&amp;AA$1,"")</f>
        <v/>
      </c>
      <c r="AZ110">
        <f>MID($AB110&amp;$AC110&amp;$AD110&amp;$AE110&amp;$AF110&amp;$AG110&amp;$AH110&amp;$AI110&amp;$AJ110&amp;$AK110&amp;$AL110&amp;$AM110&amp;$AN110&amp;$AO110&amp;$AP110&amp;$AQ110&amp;$AR110&amp;$AS110&amp;$AT110&amp;$AU110&amp;$AV110&amp;$AW110&amp;$AX110&amp;$AY110,3,32767)</f>
        <v/>
      </c>
      <c r="BA110">
        <f>COUNT($D110:$AA110)</f>
        <v/>
      </c>
    </row>
    <row r="111">
      <c r="A111" t="n">
        <v>3</v>
      </c>
      <c r="B111" t="inlineStr">
        <is>
          <t>Catnap</t>
        </is>
      </c>
      <c r="C111" t="inlineStr">
        <is>
          <t>Enchantment</t>
        </is>
      </c>
      <c r="D111">
        <f>IF(Wizards!$A$2="","",IF(OR(ISNUMBER(SEARCH(", "&amp;$B111&amp;", ", ", "&amp;INDEX('Form Responses'!$I$1:$Q$200,2,$A111)&amp;", ")),ISNUMBER(SEARCH(", "&amp;$B111&amp;", ", ", "&amp;INDEX('Form Responses'!$R$1:$R$200,2)&amp;", "))),1,""))</f>
        <v/>
      </c>
      <c r="E111">
        <f>IF(Wizards!$A$3="","",IF(OR(ISNUMBER(SEARCH(", "&amp;$B111&amp;", ", ", "&amp;INDEX('Form Responses'!$I$1:$Q$200,3,$A111)&amp;", ")),ISNUMBER(SEARCH(", "&amp;$B111&amp;", ", ", "&amp;INDEX('Form Responses'!$R$1:$R$200,3)&amp;", "))),1,""))</f>
        <v/>
      </c>
      <c r="F111">
        <f>IF(Wizards!$A$4="","",IF(OR(ISNUMBER(SEARCH(", "&amp;$B111&amp;", ", ", "&amp;INDEX('Form Responses'!$I$1:$Q$200,4,$A111)&amp;", ")),ISNUMBER(SEARCH(", "&amp;$B111&amp;", ", ", "&amp;INDEX('Form Responses'!$R$1:$R$200,4)&amp;", "))),1,""))</f>
        <v/>
      </c>
      <c r="G111">
        <f>IF(Wizards!$A$5="","",IF(OR(ISNUMBER(SEARCH(", "&amp;$B111&amp;", ", ", "&amp;INDEX('Form Responses'!$I$1:$Q$200,5,$A111)&amp;", ")),ISNUMBER(SEARCH(", "&amp;$B111&amp;", ", ", "&amp;INDEX('Form Responses'!$R$1:$R$200,5)&amp;", "))),1,""))</f>
        <v/>
      </c>
      <c r="H111">
        <f>IF(Wizards!$A$6="","",IF(OR(ISNUMBER(SEARCH(", "&amp;$B111&amp;", ", ", "&amp;INDEX('Form Responses'!$I$1:$Q$200,6,$A111)&amp;", ")),ISNUMBER(SEARCH(", "&amp;$B111&amp;", ", ", "&amp;INDEX('Form Responses'!$R$1:$R$200,6)&amp;", "))),1,""))</f>
        <v/>
      </c>
      <c r="I111">
        <f>IF(Wizards!$A$7="","",IF(OR(ISNUMBER(SEARCH(", "&amp;$B111&amp;", ", ", "&amp;INDEX('Form Responses'!$I$1:$Q$200,7,$A111)&amp;", ")),ISNUMBER(SEARCH(", "&amp;$B111&amp;", ", ", "&amp;INDEX('Form Responses'!$R$1:$R$200,7)&amp;", "))),1,""))</f>
        <v/>
      </c>
      <c r="J111">
        <f>IF(Wizards!$A$8="","",IF(OR(ISNUMBER(SEARCH(", "&amp;$B111&amp;", ", ", "&amp;INDEX('Form Responses'!$I$1:$Q$200,8,$A111)&amp;", ")),ISNUMBER(SEARCH(", "&amp;$B111&amp;", ", ", "&amp;INDEX('Form Responses'!$R$1:$R$200,8)&amp;", "))),1,""))</f>
        <v/>
      </c>
      <c r="K111">
        <f>IF(Wizards!$A$9="","",IF(OR(ISNUMBER(SEARCH(", "&amp;$B111&amp;", ", ", "&amp;INDEX('Form Responses'!$I$1:$Q$200,9,$A111)&amp;", ")),ISNUMBER(SEARCH(", "&amp;$B111&amp;", ", ", "&amp;INDEX('Form Responses'!$R$1:$R$200,9)&amp;", "))),1,""))</f>
        <v/>
      </c>
      <c r="L111">
        <f>IF(Wizards!$A$10="","",IF(OR(ISNUMBER(SEARCH(", "&amp;$B111&amp;", ", ", "&amp;INDEX('Form Responses'!$I$1:$Q$200,10,$A111)&amp;", ")),ISNUMBER(SEARCH(", "&amp;$B111&amp;", ", ", "&amp;INDEX('Form Responses'!$R$1:$R$200,10)&amp;", "))),1,""))</f>
        <v/>
      </c>
      <c r="M111">
        <f>IF(Wizards!$A$11="","",IF(OR(ISNUMBER(SEARCH(", "&amp;$B111&amp;", ", ", "&amp;INDEX('Form Responses'!$I$1:$Q$200,11,$A111)&amp;", ")),ISNUMBER(SEARCH(", "&amp;$B111&amp;", ", ", "&amp;INDEX('Form Responses'!$R$1:$R$200,11)&amp;", "))),1,""))</f>
        <v/>
      </c>
      <c r="N111">
        <f>IF(Wizards!$A$12="","",IF(OR(ISNUMBER(SEARCH(", "&amp;$B111&amp;", ", ", "&amp;INDEX('Form Responses'!$I$1:$Q$200,12,$A111)&amp;", ")),ISNUMBER(SEARCH(", "&amp;$B111&amp;", ", ", "&amp;INDEX('Form Responses'!$R$1:$R$200,12)&amp;", "))),1,""))</f>
        <v/>
      </c>
      <c r="O111">
        <f>IF(Wizards!$A$13="","",IF(OR(ISNUMBER(SEARCH(", "&amp;$B111&amp;", ", ", "&amp;INDEX('Form Responses'!$I$1:$Q$200,13,$A111)&amp;", ")),ISNUMBER(SEARCH(", "&amp;$B111&amp;", ", ", "&amp;INDEX('Form Responses'!$R$1:$R$200,13)&amp;", "))),1,""))</f>
        <v/>
      </c>
      <c r="P111">
        <f>IF(Wizards!$A$14="","",IF(OR(ISNUMBER(SEARCH(", "&amp;$B111&amp;", ", ", "&amp;INDEX('Form Responses'!$I$1:$Q$200,14,$A111)&amp;", ")),ISNUMBER(SEARCH(", "&amp;$B111&amp;", ", ", "&amp;INDEX('Form Responses'!$R$1:$R$200,14)&amp;", "))),1,""))</f>
        <v/>
      </c>
      <c r="Q111">
        <f>IF(Wizards!$A$15="","",IF(OR(ISNUMBER(SEARCH(", "&amp;$B111&amp;", ", ", "&amp;INDEX('Form Responses'!$I$1:$Q$200,15,$A111)&amp;", ")),ISNUMBER(SEARCH(", "&amp;$B111&amp;", ", ", "&amp;INDEX('Form Responses'!$R$1:$R$200,15)&amp;", "))),1,""))</f>
        <v/>
      </c>
      <c r="R111">
        <f>IF(Wizards!$A$16="","",IF(OR(ISNUMBER(SEARCH(", "&amp;$B111&amp;", ", ", "&amp;INDEX('Form Responses'!$I$1:$Q$200,16,$A111)&amp;", ")),ISNUMBER(SEARCH(", "&amp;$B111&amp;", ", ", "&amp;INDEX('Form Responses'!$R$1:$R$200,16)&amp;", "))),1,""))</f>
        <v/>
      </c>
      <c r="S111">
        <f>IF(Wizards!$A$17="","",IF(OR(ISNUMBER(SEARCH(", "&amp;$B111&amp;", ", ", "&amp;INDEX('Form Responses'!$I$1:$Q$200,17,$A111)&amp;", ")),ISNUMBER(SEARCH(", "&amp;$B111&amp;", ", ", "&amp;INDEX('Form Responses'!$R$1:$R$200,17)&amp;", "))),1,""))</f>
        <v/>
      </c>
      <c r="T111">
        <f>IF(Wizards!$A$18="","",IF(OR(ISNUMBER(SEARCH(", "&amp;$B111&amp;", ", ", "&amp;INDEX('Form Responses'!$I$1:$Q$200,18,$A111)&amp;", ")),ISNUMBER(SEARCH(", "&amp;$B111&amp;", ", ", "&amp;INDEX('Form Responses'!$R$1:$R$200,18)&amp;", "))),1,""))</f>
        <v/>
      </c>
      <c r="U111">
        <f>IF(Wizards!$A$19="","",IF(OR(ISNUMBER(SEARCH(", "&amp;$B111&amp;", ", ", "&amp;INDEX('Form Responses'!$I$1:$Q$200,19,$A111)&amp;", ")),ISNUMBER(SEARCH(", "&amp;$B111&amp;", ", ", "&amp;INDEX('Form Responses'!$R$1:$R$200,19)&amp;", "))),1,""))</f>
        <v/>
      </c>
      <c r="V111">
        <f>IF(Wizards!$A$20="","",IF(OR(ISNUMBER(SEARCH(", "&amp;$B111&amp;", ", ", "&amp;INDEX('Form Responses'!$I$1:$Q$200,20,$A111)&amp;", ")),ISNUMBER(SEARCH(", "&amp;$B111&amp;", ", ", "&amp;INDEX('Form Responses'!$R$1:$R$200,20)&amp;", "))),1,""))</f>
        <v/>
      </c>
      <c r="W111">
        <f>IF(Wizards!$A$21="","",IF(OR(ISNUMBER(SEARCH(", "&amp;$B111&amp;", ", ", "&amp;INDEX('Form Responses'!$I$1:$Q$200,21,$A111)&amp;", ")),ISNUMBER(SEARCH(", "&amp;$B111&amp;", ", ", "&amp;INDEX('Form Responses'!$R$1:$R$200,21)&amp;", "))),1,""))</f>
        <v/>
      </c>
      <c r="X111">
        <f>IF(Wizards!$A$22="","",IF(OR(ISNUMBER(SEARCH(", "&amp;$B111&amp;", ", ", "&amp;INDEX('Form Responses'!$I$1:$Q$200,22,$A111)&amp;", ")),ISNUMBER(SEARCH(", "&amp;$B111&amp;", ", ", "&amp;INDEX('Form Responses'!$R$1:$R$200,22)&amp;", "))),1,""))</f>
        <v/>
      </c>
      <c r="Y111">
        <f>IF(Wizards!$A$23="","",IF(OR(ISNUMBER(SEARCH(", "&amp;$B111&amp;", ", ", "&amp;INDEX('Form Responses'!$I$1:$Q$200,23,$A111)&amp;", ")),ISNUMBER(SEARCH(", "&amp;$B111&amp;", ", ", "&amp;INDEX('Form Responses'!$R$1:$R$200,23)&amp;", "))),1,""))</f>
        <v/>
      </c>
      <c r="Z111">
        <f>IF(Wizards!$A$24="","",IF(OR(ISNUMBER(SEARCH(", "&amp;$B111&amp;", ", ", "&amp;INDEX('Form Responses'!$I$1:$Q$200,24,$A111)&amp;", ")),ISNUMBER(SEARCH(", "&amp;$B111&amp;", ", ", "&amp;INDEX('Form Responses'!$R$1:$R$200,24)&amp;", "))),1,""))</f>
        <v/>
      </c>
      <c r="AA111">
        <f>IF(Wizards!$A$25="","",IF(OR(ISNUMBER(SEARCH(", "&amp;$B111&amp;", ", ", "&amp;INDEX('Form Responses'!$I$1:$Q$200,25,$A111)&amp;", ")),ISNUMBER(SEARCH(", "&amp;$B111&amp;", ", ", "&amp;INDEX('Form Responses'!$R$1:$R$200,25)&amp;", "))),1,""))</f>
        <v/>
      </c>
      <c r="AB111">
        <f>IF(D111=1,", "&amp;D$1,"")</f>
        <v/>
      </c>
      <c r="AC111">
        <f>IF(E111=1,", "&amp;E$1,"")</f>
        <v/>
      </c>
      <c r="AD111">
        <f>IF(F111=1,", "&amp;F$1,"")</f>
        <v/>
      </c>
      <c r="AE111">
        <f>IF(G111=1,", "&amp;G$1,"")</f>
        <v/>
      </c>
      <c r="AF111">
        <f>IF(H111=1,", "&amp;H$1,"")</f>
        <v/>
      </c>
      <c r="AG111">
        <f>IF(I111=1,", "&amp;I$1,"")</f>
        <v/>
      </c>
      <c r="AH111">
        <f>IF(J111=1,", "&amp;J$1,"")</f>
        <v/>
      </c>
      <c r="AI111">
        <f>IF(K111=1,", "&amp;K$1,"")</f>
        <v/>
      </c>
      <c r="AJ111">
        <f>IF(L111=1,", "&amp;L$1,"")</f>
        <v/>
      </c>
      <c r="AK111">
        <f>IF(M111=1,", "&amp;M$1,"")</f>
        <v/>
      </c>
      <c r="AL111">
        <f>IF(N111=1,", "&amp;N$1,"")</f>
        <v/>
      </c>
      <c r="AM111">
        <f>IF(O111=1,", "&amp;O$1,"")</f>
        <v/>
      </c>
      <c r="AN111">
        <f>IF(P111=1,", "&amp;P$1,"")</f>
        <v/>
      </c>
      <c r="AO111">
        <f>IF(Q111=1,", "&amp;Q$1,"")</f>
        <v/>
      </c>
      <c r="AP111">
        <f>IF(R111=1,", "&amp;R$1,"")</f>
        <v/>
      </c>
      <c r="AQ111">
        <f>IF(S111=1,", "&amp;S$1,"")</f>
        <v/>
      </c>
      <c r="AR111">
        <f>IF(T111=1,", "&amp;T$1,"")</f>
        <v/>
      </c>
      <c r="AS111">
        <f>IF(U111=1,", "&amp;U$1,"")</f>
        <v/>
      </c>
      <c r="AT111">
        <f>IF(V111=1,", "&amp;V$1,"")</f>
        <v/>
      </c>
      <c r="AU111">
        <f>IF(W111=1,", "&amp;W$1,"")</f>
        <v/>
      </c>
      <c r="AV111">
        <f>IF(X111=1,", "&amp;X$1,"")</f>
        <v/>
      </c>
      <c r="AW111">
        <f>IF(Y111=1,", "&amp;Y$1,"")</f>
        <v/>
      </c>
      <c r="AX111">
        <f>IF(Z111=1,", "&amp;Z$1,"")</f>
        <v/>
      </c>
      <c r="AY111">
        <f>IF(AA111=1,", "&amp;AA$1,"")</f>
        <v/>
      </c>
      <c r="AZ111">
        <f>MID($AB111&amp;$AC111&amp;$AD111&amp;$AE111&amp;$AF111&amp;$AG111&amp;$AH111&amp;$AI111&amp;$AJ111&amp;$AK111&amp;$AL111&amp;$AM111&amp;$AN111&amp;$AO111&amp;$AP111&amp;$AQ111&amp;$AR111&amp;$AS111&amp;$AT111&amp;$AU111&amp;$AV111&amp;$AW111&amp;$AX111&amp;$AY111,3,32767)</f>
        <v/>
      </c>
      <c r="BA111">
        <f>COUNT($D111:$AA111)</f>
        <v/>
      </c>
    </row>
    <row r="112">
      <c r="A112" t="n">
        <v>3</v>
      </c>
      <c r="B112" t="inlineStr">
        <is>
          <t>Clairvoyance</t>
        </is>
      </c>
      <c r="C112" t="inlineStr">
        <is>
          <t>Divination</t>
        </is>
      </c>
      <c r="D112">
        <f>IF(Wizards!$A$2="","",IF(OR(ISNUMBER(SEARCH(", "&amp;$B112&amp;", ", ", "&amp;INDEX('Form Responses'!$I$1:$Q$200,2,$A112)&amp;", ")),ISNUMBER(SEARCH(", "&amp;$B112&amp;", ", ", "&amp;INDEX('Form Responses'!$R$1:$R$200,2)&amp;", "))),1,""))</f>
        <v/>
      </c>
      <c r="E112">
        <f>IF(Wizards!$A$3="","",IF(OR(ISNUMBER(SEARCH(", "&amp;$B112&amp;", ", ", "&amp;INDEX('Form Responses'!$I$1:$Q$200,3,$A112)&amp;", ")),ISNUMBER(SEARCH(", "&amp;$B112&amp;", ", ", "&amp;INDEX('Form Responses'!$R$1:$R$200,3)&amp;", "))),1,""))</f>
        <v/>
      </c>
      <c r="F112">
        <f>IF(Wizards!$A$4="","",IF(OR(ISNUMBER(SEARCH(", "&amp;$B112&amp;", ", ", "&amp;INDEX('Form Responses'!$I$1:$Q$200,4,$A112)&amp;", ")),ISNUMBER(SEARCH(", "&amp;$B112&amp;", ", ", "&amp;INDEX('Form Responses'!$R$1:$R$200,4)&amp;", "))),1,""))</f>
        <v/>
      </c>
      <c r="G112">
        <f>IF(Wizards!$A$5="","",IF(OR(ISNUMBER(SEARCH(", "&amp;$B112&amp;", ", ", "&amp;INDEX('Form Responses'!$I$1:$Q$200,5,$A112)&amp;", ")),ISNUMBER(SEARCH(", "&amp;$B112&amp;", ", ", "&amp;INDEX('Form Responses'!$R$1:$R$200,5)&amp;", "))),1,""))</f>
        <v/>
      </c>
      <c r="H112">
        <f>IF(Wizards!$A$6="","",IF(OR(ISNUMBER(SEARCH(", "&amp;$B112&amp;", ", ", "&amp;INDEX('Form Responses'!$I$1:$Q$200,6,$A112)&amp;", ")),ISNUMBER(SEARCH(", "&amp;$B112&amp;", ", ", "&amp;INDEX('Form Responses'!$R$1:$R$200,6)&amp;", "))),1,""))</f>
        <v/>
      </c>
      <c r="I112">
        <f>IF(Wizards!$A$7="","",IF(OR(ISNUMBER(SEARCH(", "&amp;$B112&amp;", ", ", "&amp;INDEX('Form Responses'!$I$1:$Q$200,7,$A112)&amp;", ")),ISNUMBER(SEARCH(", "&amp;$B112&amp;", ", ", "&amp;INDEX('Form Responses'!$R$1:$R$200,7)&amp;", "))),1,""))</f>
        <v/>
      </c>
      <c r="J112">
        <f>IF(Wizards!$A$8="","",IF(OR(ISNUMBER(SEARCH(", "&amp;$B112&amp;", ", ", "&amp;INDEX('Form Responses'!$I$1:$Q$200,8,$A112)&amp;", ")),ISNUMBER(SEARCH(", "&amp;$B112&amp;", ", ", "&amp;INDEX('Form Responses'!$R$1:$R$200,8)&amp;", "))),1,""))</f>
        <v/>
      </c>
      <c r="K112">
        <f>IF(Wizards!$A$9="","",IF(OR(ISNUMBER(SEARCH(", "&amp;$B112&amp;", ", ", "&amp;INDEX('Form Responses'!$I$1:$Q$200,9,$A112)&amp;", ")),ISNUMBER(SEARCH(", "&amp;$B112&amp;", ", ", "&amp;INDEX('Form Responses'!$R$1:$R$200,9)&amp;", "))),1,""))</f>
        <v/>
      </c>
      <c r="L112">
        <f>IF(Wizards!$A$10="","",IF(OR(ISNUMBER(SEARCH(", "&amp;$B112&amp;", ", ", "&amp;INDEX('Form Responses'!$I$1:$Q$200,10,$A112)&amp;", ")),ISNUMBER(SEARCH(", "&amp;$B112&amp;", ", ", "&amp;INDEX('Form Responses'!$R$1:$R$200,10)&amp;", "))),1,""))</f>
        <v/>
      </c>
      <c r="M112">
        <f>IF(Wizards!$A$11="","",IF(OR(ISNUMBER(SEARCH(", "&amp;$B112&amp;", ", ", "&amp;INDEX('Form Responses'!$I$1:$Q$200,11,$A112)&amp;", ")),ISNUMBER(SEARCH(", "&amp;$B112&amp;", ", ", "&amp;INDEX('Form Responses'!$R$1:$R$200,11)&amp;", "))),1,""))</f>
        <v/>
      </c>
      <c r="N112">
        <f>IF(Wizards!$A$12="","",IF(OR(ISNUMBER(SEARCH(", "&amp;$B112&amp;", ", ", "&amp;INDEX('Form Responses'!$I$1:$Q$200,12,$A112)&amp;", ")),ISNUMBER(SEARCH(", "&amp;$B112&amp;", ", ", "&amp;INDEX('Form Responses'!$R$1:$R$200,12)&amp;", "))),1,""))</f>
        <v/>
      </c>
      <c r="O112">
        <f>IF(Wizards!$A$13="","",IF(OR(ISNUMBER(SEARCH(", "&amp;$B112&amp;", ", ", "&amp;INDEX('Form Responses'!$I$1:$Q$200,13,$A112)&amp;", ")),ISNUMBER(SEARCH(", "&amp;$B112&amp;", ", ", "&amp;INDEX('Form Responses'!$R$1:$R$200,13)&amp;", "))),1,""))</f>
        <v/>
      </c>
      <c r="P112">
        <f>IF(Wizards!$A$14="","",IF(OR(ISNUMBER(SEARCH(", "&amp;$B112&amp;", ", ", "&amp;INDEX('Form Responses'!$I$1:$Q$200,14,$A112)&amp;", ")),ISNUMBER(SEARCH(", "&amp;$B112&amp;", ", ", "&amp;INDEX('Form Responses'!$R$1:$R$200,14)&amp;", "))),1,""))</f>
        <v/>
      </c>
      <c r="Q112">
        <f>IF(Wizards!$A$15="","",IF(OR(ISNUMBER(SEARCH(", "&amp;$B112&amp;", ", ", "&amp;INDEX('Form Responses'!$I$1:$Q$200,15,$A112)&amp;", ")),ISNUMBER(SEARCH(", "&amp;$B112&amp;", ", ", "&amp;INDEX('Form Responses'!$R$1:$R$200,15)&amp;", "))),1,""))</f>
        <v/>
      </c>
      <c r="R112">
        <f>IF(Wizards!$A$16="","",IF(OR(ISNUMBER(SEARCH(", "&amp;$B112&amp;", ", ", "&amp;INDEX('Form Responses'!$I$1:$Q$200,16,$A112)&amp;", ")),ISNUMBER(SEARCH(", "&amp;$B112&amp;", ", ", "&amp;INDEX('Form Responses'!$R$1:$R$200,16)&amp;", "))),1,""))</f>
        <v/>
      </c>
      <c r="S112">
        <f>IF(Wizards!$A$17="","",IF(OR(ISNUMBER(SEARCH(", "&amp;$B112&amp;", ", ", "&amp;INDEX('Form Responses'!$I$1:$Q$200,17,$A112)&amp;", ")),ISNUMBER(SEARCH(", "&amp;$B112&amp;", ", ", "&amp;INDEX('Form Responses'!$R$1:$R$200,17)&amp;", "))),1,""))</f>
        <v/>
      </c>
      <c r="T112">
        <f>IF(Wizards!$A$18="","",IF(OR(ISNUMBER(SEARCH(", "&amp;$B112&amp;", ", ", "&amp;INDEX('Form Responses'!$I$1:$Q$200,18,$A112)&amp;", ")),ISNUMBER(SEARCH(", "&amp;$B112&amp;", ", ", "&amp;INDEX('Form Responses'!$R$1:$R$200,18)&amp;", "))),1,""))</f>
        <v/>
      </c>
      <c r="U112">
        <f>IF(Wizards!$A$19="","",IF(OR(ISNUMBER(SEARCH(", "&amp;$B112&amp;", ", ", "&amp;INDEX('Form Responses'!$I$1:$Q$200,19,$A112)&amp;", ")),ISNUMBER(SEARCH(", "&amp;$B112&amp;", ", ", "&amp;INDEX('Form Responses'!$R$1:$R$200,19)&amp;", "))),1,""))</f>
        <v/>
      </c>
      <c r="V112">
        <f>IF(Wizards!$A$20="","",IF(OR(ISNUMBER(SEARCH(", "&amp;$B112&amp;", ", ", "&amp;INDEX('Form Responses'!$I$1:$Q$200,20,$A112)&amp;", ")),ISNUMBER(SEARCH(", "&amp;$B112&amp;", ", ", "&amp;INDEX('Form Responses'!$R$1:$R$200,20)&amp;", "))),1,""))</f>
        <v/>
      </c>
      <c r="W112">
        <f>IF(Wizards!$A$21="","",IF(OR(ISNUMBER(SEARCH(", "&amp;$B112&amp;", ", ", "&amp;INDEX('Form Responses'!$I$1:$Q$200,21,$A112)&amp;", ")),ISNUMBER(SEARCH(", "&amp;$B112&amp;", ", ", "&amp;INDEX('Form Responses'!$R$1:$R$200,21)&amp;", "))),1,""))</f>
        <v/>
      </c>
      <c r="X112">
        <f>IF(Wizards!$A$22="","",IF(OR(ISNUMBER(SEARCH(", "&amp;$B112&amp;", ", ", "&amp;INDEX('Form Responses'!$I$1:$Q$200,22,$A112)&amp;", ")),ISNUMBER(SEARCH(", "&amp;$B112&amp;", ", ", "&amp;INDEX('Form Responses'!$R$1:$R$200,22)&amp;", "))),1,""))</f>
        <v/>
      </c>
      <c r="Y112">
        <f>IF(Wizards!$A$23="","",IF(OR(ISNUMBER(SEARCH(", "&amp;$B112&amp;", ", ", "&amp;INDEX('Form Responses'!$I$1:$Q$200,23,$A112)&amp;", ")),ISNUMBER(SEARCH(", "&amp;$B112&amp;", ", ", "&amp;INDEX('Form Responses'!$R$1:$R$200,23)&amp;", "))),1,""))</f>
        <v/>
      </c>
      <c r="Z112">
        <f>IF(Wizards!$A$24="","",IF(OR(ISNUMBER(SEARCH(", "&amp;$B112&amp;", ", ", "&amp;INDEX('Form Responses'!$I$1:$Q$200,24,$A112)&amp;", ")),ISNUMBER(SEARCH(", "&amp;$B112&amp;", ", ", "&amp;INDEX('Form Responses'!$R$1:$R$200,24)&amp;", "))),1,""))</f>
        <v/>
      </c>
      <c r="AA112">
        <f>IF(Wizards!$A$25="","",IF(OR(ISNUMBER(SEARCH(", "&amp;$B112&amp;", ", ", "&amp;INDEX('Form Responses'!$I$1:$Q$200,25,$A112)&amp;", ")),ISNUMBER(SEARCH(", "&amp;$B112&amp;", ", ", "&amp;INDEX('Form Responses'!$R$1:$R$200,25)&amp;", "))),1,""))</f>
        <v/>
      </c>
      <c r="AB112">
        <f>IF(D112=1,", "&amp;D$1,"")</f>
        <v/>
      </c>
      <c r="AC112">
        <f>IF(E112=1,", "&amp;E$1,"")</f>
        <v/>
      </c>
      <c r="AD112">
        <f>IF(F112=1,", "&amp;F$1,"")</f>
        <v/>
      </c>
      <c r="AE112">
        <f>IF(G112=1,", "&amp;G$1,"")</f>
        <v/>
      </c>
      <c r="AF112">
        <f>IF(H112=1,", "&amp;H$1,"")</f>
        <v/>
      </c>
      <c r="AG112">
        <f>IF(I112=1,", "&amp;I$1,"")</f>
        <v/>
      </c>
      <c r="AH112">
        <f>IF(J112=1,", "&amp;J$1,"")</f>
        <v/>
      </c>
      <c r="AI112">
        <f>IF(K112=1,", "&amp;K$1,"")</f>
        <v/>
      </c>
      <c r="AJ112">
        <f>IF(L112=1,", "&amp;L$1,"")</f>
        <v/>
      </c>
      <c r="AK112">
        <f>IF(M112=1,", "&amp;M$1,"")</f>
        <v/>
      </c>
      <c r="AL112">
        <f>IF(N112=1,", "&amp;N$1,"")</f>
        <v/>
      </c>
      <c r="AM112">
        <f>IF(O112=1,", "&amp;O$1,"")</f>
        <v/>
      </c>
      <c r="AN112">
        <f>IF(P112=1,", "&amp;P$1,"")</f>
        <v/>
      </c>
      <c r="AO112">
        <f>IF(Q112=1,", "&amp;Q$1,"")</f>
        <v/>
      </c>
      <c r="AP112">
        <f>IF(R112=1,", "&amp;R$1,"")</f>
        <v/>
      </c>
      <c r="AQ112">
        <f>IF(S112=1,", "&amp;S$1,"")</f>
        <v/>
      </c>
      <c r="AR112">
        <f>IF(T112=1,", "&amp;T$1,"")</f>
        <v/>
      </c>
      <c r="AS112">
        <f>IF(U112=1,", "&amp;U$1,"")</f>
        <v/>
      </c>
      <c r="AT112">
        <f>IF(V112=1,", "&amp;V$1,"")</f>
        <v/>
      </c>
      <c r="AU112">
        <f>IF(W112=1,", "&amp;W$1,"")</f>
        <v/>
      </c>
      <c r="AV112">
        <f>IF(X112=1,", "&amp;X$1,"")</f>
        <v/>
      </c>
      <c r="AW112">
        <f>IF(Y112=1,", "&amp;Y$1,"")</f>
        <v/>
      </c>
      <c r="AX112">
        <f>IF(Z112=1,", "&amp;Z$1,"")</f>
        <v/>
      </c>
      <c r="AY112">
        <f>IF(AA112=1,", "&amp;AA$1,"")</f>
        <v/>
      </c>
      <c r="AZ112">
        <f>MID($AB112&amp;$AC112&amp;$AD112&amp;$AE112&amp;$AF112&amp;$AG112&amp;$AH112&amp;$AI112&amp;$AJ112&amp;$AK112&amp;$AL112&amp;$AM112&amp;$AN112&amp;$AO112&amp;$AP112&amp;$AQ112&amp;$AR112&amp;$AS112&amp;$AT112&amp;$AU112&amp;$AV112&amp;$AW112&amp;$AX112&amp;$AY112,3,32767)</f>
        <v/>
      </c>
      <c r="BA112">
        <f>COUNT($D112:$AA112)</f>
        <v/>
      </c>
    </row>
    <row r="113">
      <c r="A113" t="n">
        <v>3</v>
      </c>
      <c r="B113" t="inlineStr">
        <is>
          <t>Conjure Constructs</t>
        </is>
      </c>
      <c r="C113" t="inlineStr">
        <is>
          <t>Conjuration</t>
        </is>
      </c>
      <c r="D113">
        <f>IF(Wizards!$A$2="","",IF(OR(ISNUMBER(SEARCH(", "&amp;$B113&amp;", ", ", "&amp;INDEX('Form Responses'!$I$1:$Q$200,2,$A113)&amp;", ")),ISNUMBER(SEARCH(", "&amp;$B113&amp;", ", ", "&amp;INDEX('Form Responses'!$R$1:$R$200,2)&amp;", "))),1,""))</f>
        <v/>
      </c>
      <c r="E113">
        <f>IF(Wizards!$A$3="","",IF(OR(ISNUMBER(SEARCH(", "&amp;$B113&amp;", ", ", "&amp;INDEX('Form Responses'!$I$1:$Q$200,3,$A113)&amp;", ")),ISNUMBER(SEARCH(", "&amp;$B113&amp;", ", ", "&amp;INDEX('Form Responses'!$R$1:$R$200,3)&amp;", "))),1,""))</f>
        <v/>
      </c>
      <c r="F113">
        <f>IF(Wizards!$A$4="","",IF(OR(ISNUMBER(SEARCH(", "&amp;$B113&amp;", ", ", "&amp;INDEX('Form Responses'!$I$1:$Q$200,4,$A113)&amp;", ")),ISNUMBER(SEARCH(", "&amp;$B113&amp;", ", ", "&amp;INDEX('Form Responses'!$R$1:$R$200,4)&amp;", "))),1,""))</f>
        <v/>
      </c>
      <c r="G113">
        <f>IF(Wizards!$A$5="","",IF(OR(ISNUMBER(SEARCH(", "&amp;$B113&amp;", ", ", "&amp;INDEX('Form Responses'!$I$1:$Q$200,5,$A113)&amp;", ")),ISNUMBER(SEARCH(", "&amp;$B113&amp;", ", ", "&amp;INDEX('Form Responses'!$R$1:$R$200,5)&amp;", "))),1,""))</f>
        <v/>
      </c>
      <c r="H113">
        <f>IF(Wizards!$A$6="","",IF(OR(ISNUMBER(SEARCH(", "&amp;$B113&amp;", ", ", "&amp;INDEX('Form Responses'!$I$1:$Q$200,6,$A113)&amp;", ")),ISNUMBER(SEARCH(", "&amp;$B113&amp;", ", ", "&amp;INDEX('Form Responses'!$R$1:$R$200,6)&amp;", "))),1,""))</f>
        <v/>
      </c>
      <c r="I113">
        <f>IF(Wizards!$A$7="","",IF(OR(ISNUMBER(SEARCH(", "&amp;$B113&amp;", ", ", "&amp;INDEX('Form Responses'!$I$1:$Q$200,7,$A113)&amp;", ")),ISNUMBER(SEARCH(", "&amp;$B113&amp;", ", ", "&amp;INDEX('Form Responses'!$R$1:$R$200,7)&amp;", "))),1,""))</f>
        <v/>
      </c>
      <c r="J113">
        <f>IF(Wizards!$A$8="","",IF(OR(ISNUMBER(SEARCH(", "&amp;$B113&amp;", ", ", "&amp;INDEX('Form Responses'!$I$1:$Q$200,8,$A113)&amp;", ")),ISNUMBER(SEARCH(", "&amp;$B113&amp;", ", ", "&amp;INDEX('Form Responses'!$R$1:$R$200,8)&amp;", "))),1,""))</f>
        <v/>
      </c>
      <c r="K113">
        <f>IF(Wizards!$A$9="","",IF(OR(ISNUMBER(SEARCH(", "&amp;$B113&amp;", ", ", "&amp;INDEX('Form Responses'!$I$1:$Q$200,9,$A113)&amp;", ")),ISNUMBER(SEARCH(", "&amp;$B113&amp;", ", ", "&amp;INDEX('Form Responses'!$R$1:$R$200,9)&amp;", "))),1,""))</f>
        <v/>
      </c>
      <c r="L113">
        <f>IF(Wizards!$A$10="","",IF(OR(ISNUMBER(SEARCH(", "&amp;$B113&amp;", ", ", "&amp;INDEX('Form Responses'!$I$1:$Q$200,10,$A113)&amp;", ")),ISNUMBER(SEARCH(", "&amp;$B113&amp;", ", ", "&amp;INDEX('Form Responses'!$R$1:$R$200,10)&amp;", "))),1,""))</f>
        <v/>
      </c>
      <c r="M113">
        <f>IF(Wizards!$A$11="","",IF(OR(ISNUMBER(SEARCH(", "&amp;$B113&amp;", ", ", "&amp;INDEX('Form Responses'!$I$1:$Q$200,11,$A113)&amp;", ")),ISNUMBER(SEARCH(", "&amp;$B113&amp;", ", ", "&amp;INDEX('Form Responses'!$R$1:$R$200,11)&amp;", "))),1,""))</f>
        <v/>
      </c>
      <c r="N113">
        <f>IF(Wizards!$A$12="","",IF(OR(ISNUMBER(SEARCH(", "&amp;$B113&amp;", ", ", "&amp;INDEX('Form Responses'!$I$1:$Q$200,12,$A113)&amp;", ")),ISNUMBER(SEARCH(", "&amp;$B113&amp;", ", ", "&amp;INDEX('Form Responses'!$R$1:$R$200,12)&amp;", "))),1,""))</f>
        <v/>
      </c>
      <c r="O113">
        <f>IF(Wizards!$A$13="","",IF(OR(ISNUMBER(SEARCH(", "&amp;$B113&amp;", ", ", "&amp;INDEX('Form Responses'!$I$1:$Q$200,13,$A113)&amp;", ")),ISNUMBER(SEARCH(", "&amp;$B113&amp;", ", ", "&amp;INDEX('Form Responses'!$R$1:$R$200,13)&amp;", "))),1,""))</f>
        <v/>
      </c>
      <c r="P113">
        <f>IF(Wizards!$A$14="","",IF(OR(ISNUMBER(SEARCH(", "&amp;$B113&amp;", ", ", "&amp;INDEX('Form Responses'!$I$1:$Q$200,14,$A113)&amp;", ")),ISNUMBER(SEARCH(", "&amp;$B113&amp;", ", ", "&amp;INDEX('Form Responses'!$R$1:$R$200,14)&amp;", "))),1,""))</f>
        <v/>
      </c>
      <c r="Q113">
        <f>IF(Wizards!$A$15="","",IF(OR(ISNUMBER(SEARCH(", "&amp;$B113&amp;", ", ", "&amp;INDEX('Form Responses'!$I$1:$Q$200,15,$A113)&amp;", ")),ISNUMBER(SEARCH(", "&amp;$B113&amp;", ", ", "&amp;INDEX('Form Responses'!$R$1:$R$200,15)&amp;", "))),1,""))</f>
        <v/>
      </c>
      <c r="R113">
        <f>IF(Wizards!$A$16="","",IF(OR(ISNUMBER(SEARCH(", "&amp;$B113&amp;", ", ", "&amp;INDEX('Form Responses'!$I$1:$Q$200,16,$A113)&amp;", ")),ISNUMBER(SEARCH(", "&amp;$B113&amp;", ", ", "&amp;INDEX('Form Responses'!$R$1:$R$200,16)&amp;", "))),1,""))</f>
        <v/>
      </c>
      <c r="S113">
        <f>IF(Wizards!$A$17="","",IF(OR(ISNUMBER(SEARCH(", "&amp;$B113&amp;", ", ", "&amp;INDEX('Form Responses'!$I$1:$Q$200,17,$A113)&amp;", ")),ISNUMBER(SEARCH(", "&amp;$B113&amp;", ", ", "&amp;INDEX('Form Responses'!$R$1:$R$200,17)&amp;", "))),1,""))</f>
        <v/>
      </c>
      <c r="T113">
        <f>IF(Wizards!$A$18="","",IF(OR(ISNUMBER(SEARCH(", "&amp;$B113&amp;", ", ", "&amp;INDEX('Form Responses'!$I$1:$Q$200,18,$A113)&amp;", ")),ISNUMBER(SEARCH(", "&amp;$B113&amp;", ", ", "&amp;INDEX('Form Responses'!$R$1:$R$200,18)&amp;", "))),1,""))</f>
        <v/>
      </c>
      <c r="U113">
        <f>IF(Wizards!$A$19="","",IF(OR(ISNUMBER(SEARCH(", "&amp;$B113&amp;", ", ", "&amp;INDEX('Form Responses'!$I$1:$Q$200,19,$A113)&amp;", ")),ISNUMBER(SEARCH(", "&amp;$B113&amp;", ", ", "&amp;INDEX('Form Responses'!$R$1:$R$200,19)&amp;", "))),1,""))</f>
        <v/>
      </c>
      <c r="V113">
        <f>IF(Wizards!$A$20="","",IF(OR(ISNUMBER(SEARCH(", "&amp;$B113&amp;", ", ", "&amp;INDEX('Form Responses'!$I$1:$Q$200,20,$A113)&amp;", ")),ISNUMBER(SEARCH(", "&amp;$B113&amp;", ", ", "&amp;INDEX('Form Responses'!$R$1:$R$200,20)&amp;", "))),1,""))</f>
        <v/>
      </c>
      <c r="W113">
        <f>IF(Wizards!$A$21="","",IF(OR(ISNUMBER(SEARCH(", "&amp;$B113&amp;", ", ", "&amp;INDEX('Form Responses'!$I$1:$Q$200,21,$A113)&amp;", ")),ISNUMBER(SEARCH(", "&amp;$B113&amp;", ", ", "&amp;INDEX('Form Responses'!$R$1:$R$200,21)&amp;", "))),1,""))</f>
        <v/>
      </c>
      <c r="X113">
        <f>IF(Wizards!$A$22="","",IF(OR(ISNUMBER(SEARCH(", "&amp;$B113&amp;", ", ", "&amp;INDEX('Form Responses'!$I$1:$Q$200,22,$A113)&amp;", ")),ISNUMBER(SEARCH(", "&amp;$B113&amp;", ", ", "&amp;INDEX('Form Responses'!$R$1:$R$200,22)&amp;", "))),1,""))</f>
        <v/>
      </c>
      <c r="Y113">
        <f>IF(Wizards!$A$23="","",IF(OR(ISNUMBER(SEARCH(", "&amp;$B113&amp;", ", ", "&amp;INDEX('Form Responses'!$I$1:$Q$200,23,$A113)&amp;", ")),ISNUMBER(SEARCH(", "&amp;$B113&amp;", ", ", "&amp;INDEX('Form Responses'!$R$1:$R$200,23)&amp;", "))),1,""))</f>
        <v/>
      </c>
      <c r="Z113">
        <f>IF(Wizards!$A$24="","",IF(OR(ISNUMBER(SEARCH(", "&amp;$B113&amp;", ", ", "&amp;INDEX('Form Responses'!$I$1:$Q$200,24,$A113)&amp;", ")),ISNUMBER(SEARCH(", "&amp;$B113&amp;", ", ", "&amp;INDEX('Form Responses'!$R$1:$R$200,24)&amp;", "))),1,""))</f>
        <v/>
      </c>
      <c r="AA113">
        <f>IF(Wizards!$A$25="","",IF(OR(ISNUMBER(SEARCH(", "&amp;$B113&amp;", ", ", "&amp;INDEX('Form Responses'!$I$1:$Q$200,25,$A113)&amp;", ")),ISNUMBER(SEARCH(", "&amp;$B113&amp;", ", ", "&amp;INDEX('Form Responses'!$R$1:$R$200,25)&amp;", "))),1,""))</f>
        <v/>
      </c>
      <c r="AB113">
        <f>IF(D113=1,", "&amp;D$1,"")</f>
        <v/>
      </c>
      <c r="AC113">
        <f>IF(E113=1,", "&amp;E$1,"")</f>
        <v/>
      </c>
      <c r="AD113">
        <f>IF(F113=1,", "&amp;F$1,"")</f>
        <v/>
      </c>
      <c r="AE113">
        <f>IF(G113=1,", "&amp;G$1,"")</f>
        <v/>
      </c>
      <c r="AF113">
        <f>IF(H113=1,", "&amp;H$1,"")</f>
        <v/>
      </c>
      <c r="AG113">
        <f>IF(I113=1,", "&amp;I$1,"")</f>
        <v/>
      </c>
      <c r="AH113">
        <f>IF(J113=1,", "&amp;J$1,"")</f>
        <v/>
      </c>
      <c r="AI113">
        <f>IF(K113=1,", "&amp;K$1,"")</f>
        <v/>
      </c>
      <c r="AJ113">
        <f>IF(L113=1,", "&amp;L$1,"")</f>
        <v/>
      </c>
      <c r="AK113">
        <f>IF(M113=1,", "&amp;M$1,"")</f>
        <v/>
      </c>
      <c r="AL113">
        <f>IF(N113=1,", "&amp;N$1,"")</f>
        <v/>
      </c>
      <c r="AM113">
        <f>IF(O113=1,", "&amp;O$1,"")</f>
        <v/>
      </c>
      <c r="AN113">
        <f>IF(P113=1,", "&amp;P$1,"")</f>
        <v/>
      </c>
      <c r="AO113">
        <f>IF(Q113=1,", "&amp;Q$1,"")</f>
        <v/>
      </c>
      <c r="AP113">
        <f>IF(R113=1,", "&amp;R$1,"")</f>
        <v/>
      </c>
      <c r="AQ113">
        <f>IF(S113=1,", "&amp;S$1,"")</f>
        <v/>
      </c>
      <c r="AR113">
        <f>IF(T113=1,", "&amp;T$1,"")</f>
        <v/>
      </c>
      <c r="AS113">
        <f>IF(U113=1,", "&amp;U$1,"")</f>
        <v/>
      </c>
      <c r="AT113">
        <f>IF(V113=1,", "&amp;V$1,"")</f>
        <v/>
      </c>
      <c r="AU113">
        <f>IF(W113=1,", "&amp;W$1,"")</f>
        <v/>
      </c>
      <c r="AV113">
        <f>IF(X113=1,", "&amp;X$1,"")</f>
        <v/>
      </c>
      <c r="AW113">
        <f>IF(Y113=1,", "&amp;Y$1,"")</f>
        <v/>
      </c>
      <c r="AX113">
        <f>IF(Z113=1,", "&amp;Z$1,"")</f>
        <v/>
      </c>
      <c r="AY113">
        <f>IF(AA113=1,", "&amp;AA$1,"")</f>
        <v/>
      </c>
      <c r="AZ113">
        <f>MID($AB113&amp;$AC113&amp;$AD113&amp;$AE113&amp;$AF113&amp;$AG113&amp;$AH113&amp;$AI113&amp;$AJ113&amp;$AK113&amp;$AL113&amp;$AM113&amp;$AN113&amp;$AO113&amp;$AP113&amp;$AQ113&amp;$AR113&amp;$AS113&amp;$AT113&amp;$AU113&amp;$AV113&amp;$AW113&amp;$AX113&amp;$AY113,3,32767)</f>
        <v/>
      </c>
      <c r="BA113">
        <f>COUNT($D113:$AA113)</f>
        <v/>
      </c>
    </row>
    <row r="114">
      <c r="A114" t="n">
        <v>3</v>
      </c>
      <c r="B114" t="inlineStr">
        <is>
          <t>Counterspell</t>
        </is>
      </c>
      <c r="C114" t="inlineStr">
        <is>
          <t>Abjuration</t>
        </is>
      </c>
      <c r="D114">
        <f>IF(Wizards!$A$2="","",IF(OR(ISNUMBER(SEARCH(", "&amp;$B114&amp;", ", ", "&amp;INDEX('Form Responses'!$I$1:$Q$200,2,$A114)&amp;", ")),ISNUMBER(SEARCH(", "&amp;$B114&amp;", ", ", "&amp;INDEX('Form Responses'!$R$1:$R$200,2)&amp;", "))),1,""))</f>
        <v/>
      </c>
      <c r="E114">
        <f>IF(Wizards!$A$3="","",IF(OR(ISNUMBER(SEARCH(", "&amp;$B114&amp;", ", ", "&amp;INDEX('Form Responses'!$I$1:$Q$200,3,$A114)&amp;", ")),ISNUMBER(SEARCH(", "&amp;$B114&amp;", ", ", "&amp;INDEX('Form Responses'!$R$1:$R$200,3)&amp;", "))),1,""))</f>
        <v/>
      </c>
      <c r="F114">
        <f>IF(Wizards!$A$4="","",IF(OR(ISNUMBER(SEARCH(", "&amp;$B114&amp;", ", ", "&amp;INDEX('Form Responses'!$I$1:$Q$200,4,$A114)&amp;", ")),ISNUMBER(SEARCH(", "&amp;$B114&amp;", ", ", "&amp;INDEX('Form Responses'!$R$1:$R$200,4)&amp;", "))),1,""))</f>
        <v/>
      </c>
      <c r="G114">
        <f>IF(Wizards!$A$5="","",IF(OR(ISNUMBER(SEARCH(", "&amp;$B114&amp;", ", ", "&amp;INDEX('Form Responses'!$I$1:$Q$200,5,$A114)&amp;", ")),ISNUMBER(SEARCH(", "&amp;$B114&amp;", ", ", "&amp;INDEX('Form Responses'!$R$1:$R$200,5)&amp;", "))),1,""))</f>
        <v/>
      </c>
      <c r="H114">
        <f>IF(Wizards!$A$6="","",IF(OR(ISNUMBER(SEARCH(", "&amp;$B114&amp;", ", ", "&amp;INDEX('Form Responses'!$I$1:$Q$200,6,$A114)&amp;", ")),ISNUMBER(SEARCH(", "&amp;$B114&amp;", ", ", "&amp;INDEX('Form Responses'!$R$1:$R$200,6)&amp;", "))),1,""))</f>
        <v/>
      </c>
      <c r="I114">
        <f>IF(Wizards!$A$7="","",IF(OR(ISNUMBER(SEARCH(", "&amp;$B114&amp;", ", ", "&amp;INDEX('Form Responses'!$I$1:$Q$200,7,$A114)&amp;", ")),ISNUMBER(SEARCH(", "&amp;$B114&amp;", ", ", "&amp;INDEX('Form Responses'!$R$1:$R$200,7)&amp;", "))),1,""))</f>
        <v/>
      </c>
      <c r="J114">
        <f>IF(Wizards!$A$8="","",IF(OR(ISNUMBER(SEARCH(", "&amp;$B114&amp;", ", ", "&amp;INDEX('Form Responses'!$I$1:$Q$200,8,$A114)&amp;", ")),ISNUMBER(SEARCH(", "&amp;$B114&amp;", ", ", "&amp;INDEX('Form Responses'!$R$1:$R$200,8)&amp;", "))),1,""))</f>
        <v/>
      </c>
      <c r="K114">
        <f>IF(Wizards!$A$9="","",IF(OR(ISNUMBER(SEARCH(", "&amp;$B114&amp;", ", ", "&amp;INDEX('Form Responses'!$I$1:$Q$200,9,$A114)&amp;", ")),ISNUMBER(SEARCH(", "&amp;$B114&amp;", ", ", "&amp;INDEX('Form Responses'!$R$1:$R$200,9)&amp;", "))),1,""))</f>
        <v/>
      </c>
      <c r="L114">
        <f>IF(Wizards!$A$10="","",IF(OR(ISNUMBER(SEARCH(", "&amp;$B114&amp;", ", ", "&amp;INDEX('Form Responses'!$I$1:$Q$200,10,$A114)&amp;", ")),ISNUMBER(SEARCH(", "&amp;$B114&amp;", ", ", "&amp;INDEX('Form Responses'!$R$1:$R$200,10)&amp;", "))),1,""))</f>
        <v/>
      </c>
      <c r="M114">
        <f>IF(Wizards!$A$11="","",IF(OR(ISNUMBER(SEARCH(", "&amp;$B114&amp;", ", ", "&amp;INDEX('Form Responses'!$I$1:$Q$200,11,$A114)&amp;", ")),ISNUMBER(SEARCH(", "&amp;$B114&amp;", ", ", "&amp;INDEX('Form Responses'!$R$1:$R$200,11)&amp;", "))),1,""))</f>
        <v/>
      </c>
      <c r="N114">
        <f>IF(Wizards!$A$12="","",IF(OR(ISNUMBER(SEARCH(", "&amp;$B114&amp;", ", ", "&amp;INDEX('Form Responses'!$I$1:$Q$200,12,$A114)&amp;", ")),ISNUMBER(SEARCH(", "&amp;$B114&amp;", ", ", "&amp;INDEX('Form Responses'!$R$1:$R$200,12)&amp;", "))),1,""))</f>
        <v/>
      </c>
      <c r="O114">
        <f>IF(Wizards!$A$13="","",IF(OR(ISNUMBER(SEARCH(", "&amp;$B114&amp;", ", ", "&amp;INDEX('Form Responses'!$I$1:$Q$200,13,$A114)&amp;", ")),ISNUMBER(SEARCH(", "&amp;$B114&amp;", ", ", "&amp;INDEX('Form Responses'!$R$1:$R$200,13)&amp;", "))),1,""))</f>
        <v/>
      </c>
      <c r="P114">
        <f>IF(Wizards!$A$14="","",IF(OR(ISNUMBER(SEARCH(", "&amp;$B114&amp;", ", ", "&amp;INDEX('Form Responses'!$I$1:$Q$200,14,$A114)&amp;", ")),ISNUMBER(SEARCH(", "&amp;$B114&amp;", ", ", "&amp;INDEX('Form Responses'!$R$1:$R$200,14)&amp;", "))),1,""))</f>
        <v/>
      </c>
      <c r="Q114">
        <f>IF(Wizards!$A$15="","",IF(OR(ISNUMBER(SEARCH(", "&amp;$B114&amp;", ", ", "&amp;INDEX('Form Responses'!$I$1:$Q$200,15,$A114)&amp;", ")),ISNUMBER(SEARCH(", "&amp;$B114&amp;", ", ", "&amp;INDEX('Form Responses'!$R$1:$R$200,15)&amp;", "))),1,""))</f>
        <v/>
      </c>
      <c r="R114">
        <f>IF(Wizards!$A$16="","",IF(OR(ISNUMBER(SEARCH(", "&amp;$B114&amp;", ", ", "&amp;INDEX('Form Responses'!$I$1:$Q$200,16,$A114)&amp;", ")),ISNUMBER(SEARCH(", "&amp;$B114&amp;", ", ", "&amp;INDEX('Form Responses'!$R$1:$R$200,16)&amp;", "))),1,""))</f>
        <v/>
      </c>
      <c r="S114">
        <f>IF(Wizards!$A$17="","",IF(OR(ISNUMBER(SEARCH(", "&amp;$B114&amp;", ", ", "&amp;INDEX('Form Responses'!$I$1:$Q$200,17,$A114)&amp;", ")),ISNUMBER(SEARCH(", "&amp;$B114&amp;", ", ", "&amp;INDEX('Form Responses'!$R$1:$R$200,17)&amp;", "))),1,""))</f>
        <v/>
      </c>
      <c r="T114">
        <f>IF(Wizards!$A$18="","",IF(OR(ISNUMBER(SEARCH(", "&amp;$B114&amp;", ", ", "&amp;INDEX('Form Responses'!$I$1:$Q$200,18,$A114)&amp;", ")),ISNUMBER(SEARCH(", "&amp;$B114&amp;", ", ", "&amp;INDEX('Form Responses'!$R$1:$R$200,18)&amp;", "))),1,""))</f>
        <v/>
      </c>
      <c r="U114">
        <f>IF(Wizards!$A$19="","",IF(OR(ISNUMBER(SEARCH(", "&amp;$B114&amp;", ", ", "&amp;INDEX('Form Responses'!$I$1:$Q$200,19,$A114)&amp;", ")),ISNUMBER(SEARCH(", "&amp;$B114&amp;", ", ", "&amp;INDEX('Form Responses'!$R$1:$R$200,19)&amp;", "))),1,""))</f>
        <v/>
      </c>
      <c r="V114">
        <f>IF(Wizards!$A$20="","",IF(OR(ISNUMBER(SEARCH(", "&amp;$B114&amp;", ", ", "&amp;INDEX('Form Responses'!$I$1:$Q$200,20,$A114)&amp;", ")),ISNUMBER(SEARCH(", "&amp;$B114&amp;", ", ", "&amp;INDEX('Form Responses'!$R$1:$R$200,20)&amp;", "))),1,""))</f>
        <v/>
      </c>
      <c r="W114">
        <f>IF(Wizards!$A$21="","",IF(OR(ISNUMBER(SEARCH(", "&amp;$B114&amp;", ", ", "&amp;INDEX('Form Responses'!$I$1:$Q$200,21,$A114)&amp;", ")),ISNUMBER(SEARCH(", "&amp;$B114&amp;", ", ", "&amp;INDEX('Form Responses'!$R$1:$R$200,21)&amp;", "))),1,""))</f>
        <v/>
      </c>
      <c r="X114">
        <f>IF(Wizards!$A$22="","",IF(OR(ISNUMBER(SEARCH(", "&amp;$B114&amp;", ", ", "&amp;INDEX('Form Responses'!$I$1:$Q$200,22,$A114)&amp;", ")),ISNUMBER(SEARCH(", "&amp;$B114&amp;", ", ", "&amp;INDEX('Form Responses'!$R$1:$R$200,22)&amp;", "))),1,""))</f>
        <v/>
      </c>
      <c r="Y114">
        <f>IF(Wizards!$A$23="","",IF(OR(ISNUMBER(SEARCH(", "&amp;$B114&amp;", ", ", "&amp;INDEX('Form Responses'!$I$1:$Q$200,23,$A114)&amp;", ")),ISNUMBER(SEARCH(", "&amp;$B114&amp;", ", ", "&amp;INDEX('Form Responses'!$R$1:$R$200,23)&amp;", "))),1,""))</f>
        <v/>
      </c>
      <c r="Z114">
        <f>IF(Wizards!$A$24="","",IF(OR(ISNUMBER(SEARCH(", "&amp;$B114&amp;", ", ", "&amp;INDEX('Form Responses'!$I$1:$Q$200,24,$A114)&amp;", ")),ISNUMBER(SEARCH(", "&amp;$B114&amp;", ", ", "&amp;INDEX('Form Responses'!$R$1:$R$200,24)&amp;", "))),1,""))</f>
        <v/>
      </c>
      <c r="AA114">
        <f>IF(Wizards!$A$25="","",IF(OR(ISNUMBER(SEARCH(", "&amp;$B114&amp;", ", ", "&amp;INDEX('Form Responses'!$I$1:$Q$200,25,$A114)&amp;", ")),ISNUMBER(SEARCH(", "&amp;$B114&amp;", ", ", "&amp;INDEX('Form Responses'!$R$1:$R$200,25)&amp;", "))),1,""))</f>
        <v/>
      </c>
      <c r="AB114">
        <f>IF(D114=1,", "&amp;D$1,"")</f>
        <v/>
      </c>
      <c r="AC114">
        <f>IF(E114=1,", "&amp;E$1,"")</f>
        <v/>
      </c>
      <c r="AD114">
        <f>IF(F114=1,", "&amp;F$1,"")</f>
        <v/>
      </c>
      <c r="AE114">
        <f>IF(G114=1,", "&amp;G$1,"")</f>
        <v/>
      </c>
      <c r="AF114">
        <f>IF(H114=1,", "&amp;H$1,"")</f>
        <v/>
      </c>
      <c r="AG114">
        <f>IF(I114=1,", "&amp;I$1,"")</f>
        <v/>
      </c>
      <c r="AH114">
        <f>IF(J114=1,", "&amp;J$1,"")</f>
        <v/>
      </c>
      <c r="AI114">
        <f>IF(K114=1,", "&amp;K$1,"")</f>
        <v/>
      </c>
      <c r="AJ114">
        <f>IF(L114=1,", "&amp;L$1,"")</f>
        <v/>
      </c>
      <c r="AK114">
        <f>IF(M114=1,", "&amp;M$1,"")</f>
        <v/>
      </c>
      <c r="AL114">
        <f>IF(N114=1,", "&amp;N$1,"")</f>
        <v/>
      </c>
      <c r="AM114">
        <f>IF(O114=1,", "&amp;O$1,"")</f>
        <v/>
      </c>
      <c r="AN114">
        <f>IF(P114=1,", "&amp;P$1,"")</f>
        <v/>
      </c>
      <c r="AO114">
        <f>IF(Q114=1,", "&amp;Q$1,"")</f>
        <v/>
      </c>
      <c r="AP114">
        <f>IF(R114=1,", "&amp;R$1,"")</f>
        <v/>
      </c>
      <c r="AQ114">
        <f>IF(S114=1,", "&amp;S$1,"")</f>
        <v/>
      </c>
      <c r="AR114">
        <f>IF(T114=1,", "&amp;T$1,"")</f>
        <v/>
      </c>
      <c r="AS114">
        <f>IF(U114=1,", "&amp;U$1,"")</f>
        <v/>
      </c>
      <c r="AT114">
        <f>IF(V114=1,", "&amp;V$1,"")</f>
        <v/>
      </c>
      <c r="AU114">
        <f>IF(W114=1,", "&amp;W$1,"")</f>
        <v/>
      </c>
      <c r="AV114">
        <f>IF(X114=1,", "&amp;X$1,"")</f>
        <v/>
      </c>
      <c r="AW114">
        <f>IF(Y114=1,", "&amp;Y$1,"")</f>
        <v/>
      </c>
      <c r="AX114">
        <f>IF(Z114=1,", "&amp;Z$1,"")</f>
        <v/>
      </c>
      <c r="AY114">
        <f>IF(AA114=1,", "&amp;AA$1,"")</f>
        <v/>
      </c>
      <c r="AZ114">
        <f>MID($AB114&amp;$AC114&amp;$AD114&amp;$AE114&amp;$AF114&amp;$AG114&amp;$AH114&amp;$AI114&amp;$AJ114&amp;$AK114&amp;$AL114&amp;$AM114&amp;$AN114&amp;$AO114&amp;$AP114&amp;$AQ114&amp;$AR114&amp;$AS114&amp;$AT114&amp;$AU114&amp;$AV114&amp;$AW114&amp;$AX114&amp;$AY114,3,32767)</f>
        <v/>
      </c>
      <c r="BA114">
        <f>COUNT($D114:$AA114)</f>
        <v/>
      </c>
    </row>
    <row r="115">
      <c r="A115" t="n">
        <v>3</v>
      </c>
      <c r="B115" t="inlineStr">
        <is>
          <t>Dispel Magic</t>
        </is>
      </c>
      <c r="C115" t="inlineStr">
        <is>
          <t>Abjuration</t>
        </is>
      </c>
      <c r="D115">
        <f>IF(Wizards!$A$2="","",IF(OR(ISNUMBER(SEARCH(", "&amp;$B115&amp;", ", ", "&amp;INDEX('Form Responses'!$I$1:$Q$200,2,$A115)&amp;", ")),ISNUMBER(SEARCH(", "&amp;$B115&amp;", ", ", "&amp;INDEX('Form Responses'!$R$1:$R$200,2)&amp;", "))),1,""))</f>
        <v/>
      </c>
      <c r="E115">
        <f>IF(Wizards!$A$3="","",IF(OR(ISNUMBER(SEARCH(", "&amp;$B115&amp;", ", ", "&amp;INDEX('Form Responses'!$I$1:$Q$200,3,$A115)&amp;", ")),ISNUMBER(SEARCH(", "&amp;$B115&amp;", ", ", "&amp;INDEX('Form Responses'!$R$1:$R$200,3)&amp;", "))),1,""))</f>
        <v/>
      </c>
      <c r="F115">
        <f>IF(Wizards!$A$4="","",IF(OR(ISNUMBER(SEARCH(", "&amp;$B115&amp;", ", ", "&amp;INDEX('Form Responses'!$I$1:$Q$200,4,$A115)&amp;", ")),ISNUMBER(SEARCH(", "&amp;$B115&amp;", ", ", "&amp;INDEX('Form Responses'!$R$1:$R$200,4)&amp;", "))),1,""))</f>
        <v/>
      </c>
      <c r="G115">
        <f>IF(Wizards!$A$5="","",IF(OR(ISNUMBER(SEARCH(", "&amp;$B115&amp;", ", ", "&amp;INDEX('Form Responses'!$I$1:$Q$200,5,$A115)&amp;", ")),ISNUMBER(SEARCH(", "&amp;$B115&amp;", ", ", "&amp;INDEX('Form Responses'!$R$1:$R$200,5)&amp;", "))),1,""))</f>
        <v/>
      </c>
      <c r="H115">
        <f>IF(Wizards!$A$6="","",IF(OR(ISNUMBER(SEARCH(", "&amp;$B115&amp;", ", ", "&amp;INDEX('Form Responses'!$I$1:$Q$200,6,$A115)&amp;", ")),ISNUMBER(SEARCH(", "&amp;$B115&amp;", ", ", "&amp;INDEX('Form Responses'!$R$1:$R$200,6)&amp;", "))),1,""))</f>
        <v/>
      </c>
      <c r="I115">
        <f>IF(Wizards!$A$7="","",IF(OR(ISNUMBER(SEARCH(", "&amp;$B115&amp;", ", ", "&amp;INDEX('Form Responses'!$I$1:$Q$200,7,$A115)&amp;", ")),ISNUMBER(SEARCH(", "&amp;$B115&amp;", ", ", "&amp;INDEX('Form Responses'!$R$1:$R$200,7)&amp;", "))),1,""))</f>
        <v/>
      </c>
      <c r="J115">
        <f>IF(Wizards!$A$8="","",IF(OR(ISNUMBER(SEARCH(", "&amp;$B115&amp;", ", ", "&amp;INDEX('Form Responses'!$I$1:$Q$200,8,$A115)&amp;", ")),ISNUMBER(SEARCH(", "&amp;$B115&amp;", ", ", "&amp;INDEX('Form Responses'!$R$1:$R$200,8)&amp;", "))),1,""))</f>
        <v/>
      </c>
      <c r="K115">
        <f>IF(Wizards!$A$9="","",IF(OR(ISNUMBER(SEARCH(", "&amp;$B115&amp;", ", ", "&amp;INDEX('Form Responses'!$I$1:$Q$200,9,$A115)&amp;", ")),ISNUMBER(SEARCH(", "&amp;$B115&amp;", ", ", "&amp;INDEX('Form Responses'!$R$1:$R$200,9)&amp;", "))),1,""))</f>
        <v/>
      </c>
      <c r="L115">
        <f>IF(Wizards!$A$10="","",IF(OR(ISNUMBER(SEARCH(", "&amp;$B115&amp;", ", ", "&amp;INDEX('Form Responses'!$I$1:$Q$200,10,$A115)&amp;", ")),ISNUMBER(SEARCH(", "&amp;$B115&amp;", ", ", "&amp;INDEX('Form Responses'!$R$1:$R$200,10)&amp;", "))),1,""))</f>
        <v/>
      </c>
      <c r="M115">
        <f>IF(Wizards!$A$11="","",IF(OR(ISNUMBER(SEARCH(", "&amp;$B115&amp;", ", ", "&amp;INDEX('Form Responses'!$I$1:$Q$200,11,$A115)&amp;", ")),ISNUMBER(SEARCH(", "&amp;$B115&amp;", ", ", "&amp;INDEX('Form Responses'!$R$1:$R$200,11)&amp;", "))),1,""))</f>
        <v/>
      </c>
      <c r="N115">
        <f>IF(Wizards!$A$12="","",IF(OR(ISNUMBER(SEARCH(", "&amp;$B115&amp;", ", ", "&amp;INDEX('Form Responses'!$I$1:$Q$200,12,$A115)&amp;", ")),ISNUMBER(SEARCH(", "&amp;$B115&amp;", ", ", "&amp;INDEX('Form Responses'!$R$1:$R$200,12)&amp;", "))),1,""))</f>
        <v/>
      </c>
      <c r="O115">
        <f>IF(Wizards!$A$13="","",IF(OR(ISNUMBER(SEARCH(", "&amp;$B115&amp;", ", ", "&amp;INDEX('Form Responses'!$I$1:$Q$200,13,$A115)&amp;", ")),ISNUMBER(SEARCH(", "&amp;$B115&amp;", ", ", "&amp;INDEX('Form Responses'!$R$1:$R$200,13)&amp;", "))),1,""))</f>
        <v/>
      </c>
      <c r="P115">
        <f>IF(Wizards!$A$14="","",IF(OR(ISNUMBER(SEARCH(", "&amp;$B115&amp;", ", ", "&amp;INDEX('Form Responses'!$I$1:$Q$200,14,$A115)&amp;", ")),ISNUMBER(SEARCH(", "&amp;$B115&amp;", ", ", "&amp;INDEX('Form Responses'!$R$1:$R$200,14)&amp;", "))),1,""))</f>
        <v/>
      </c>
      <c r="Q115">
        <f>IF(Wizards!$A$15="","",IF(OR(ISNUMBER(SEARCH(", "&amp;$B115&amp;", ", ", "&amp;INDEX('Form Responses'!$I$1:$Q$200,15,$A115)&amp;", ")),ISNUMBER(SEARCH(", "&amp;$B115&amp;", ", ", "&amp;INDEX('Form Responses'!$R$1:$R$200,15)&amp;", "))),1,""))</f>
        <v/>
      </c>
      <c r="R115">
        <f>IF(Wizards!$A$16="","",IF(OR(ISNUMBER(SEARCH(", "&amp;$B115&amp;", ", ", "&amp;INDEX('Form Responses'!$I$1:$Q$200,16,$A115)&amp;", ")),ISNUMBER(SEARCH(", "&amp;$B115&amp;", ", ", "&amp;INDEX('Form Responses'!$R$1:$R$200,16)&amp;", "))),1,""))</f>
        <v/>
      </c>
      <c r="S115">
        <f>IF(Wizards!$A$17="","",IF(OR(ISNUMBER(SEARCH(", "&amp;$B115&amp;", ", ", "&amp;INDEX('Form Responses'!$I$1:$Q$200,17,$A115)&amp;", ")),ISNUMBER(SEARCH(", "&amp;$B115&amp;", ", ", "&amp;INDEX('Form Responses'!$R$1:$R$200,17)&amp;", "))),1,""))</f>
        <v/>
      </c>
      <c r="T115">
        <f>IF(Wizards!$A$18="","",IF(OR(ISNUMBER(SEARCH(", "&amp;$B115&amp;", ", ", "&amp;INDEX('Form Responses'!$I$1:$Q$200,18,$A115)&amp;", ")),ISNUMBER(SEARCH(", "&amp;$B115&amp;", ", ", "&amp;INDEX('Form Responses'!$R$1:$R$200,18)&amp;", "))),1,""))</f>
        <v/>
      </c>
      <c r="U115">
        <f>IF(Wizards!$A$19="","",IF(OR(ISNUMBER(SEARCH(", "&amp;$B115&amp;", ", ", "&amp;INDEX('Form Responses'!$I$1:$Q$200,19,$A115)&amp;", ")),ISNUMBER(SEARCH(", "&amp;$B115&amp;", ", ", "&amp;INDEX('Form Responses'!$R$1:$R$200,19)&amp;", "))),1,""))</f>
        <v/>
      </c>
      <c r="V115">
        <f>IF(Wizards!$A$20="","",IF(OR(ISNUMBER(SEARCH(", "&amp;$B115&amp;", ", ", "&amp;INDEX('Form Responses'!$I$1:$Q$200,20,$A115)&amp;", ")),ISNUMBER(SEARCH(", "&amp;$B115&amp;", ", ", "&amp;INDEX('Form Responses'!$R$1:$R$200,20)&amp;", "))),1,""))</f>
        <v/>
      </c>
      <c r="W115">
        <f>IF(Wizards!$A$21="","",IF(OR(ISNUMBER(SEARCH(", "&amp;$B115&amp;", ", ", "&amp;INDEX('Form Responses'!$I$1:$Q$200,21,$A115)&amp;", ")),ISNUMBER(SEARCH(", "&amp;$B115&amp;", ", ", "&amp;INDEX('Form Responses'!$R$1:$R$200,21)&amp;", "))),1,""))</f>
        <v/>
      </c>
      <c r="X115">
        <f>IF(Wizards!$A$22="","",IF(OR(ISNUMBER(SEARCH(", "&amp;$B115&amp;", ", ", "&amp;INDEX('Form Responses'!$I$1:$Q$200,22,$A115)&amp;", ")),ISNUMBER(SEARCH(", "&amp;$B115&amp;", ", ", "&amp;INDEX('Form Responses'!$R$1:$R$200,22)&amp;", "))),1,""))</f>
        <v/>
      </c>
      <c r="Y115">
        <f>IF(Wizards!$A$23="","",IF(OR(ISNUMBER(SEARCH(", "&amp;$B115&amp;", ", ", "&amp;INDEX('Form Responses'!$I$1:$Q$200,23,$A115)&amp;", ")),ISNUMBER(SEARCH(", "&amp;$B115&amp;", ", ", "&amp;INDEX('Form Responses'!$R$1:$R$200,23)&amp;", "))),1,""))</f>
        <v/>
      </c>
      <c r="Z115">
        <f>IF(Wizards!$A$24="","",IF(OR(ISNUMBER(SEARCH(", "&amp;$B115&amp;", ", ", "&amp;INDEX('Form Responses'!$I$1:$Q$200,24,$A115)&amp;", ")),ISNUMBER(SEARCH(", "&amp;$B115&amp;", ", ", "&amp;INDEX('Form Responses'!$R$1:$R$200,24)&amp;", "))),1,""))</f>
        <v/>
      </c>
      <c r="AA115">
        <f>IF(Wizards!$A$25="","",IF(OR(ISNUMBER(SEARCH(", "&amp;$B115&amp;", ", ", "&amp;INDEX('Form Responses'!$I$1:$Q$200,25,$A115)&amp;", ")),ISNUMBER(SEARCH(", "&amp;$B115&amp;", ", ", "&amp;INDEX('Form Responses'!$R$1:$R$200,25)&amp;", "))),1,""))</f>
        <v/>
      </c>
      <c r="AB115">
        <f>IF(D115=1,", "&amp;D$1,"")</f>
        <v/>
      </c>
      <c r="AC115">
        <f>IF(E115=1,", "&amp;E$1,"")</f>
        <v/>
      </c>
      <c r="AD115">
        <f>IF(F115=1,", "&amp;F$1,"")</f>
        <v/>
      </c>
      <c r="AE115">
        <f>IF(G115=1,", "&amp;G$1,"")</f>
        <v/>
      </c>
      <c r="AF115">
        <f>IF(H115=1,", "&amp;H$1,"")</f>
        <v/>
      </c>
      <c r="AG115">
        <f>IF(I115=1,", "&amp;I$1,"")</f>
        <v/>
      </c>
      <c r="AH115">
        <f>IF(J115=1,", "&amp;J$1,"")</f>
        <v/>
      </c>
      <c r="AI115">
        <f>IF(K115=1,", "&amp;K$1,"")</f>
        <v/>
      </c>
      <c r="AJ115">
        <f>IF(L115=1,", "&amp;L$1,"")</f>
        <v/>
      </c>
      <c r="AK115">
        <f>IF(M115=1,", "&amp;M$1,"")</f>
        <v/>
      </c>
      <c r="AL115">
        <f>IF(N115=1,", "&amp;N$1,"")</f>
        <v/>
      </c>
      <c r="AM115">
        <f>IF(O115=1,", "&amp;O$1,"")</f>
        <v/>
      </c>
      <c r="AN115">
        <f>IF(P115=1,", "&amp;P$1,"")</f>
        <v/>
      </c>
      <c r="AO115">
        <f>IF(Q115=1,", "&amp;Q$1,"")</f>
        <v/>
      </c>
      <c r="AP115">
        <f>IF(R115=1,", "&amp;R$1,"")</f>
        <v/>
      </c>
      <c r="AQ115">
        <f>IF(S115=1,", "&amp;S$1,"")</f>
        <v/>
      </c>
      <c r="AR115">
        <f>IF(T115=1,", "&amp;T$1,"")</f>
        <v/>
      </c>
      <c r="AS115">
        <f>IF(U115=1,", "&amp;U$1,"")</f>
        <v/>
      </c>
      <c r="AT115">
        <f>IF(V115=1,", "&amp;V$1,"")</f>
        <v/>
      </c>
      <c r="AU115">
        <f>IF(W115=1,", "&amp;W$1,"")</f>
        <v/>
      </c>
      <c r="AV115">
        <f>IF(X115=1,", "&amp;X$1,"")</f>
        <v/>
      </c>
      <c r="AW115">
        <f>IF(Y115=1,", "&amp;Y$1,"")</f>
        <v/>
      </c>
      <c r="AX115">
        <f>IF(Z115=1,", "&amp;Z$1,"")</f>
        <v/>
      </c>
      <c r="AY115">
        <f>IF(AA115=1,", "&amp;AA$1,"")</f>
        <v/>
      </c>
      <c r="AZ115">
        <f>MID($AB115&amp;$AC115&amp;$AD115&amp;$AE115&amp;$AF115&amp;$AG115&amp;$AH115&amp;$AI115&amp;$AJ115&amp;$AK115&amp;$AL115&amp;$AM115&amp;$AN115&amp;$AO115&amp;$AP115&amp;$AQ115&amp;$AR115&amp;$AS115&amp;$AT115&amp;$AU115&amp;$AV115&amp;$AW115&amp;$AX115&amp;$AY115,3,32767)</f>
        <v/>
      </c>
      <c r="BA115">
        <f>COUNT($D115:$AA115)</f>
        <v/>
      </c>
    </row>
    <row r="116">
      <c r="A116" t="n">
        <v>3</v>
      </c>
      <c r="B116" t="inlineStr">
        <is>
          <t>Enemies Abound</t>
        </is>
      </c>
      <c r="C116" t="inlineStr">
        <is>
          <t>Enchantment</t>
        </is>
      </c>
      <c r="D116">
        <f>IF(Wizards!$A$2="","",IF(OR(ISNUMBER(SEARCH(", "&amp;$B116&amp;", ", ", "&amp;INDEX('Form Responses'!$I$1:$Q$200,2,$A116)&amp;", ")),ISNUMBER(SEARCH(", "&amp;$B116&amp;", ", ", "&amp;INDEX('Form Responses'!$R$1:$R$200,2)&amp;", "))),1,""))</f>
        <v/>
      </c>
      <c r="E116">
        <f>IF(Wizards!$A$3="","",IF(OR(ISNUMBER(SEARCH(", "&amp;$B116&amp;", ", ", "&amp;INDEX('Form Responses'!$I$1:$Q$200,3,$A116)&amp;", ")),ISNUMBER(SEARCH(", "&amp;$B116&amp;", ", ", "&amp;INDEX('Form Responses'!$R$1:$R$200,3)&amp;", "))),1,""))</f>
        <v/>
      </c>
      <c r="F116">
        <f>IF(Wizards!$A$4="","",IF(OR(ISNUMBER(SEARCH(", "&amp;$B116&amp;", ", ", "&amp;INDEX('Form Responses'!$I$1:$Q$200,4,$A116)&amp;", ")),ISNUMBER(SEARCH(", "&amp;$B116&amp;", ", ", "&amp;INDEX('Form Responses'!$R$1:$R$200,4)&amp;", "))),1,""))</f>
        <v/>
      </c>
      <c r="G116">
        <f>IF(Wizards!$A$5="","",IF(OR(ISNUMBER(SEARCH(", "&amp;$B116&amp;", ", ", "&amp;INDEX('Form Responses'!$I$1:$Q$200,5,$A116)&amp;", ")),ISNUMBER(SEARCH(", "&amp;$B116&amp;", ", ", "&amp;INDEX('Form Responses'!$R$1:$R$200,5)&amp;", "))),1,""))</f>
        <v/>
      </c>
      <c r="H116">
        <f>IF(Wizards!$A$6="","",IF(OR(ISNUMBER(SEARCH(", "&amp;$B116&amp;", ", ", "&amp;INDEX('Form Responses'!$I$1:$Q$200,6,$A116)&amp;", ")),ISNUMBER(SEARCH(", "&amp;$B116&amp;", ", ", "&amp;INDEX('Form Responses'!$R$1:$R$200,6)&amp;", "))),1,""))</f>
        <v/>
      </c>
      <c r="I116">
        <f>IF(Wizards!$A$7="","",IF(OR(ISNUMBER(SEARCH(", "&amp;$B116&amp;", ", ", "&amp;INDEX('Form Responses'!$I$1:$Q$200,7,$A116)&amp;", ")),ISNUMBER(SEARCH(", "&amp;$B116&amp;", ", ", "&amp;INDEX('Form Responses'!$R$1:$R$200,7)&amp;", "))),1,""))</f>
        <v/>
      </c>
      <c r="J116">
        <f>IF(Wizards!$A$8="","",IF(OR(ISNUMBER(SEARCH(", "&amp;$B116&amp;", ", ", "&amp;INDEX('Form Responses'!$I$1:$Q$200,8,$A116)&amp;", ")),ISNUMBER(SEARCH(", "&amp;$B116&amp;", ", ", "&amp;INDEX('Form Responses'!$R$1:$R$200,8)&amp;", "))),1,""))</f>
        <v/>
      </c>
      <c r="K116">
        <f>IF(Wizards!$A$9="","",IF(OR(ISNUMBER(SEARCH(", "&amp;$B116&amp;", ", ", "&amp;INDEX('Form Responses'!$I$1:$Q$200,9,$A116)&amp;", ")),ISNUMBER(SEARCH(", "&amp;$B116&amp;", ", ", "&amp;INDEX('Form Responses'!$R$1:$R$200,9)&amp;", "))),1,""))</f>
        <v/>
      </c>
      <c r="L116">
        <f>IF(Wizards!$A$10="","",IF(OR(ISNUMBER(SEARCH(", "&amp;$B116&amp;", ", ", "&amp;INDEX('Form Responses'!$I$1:$Q$200,10,$A116)&amp;", ")),ISNUMBER(SEARCH(", "&amp;$B116&amp;", ", ", "&amp;INDEX('Form Responses'!$R$1:$R$200,10)&amp;", "))),1,""))</f>
        <v/>
      </c>
      <c r="M116">
        <f>IF(Wizards!$A$11="","",IF(OR(ISNUMBER(SEARCH(", "&amp;$B116&amp;", ", ", "&amp;INDEX('Form Responses'!$I$1:$Q$200,11,$A116)&amp;", ")),ISNUMBER(SEARCH(", "&amp;$B116&amp;", ", ", "&amp;INDEX('Form Responses'!$R$1:$R$200,11)&amp;", "))),1,""))</f>
        <v/>
      </c>
      <c r="N116">
        <f>IF(Wizards!$A$12="","",IF(OR(ISNUMBER(SEARCH(", "&amp;$B116&amp;", ", ", "&amp;INDEX('Form Responses'!$I$1:$Q$200,12,$A116)&amp;", ")),ISNUMBER(SEARCH(", "&amp;$B116&amp;", ", ", "&amp;INDEX('Form Responses'!$R$1:$R$200,12)&amp;", "))),1,""))</f>
        <v/>
      </c>
      <c r="O116">
        <f>IF(Wizards!$A$13="","",IF(OR(ISNUMBER(SEARCH(", "&amp;$B116&amp;", ", ", "&amp;INDEX('Form Responses'!$I$1:$Q$200,13,$A116)&amp;", ")),ISNUMBER(SEARCH(", "&amp;$B116&amp;", ", ", "&amp;INDEX('Form Responses'!$R$1:$R$200,13)&amp;", "))),1,""))</f>
        <v/>
      </c>
      <c r="P116">
        <f>IF(Wizards!$A$14="","",IF(OR(ISNUMBER(SEARCH(", "&amp;$B116&amp;", ", ", "&amp;INDEX('Form Responses'!$I$1:$Q$200,14,$A116)&amp;", ")),ISNUMBER(SEARCH(", "&amp;$B116&amp;", ", ", "&amp;INDEX('Form Responses'!$R$1:$R$200,14)&amp;", "))),1,""))</f>
        <v/>
      </c>
      <c r="Q116">
        <f>IF(Wizards!$A$15="","",IF(OR(ISNUMBER(SEARCH(", "&amp;$B116&amp;", ", ", "&amp;INDEX('Form Responses'!$I$1:$Q$200,15,$A116)&amp;", ")),ISNUMBER(SEARCH(", "&amp;$B116&amp;", ", ", "&amp;INDEX('Form Responses'!$R$1:$R$200,15)&amp;", "))),1,""))</f>
        <v/>
      </c>
      <c r="R116">
        <f>IF(Wizards!$A$16="","",IF(OR(ISNUMBER(SEARCH(", "&amp;$B116&amp;", ", ", "&amp;INDEX('Form Responses'!$I$1:$Q$200,16,$A116)&amp;", ")),ISNUMBER(SEARCH(", "&amp;$B116&amp;", ", ", "&amp;INDEX('Form Responses'!$R$1:$R$200,16)&amp;", "))),1,""))</f>
        <v/>
      </c>
      <c r="S116">
        <f>IF(Wizards!$A$17="","",IF(OR(ISNUMBER(SEARCH(", "&amp;$B116&amp;", ", ", "&amp;INDEX('Form Responses'!$I$1:$Q$200,17,$A116)&amp;", ")),ISNUMBER(SEARCH(", "&amp;$B116&amp;", ", ", "&amp;INDEX('Form Responses'!$R$1:$R$200,17)&amp;", "))),1,""))</f>
        <v/>
      </c>
      <c r="T116">
        <f>IF(Wizards!$A$18="","",IF(OR(ISNUMBER(SEARCH(", "&amp;$B116&amp;", ", ", "&amp;INDEX('Form Responses'!$I$1:$Q$200,18,$A116)&amp;", ")),ISNUMBER(SEARCH(", "&amp;$B116&amp;", ", ", "&amp;INDEX('Form Responses'!$R$1:$R$200,18)&amp;", "))),1,""))</f>
        <v/>
      </c>
      <c r="U116">
        <f>IF(Wizards!$A$19="","",IF(OR(ISNUMBER(SEARCH(", "&amp;$B116&amp;", ", ", "&amp;INDEX('Form Responses'!$I$1:$Q$200,19,$A116)&amp;", ")),ISNUMBER(SEARCH(", "&amp;$B116&amp;", ", ", "&amp;INDEX('Form Responses'!$R$1:$R$200,19)&amp;", "))),1,""))</f>
        <v/>
      </c>
      <c r="V116">
        <f>IF(Wizards!$A$20="","",IF(OR(ISNUMBER(SEARCH(", "&amp;$B116&amp;", ", ", "&amp;INDEX('Form Responses'!$I$1:$Q$200,20,$A116)&amp;", ")),ISNUMBER(SEARCH(", "&amp;$B116&amp;", ", ", "&amp;INDEX('Form Responses'!$R$1:$R$200,20)&amp;", "))),1,""))</f>
        <v/>
      </c>
      <c r="W116">
        <f>IF(Wizards!$A$21="","",IF(OR(ISNUMBER(SEARCH(", "&amp;$B116&amp;", ", ", "&amp;INDEX('Form Responses'!$I$1:$Q$200,21,$A116)&amp;", ")),ISNUMBER(SEARCH(", "&amp;$B116&amp;", ", ", "&amp;INDEX('Form Responses'!$R$1:$R$200,21)&amp;", "))),1,""))</f>
        <v/>
      </c>
      <c r="X116">
        <f>IF(Wizards!$A$22="","",IF(OR(ISNUMBER(SEARCH(", "&amp;$B116&amp;", ", ", "&amp;INDEX('Form Responses'!$I$1:$Q$200,22,$A116)&amp;", ")),ISNUMBER(SEARCH(", "&amp;$B116&amp;", ", ", "&amp;INDEX('Form Responses'!$R$1:$R$200,22)&amp;", "))),1,""))</f>
        <v/>
      </c>
      <c r="Y116">
        <f>IF(Wizards!$A$23="","",IF(OR(ISNUMBER(SEARCH(", "&amp;$B116&amp;", ", ", "&amp;INDEX('Form Responses'!$I$1:$Q$200,23,$A116)&amp;", ")),ISNUMBER(SEARCH(", "&amp;$B116&amp;", ", ", "&amp;INDEX('Form Responses'!$R$1:$R$200,23)&amp;", "))),1,""))</f>
        <v/>
      </c>
      <c r="Z116">
        <f>IF(Wizards!$A$24="","",IF(OR(ISNUMBER(SEARCH(", "&amp;$B116&amp;", ", ", "&amp;INDEX('Form Responses'!$I$1:$Q$200,24,$A116)&amp;", ")),ISNUMBER(SEARCH(", "&amp;$B116&amp;", ", ", "&amp;INDEX('Form Responses'!$R$1:$R$200,24)&amp;", "))),1,""))</f>
        <v/>
      </c>
      <c r="AA116">
        <f>IF(Wizards!$A$25="","",IF(OR(ISNUMBER(SEARCH(", "&amp;$B116&amp;", ", ", "&amp;INDEX('Form Responses'!$I$1:$Q$200,25,$A116)&amp;", ")),ISNUMBER(SEARCH(", "&amp;$B116&amp;", ", ", "&amp;INDEX('Form Responses'!$R$1:$R$200,25)&amp;", "))),1,""))</f>
        <v/>
      </c>
      <c r="AB116">
        <f>IF(D116=1,", "&amp;D$1,"")</f>
        <v/>
      </c>
      <c r="AC116">
        <f>IF(E116=1,", "&amp;E$1,"")</f>
        <v/>
      </c>
      <c r="AD116">
        <f>IF(F116=1,", "&amp;F$1,"")</f>
        <v/>
      </c>
      <c r="AE116">
        <f>IF(G116=1,", "&amp;G$1,"")</f>
        <v/>
      </c>
      <c r="AF116">
        <f>IF(H116=1,", "&amp;H$1,"")</f>
        <v/>
      </c>
      <c r="AG116">
        <f>IF(I116=1,", "&amp;I$1,"")</f>
        <v/>
      </c>
      <c r="AH116">
        <f>IF(J116=1,", "&amp;J$1,"")</f>
        <v/>
      </c>
      <c r="AI116">
        <f>IF(K116=1,", "&amp;K$1,"")</f>
        <v/>
      </c>
      <c r="AJ116">
        <f>IF(L116=1,", "&amp;L$1,"")</f>
        <v/>
      </c>
      <c r="AK116">
        <f>IF(M116=1,", "&amp;M$1,"")</f>
        <v/>
      </c>
      <c r="AL116">
        <f>IF(N116=1,", "&amp;N$1,"")</f>
        <v/>
      </c>
      <c r="AM116">
        <f>IF(O116=1,", "&amp;O$1,"")</f>
        <v/>
      </c>
      <c r="AN116">
        <f>IF(P116=1,", "&amp;P$1,"")</f>
        <v/>
      </c>
      <c r="AO116">
        <f>IF(Q116=1,", "&amp;Q$1,"")</f>
        <v/>
      </c>
      <c r="AP116">
        <f>IF(R116=1,", "&amp;R$1,"")</f>
        <v/>
      </c>
      <c r="AQ116">
        <f>IF(S116=1,", "&amp;S$1,"")</f>
        <v/>
      </c>
      <c r="AR116">
        <f>IF(T116=1,", "&amp;T$1,"")</f>
        <v/>
      </c>
      <c r="AS116">
        <f>IF(U116=1,", "&amp;U$1,"")</f>
        <v/>
      </c>
      <c r="AT116">
        <f>IF(V116=1,", "&amp;V$1,"")</f>
        <v/>
      </c>
      <c r="AU116">
        <f>IF(W116=1,", "&amp;W$1,"")</f>
        <v/>
      </c>
      <c r="AV116">
        <f>IF(X116=1,", "&amp;X$1,"")</f>
        <v/>
      </c>
      <c r="AW116">
        <f>IF(Y116=1,", "&amp;Y$1,"")</f>
        <v/>
      </c>
      <c r="AX116">
        <f>IF(Z116=1,", "&amp;Z$1,"")</f>
        <v/>
      </c>
      <c r="AY116">
        <f>IF(AA116=1,", "&amp;AA$1,"")</f>
        <v/>
      </c>
      <c r="AZ116">
        <f>MID($AB116&amp;$AC116&amp;$AD116&amp;$AE116&amp;$AF116&amp;$AG116&amp;$AH116&amp;$AI116&amp;$AJ116&amp;$AK116&amp;$AL116&amp;$AM116&amp;$AN116&amp;$AO116&amp;$AP116&amp;$AQ116&amp;$AR116&amp;$AS116&amp;$AT116&amp;$AU116&amp;$AV116&amp;$AW116&amp;$AX116&amp;$AY116,3,32767)</f>
        <v/>
      </c>
      <c r="BA116">
        <f>COUNT($D116:$AA116)</f>
        <v/>
      </c>
    </row>
    <row r="117">
      <c r="A117" t="n">
        <v>3</v>
      </c>
      <c r="B117" t="inlineStr">
        <is>
          <t>Erupting Earth</t>
        </is>
      </c>
      <c r="C117" t="inlineStr">
        <is>
          <t>Transmutation</t>
        </is>
      </c>
      <c r="D117">
        <f>IF(Wizards!$A$2="","",IF(OR(ISNUMBER(SEARCH(", "&amp;$B117&amp;", ", ", "&amp;INDEX('Form Responses'!$I$1:$Q$200,2,$A117)&amp;", ")),ISNUMBER(SEARCH(", "&amp;$B117&amp;", ", ", "&amp;INDEX('Form Responses'!$R$1:$R$200,2)&amp;", "))),1,""))</f>
        <v/>
      </c>
      <c r="E117">
        <f>IF(Wizards!$A$3="","",IF(OR(ISNUMBER(SEARCH(", "&amp;$B117&amp;", ", ", "&amp;INDEX('Form Responses'!$I$1:$Q$200,3,$A117)&amp;", ")),ISNUMBER(SEARCH(", "&amp;$B117&amp;", ", ", "&amp;INDEX('Form Responses'!$R$1:$R$200,3)&amp;", "))),1,""))</f>
        <v/>
      </c>
      <c r="F117">
        <f>IF(Wizards!$A$4="","",IF(OR(ISNUMBER(SEARCH(", "&amp;$B117&amp;", ", ", "&amp;INDEX('Form Responses'!$I$1:$Q$200,4,$A117)&amp;", ")),ISNUMBER(SEARCH(", "&amp;$B117&amp;", ", ", "&amp;INDEX('Form Responses'!$R$1:$R$200,4)&amp;", "))),1,""))</f>
        <v/>
      </c>
      <c r="G117">
        <f>IF(Wizards!$A$5="","",IF(OR(ISNUMBER(SEARCH(", "&amp;$B117&amp;", ", ", "&amp;INDEX('Form Responses'!$I$1:$Q$200,5,$A117)&amp;", ")),ISNUMBER(SEARCH(", "&amp;$B117&amp;", ", ", "&amp;INDEX('Form Responses'!$R$1:$R$200,5)&amp;", "))),1,""))</f>
        <v/>
      </c>
      <c r="H117">
        <f>IF(Wizards!$A$6="","",IF(OR(ISNUMBER(SEARCH(", "&amp;$B117&amp;", ", ", "&amp;INDEX('Form Responses'!$I$1:$Q$200,6,$A117)&amp;", ")),ISNUMBER(SEARCH(", "&amp;$B117&amp;", ", ", "&amp;INDEX('Form Responses'!$R$1:$R$200,6)&amp;", "))),1,""))</f>
        <v/>
      </c>
      <c r="I117">
        <f>IF(Wizards!$A$7="","",IF(OR(ISNUMBER(SEARCH(", "&amp;$B117&amp;", ", ", "&amp;INDEX('Form Responses'!$I$1:$Q$200,7,$A117)&amp;", ")),ISNUMBER(SEARCH(", "&amp;$B117&amp;", ", ", "&amp;INDEX('Form Responses'!$R$1:$R$200,7)&amp;", "))),1,""))</f>
        <v/>
      </c>
      <c r="J117">
        <f>IF(Wizards!$A$8="","",IF(OR(ISNUMBER(SEARCH(", "&amp;$B117&amp;", ", ", "&amp;INDEX('Form Responses'!$I$1:$Q$200,8,$A117)&amp;", ")),ISNUMBER(SEARCH(", "&amp;$B117&amp;", ", ", "&amp;INDEX('Form Responses'!$R$1:$R$200,8)&amp;", "))),1,""))</f>
        <v/>
      </c>
      <c r="K117">
        <f>IF(Wizards!$A$9="","",IF(OR(ISNUMBER(SEARCH(", "&amp;$B117&amp;", ", ", "&amp;INDEX('Form Responses'!$I$1:$Q$200,9,$A117)&amp;", ")),ISNUMBER(SEARCH(", "&amp;$B117&amp;", ", ", "&amp;INDEX('Form Responses'!$R$1:$R$200,9)&amp;", "))),1,""))</f>
        <v/>
      </c>
      <c r="L117">
        <f>IF(Wizards!$A$10="","",IF(OR(ISNUMBER(SEARCH(", "&amp;$B117&amp;", ", ", "&amp;INDEX('Form Responses'!$I$1:$Q$200,10,$A117)&amp;", ")),ISNUMBER(SEARCH(", "&amp;$B117&amp;", ", ", "&amp;INDEX('Form Responses'!$R$1:$R$200,10)&amp;", "))),1,""))</f>
        <v/>
      </c>
      <c r="M117">
        <f>IF(Wizards!$A$11="","",IF(OR(ISNUMBER(SEARCH(", "&amp;$B117&amp;", ", ", "&amp;INDEX('Form Responses'!$I$1:$Q$200,11,$A117)&amp;", ")),ISNUMBER(SEARCH(", "&amp;$B117&amp;", ", ", "&amp;INDEX('Form Responses'!$R$1:$R$200,11)&amp;", "))),1,""))</f>
        <v/>
      </c>
      <c r="N117">
        <f>IF(Wizards!$A$12="","",IF(OR(ISNUMBER(SEARCH(", "&amp;$B117&amp;", ", ", "&amp;INDEX('Form Responses'!$I$1:$Q$200,12,$A117)&amp;", ")),ISNUMBER(SEARCH(", "&amp;$B117&amp;", ", ", "&amp;INDEX('Form Responses'!$R$1:$R$200,12)&amp;", "))),1,""))</f>
        <v/>
      </c>
      <c r="O117">
        <f>IF(Wizards!$A$13="","",IF(OR(ISNUMBER(SEARCH(", "&amp;$B117&amp;", ", ", "&amp;INDEX('Form Responses'!$I$1:$Q$200,13,$A117)&amp;", ")),ISNUMBER(SEARCH(", "&amp;$B117&amp;", ", ", "&amp;INDEX('Form Responses'!$R$1:$R$200,13)&amp;", "))),1,""))</f>
        <v/>
      </c>
      <c r="P117">
        <f>IF(Wizards!$A$14="","",IF(OR(ISNUMBER(SEARCH(", "&amp;$B117&amp;", ", ", "&amp;INDEX('Form Responses'!$I$1:$Q$200,14,$A117)&amp;", ")),ISNUMBER(SEARCH(", "&amp;$B117&amp;", ", ", "&amp;INDEX('Form Responses'!$R$1:$R$200,14)&amp;", "))),1,""))</f>
        <v/>
      </c>
      <c r="Q117">
        <f>IF(Wizards!$A$15="","",IF(OR(ISNUMBER(SEARCH(", "&amp;$B117&amp;", ", ", "&amp;INDEX('Form Responses'!$I$1:$Q$200,15,$A117)&amp;", ")),ISNUMBER(SEARCH(", "&amp;$B117&amp;", ", ", "&amp;INDEX('Form Responses'!$R$1:$R$200,15)&amp;", "))),1,""))</f>
        <v/>
      </c>
      <c r="R117">
        <f>IF(Wizards!$A$16="","",IF(OR(ISNUMBER(SEARCH(", "&amp;$B117&amp;", ", ", "&amp;INDEX('Form Responses'!$I$1:$Q$200,16,$A117)&amp;", ")),ISNUMBER(SEARCH(", "&amp;$B117&amp;", ", ", "&amp;INDEX('Form Responses'!$R$1:$R$200,16)&amp;", "))),1,""))</f>
        <v/>
      </c>
      <c r="S117">
        <f>IF(Wizards!$A$17="","",IF(OR(ISNUMBER(SEARCH(", "&amp;$B117&amp;", ", ", "&amp;INDEX('Form Responses'!$I$1:$Q$200,17,$A117)&amp;", ")),ISNUMBER(SEARCH(", "&amp;$B117&amp;", ", ", "&amp;INDEX('Form Responses'!$R$1:$R$200,17)&amp;", "))),1,""))</f>
        <v/>
      </c>
      <c r="T117">
        <f>IF(Wizards!$A$18="","",IF(OR(ISNUMBER(SEARCH(", "&amp;$B117&amp;", ", ", "&amp;INDEX('Form Responses'!$I$1:$Q$200,18,$A117)&amp;", ")),ISNUMBER(SEARCH(", "&amp;$B117&amp;", ", ", "&amp;INDEX('Form Responses'!$R$1:$R$200,18)&amp;", "))),1,""))</f>
        <v/>
      </c>
      <c r="U117">
        <f>IF(Wizards!$A$19="","",IF(OR(ISNUMBER(SEARCH(", "&amp;$B117&amp;", ", ", "&amp;INDEX('Form Responses'!$I$1:$Q$200,19,$A117)&amp;", ")),ISNUMBER(SEARCH(", "&amp;$B117&amp;", ", ", "&amp;INDEX('Form Responses'!$R$1:$R$200,19)&amp;", "))),1,""))</f>
        <v/>
      </c>
      <c r="V117">
        <f>IF(Wizards!$A$20="","",IF(OR(ISNUMBER(SEARCH(", "&amp;$B117&amp;", ", ", "&amp;INDEX('Form Responses'!$I$1:$Q$200,20,$A117)&amp;", ")),ISNUMBER(SEARCH(", "&amp;$B117&amp;", ", ", "&amp;INDEX('Form Responses'!$R$1:$R$200,20)&amp;", "))),1,""))</f>
        <v/>
      </c>
      <c r="W117">
        <f>IF(Wizards!$A$21="","",IF(OR(ISNUMBER(SEARCH(", "&amp;$B117&amp;", ", ", "&amp;INDEX('Form Responses'!$I$1:$Q$200,21,$A117)&amp;", ")),ISNUMBER(SEARCH(", "&amp;$B117&amp;", ", ", "&amp;INDEX('Form Responses'!$R$1:$R$200,21)&amp;", "))),1,""))</f>
        <v/>
      </c>
      <c r="X117">
        <f>IF(Wizards!$A$22="","",IF(OR(ISNUMBER(SEARCH(", "&amp;$B117&amp;", ", ", "&amp;INDEX('Form Responses'!$I$1:$Q$200,22,$A117)&amp;", ")),ISNUMBER(SEARCH(", "&amp;$B117&amp;", ", ", "&amp;INDEX('Form Responses'!$R$1:$R$200,22)&amp;", "))),1,""))</f>
        <v/>
      </c>
      <c r="Y117">
        <f>IF(Wizards!$A$23="","",IF(OR(ISNUMBER(SEARCH(", "&amp;$B117&amp;", ", ", "&amp;INDEX('Form Responses'!$I$1:$Q$200,23,$A117)&amp;", ")),ISNUMBER(SEARCH(", "&amp;$B117&amp;", ", ", "&amp;INDEX('Form Responses'!$R$1:$R$200,23)&amp;", "))),1,""))</f>
        <v/>
      </c>
      <c r="Z117">
        <f>IF(Wizards!$A$24="","",IF(OR(ISNUMBER(SEARCH(", "&amp;$B117&amp;", ", ", "&amp;INDEX('Form Responses'!$I$1:$Q$200,24,$A117)&amp;", ")),ISNUMBER(SEARCH(", "&amp;$B117&amp;", ", ", "&amp;INDEX('Form Responses'!$R$1:$R$200,24)&amp;", "))),1,""))</f>
        <v/>
      </c>
      <c r="AA117">
        <f>IF(Wizards!$A$25="","",IF(OR(ISNUMBER(SEARCH(", "&amp;$B117&amp;", ", ", "&amp;INDEX('Form Responses'!$I$1:$Q$200,25,$A117)&amp;", ")),ISNUMBER(SEARCH(", "&amp;$B117&amp;", ", ", "&amp;INDEX('Form Responses'!$R$1:$R$200,25)&amp;", "))),1,""))</f>
        <v/>
      </c>
      <c r="AB117">
        <f>IF(D117=1,", "&amp;D$1,"")</f>
        <v/>
      </c>
      <c r="AC117">
        <f>IF(E117=1,", "&amp;E$1,"")</f>
        <v/>
      </c>
      <c r="AD117">
        <f>IF(F117=1,", "&amp;F$1,"")</f>
        <v/>
      </c>
      <c r="AE117">
        <f>IF(G117=1,", "&amp;G$1,"")</f>
        <v/>
      </c>
      <c r="AF117">
        <f>IF(H117=1,", "&amp;H$1,"")</f>
        <v/>
      </c>
      <c r="AG117">
        <f>IF(I117=1,", "&amp;I$1,"")</f>
        <v/>
      </c>
      <c r="AH117">
        <f>IF(J117=1,", "&amp;J$1,"")</f>
        <v/>
      </c>
      <c r="AI117">
        <f>IF(K117=1,", "&amp;K$1,"")</f>
        <v/>
      </c>
      <c r="AJ117">
        <f>IF(L117=1,", "&amp;L$1,"")</f>
        <v/>
      </c>
      <c r="AK117">
        <f>IF(M117=1,", "&amp;M$1,"")</f>
        <v/>
      </c>
      <c r="AL117">
        <f>IF(N117=1,", "&amp;N$1,"")</f>
        <v/>
      </c>
      <c r="AM117">
        <f>IF(O117=1,", "&amp;O$1,"")</f>
        <v/>
      </c>
      <c r="AN117">
        <f>IF(P117=1,", "&amp;P$1,"")</f>
        <v/>
      </c>
      <c r="AO117">
        <f>IF(Q117=1,", "&amp;Q$1,"")</f>
        <v/>
      </c>
      <c r="AP117">
        <f>IF(R117=1,", "&amp;R$1,"")</f>
        <v/>
      </c>
      <c r="AQ117">
        <f>IF(S117=1,", "&amp;S$1,"")</f>
        <v/>
      </c>
      <c r="AR117">
        <f>IF(T117=1,", "&amp;T$1,"")</f>
        <v/>
      </c>
      <c r="AS117">
        <f>IF(U117=1,", "&amp;U$1,"")</f>
        <v/>
      </c>
      <c r="AT117">
        <f>IF(V117=1,", "&amp;V$1,"")</f>
        <v/>
      </c>
      <c r="AU117">
        <f>IF(W117=1,", "&amp;W$1,"")</f>
        <v/>
      </c>
      <c r="AV117">
        <f>IF(X117=1,", "&amp;X$1,"")</f>
        <v/>
      </c>
      <c r="AW117">
        <f>IF(Y117=1,", "&amp;Y$1,"")</f>
        <v/>
      </c>
      <c r="AX117">
        <f>IF(Z117=1,", "&amp;Z$1,"")</f>
        <v/>
      </c>
      <c r="AY117">
        <f>IF(AA117=1,", "&amp;AA$1,"")</f>
        <v/>
      </c>
      <c r="AZ117">
        <f>MID($AB117&amp;$AC117&amp;$AD117&amp;$AE117&amp;$AF117&amp;$AG117&amp;$AH117&amp;$AI117&amp;$AJ117&amp;$AK117&amp;$AL117&amp;$AM117&amp;$AN117&amp;$AO117&amp;$AP117&amp;$AQ117&amp;$AR117&amp;$AS117&amp;$AT117&amp;$AU117&amp;$AV117&amp;$AW117&amp;$AX117&amp;$AY117,3,32767)</f>
        <v/>
      </c>
      <c r="BA117">
        <f>COUNT($D117:$AA117)</f>
        <v/>
      </c>
    </row>
    <row r="118">
      <c r="A118" t="n">
        <v>3</v>
      </c>
      <c r="B118" t="inlineStr">
        <is>
          <t>Fear</t>
        </is>
      </c>
      <c r="C118" t="inlineStr">
        <is>
          <t>Illusion</t>
        </is>
      </c>
      <c r="D118">
        <f>IF(Wizards!$A$2="","",IF(OR(ISNUMBER(SEARCH(", "&amp;$B118&amp;", ", ", "&amp;INDEX('Form Responses'!$I$1:$Q$200,2,$A118)&amp;", ")),ISNUMBER(SEARCH(", "&amp;$B118&amp;", ", ", "&amp;INDEX('Form Responses'!$R$1:$R$200,2)&amp;", "))),1,""))</f>
        <v/>
      </c>
      <c r="E118">
        <f>IF(Wizards!$A$3="","",IF(OR(ISNUMBER(SEARCH(", "&amp;$B118&amp;", ", ", "&amp;INDEX('Form Responses'!$I$1:$Q$200,3,$A118)&amp;", ")),ISNUMBER(SEARCH(", "&amp;$B118&amp;", ", ", "&amp;INDEX('Form Responses'!$R$1:$R$200,3)&amp;", "))),1,""))</f>
        <v/>
      </c>
      <c r="F118">
        <f>IF(Wizards!$A$4="","",IF(OR(ISNUMBER(SEARCH(", "&amp;$B118&amp;", ", ", "&amp;INDEX('Form Responses'!$I$1:$Q$200,4,$A118)&amp;", ")),ISNUMBER(SEARCH(", "&amp;$B118&amp;", ", ", "&amp;INDEX('Form Responses'!$R$1:$R$200,4)&amp;", "))),1,""))</f>
        <v/>
      </c>
      <c r="G118">
        <f>IF(Wizards!$A$5="","",IF(OR(ISNUMBER(SEARCH(", "&amp;$B118&amp;", ", ", "&amp;INDEX('Form Responses'!$I$1:$Q$200,5,$A118)&amp;", ")),ISNUMBER(SEARCH(", "&amp;$B118&amp;", ", ", "&amp;INDEX('Form Responses'!$R$1:$R$200,5)&amp;", "))),1,""))</f>
        <v/>
      </c>
      <c r="H118">
        <f>IF(Wizards!$A$6="","",IF(OR(ISNUMBER(SEARCH(", "&amp;$B118&amp;", ", ", "&amp;INDEX('Form Responses'!$I$1:$Q$200,6,$A118)&amp;", ")),ISNUMBER(SEARCH(", "&amp;$B118&amp;", ", ", "&amp;INDEX('Form Responses'!$R$1:$R$200,6)&amp;", "))),1,""))</f>
        <v/>
      </c>
      <c r="I118">
        <f>IF(Wizards!$A$7="","",IF(OR(ISNUMBER(SEARCH(", "&amp;$B118&amp;", ", ", "&amp;INDEX('Form Responses'!$I$1:$Q$200,7,$A118)&amp;", ")),ISNUMBER(SEARCH(", "&amp;$B118&amp;", ", ", "&amp;INDEX('Form Responses'!$R$1:$R$200,7)&amp;", "))),1,""))</f>
        <v/>
      </c>
      <c r="J118">
        <f>IF(Wizards!$A$8="","",IF(OR(ISNUMBER(SEARCH(", "&amp;$B118&amp;", ", ", "&amp;INDEX('Form Responses'!$I$1:$Q$200,8,$A118)&amp;", ")),ISNUMBER(SEARCH(", "&amp;$B118&amp;", ", ", "&amp;INDEX('Form Responses'!$R$1:$R$200,8)&amp;", "))),1,""))</f>
        <v/>
      </c>
      <c r="K118">
        <f>IF(Wizards!$A$9="","",IF(OR(ISNUMBER(SEARCH(", "&amp;$B118&amp;", ", ", "&amp;INDEX('Form Responses'!$I$1:$Q$200,9,$A118)&amp;", ")),ISNUMBER(SEARCH(", "&amp;$B118&amp;", ", ", "&amp;INDEX('Form Responses'!$R$1:$R$200,9)&amp;", "))),1,""))</f>
        <v/>
      </c>
      <c r="L118">
        <f>IF(Wizards!$A$10="","",IF(OR(ISNUMBER(SEARCH(", "&amp;$B118&amp;", ", ", "&amp;INDEX('Form Responses'!$I$1:$Q$200,10,$A118)&amp;", ")),ISNUMBER(SEARCH(", "&amp;$B118&amp;", ", ", "&amp;INDEX('Form Responses'!$R$1:$R$200,10)&amp;", "))),1,""))</f>
        <v/>
      </c>
      <c r="M118">
        <f>IF(Wizards!$A$11="","",IF(OR(ISNUMBER(SEARCH(", "&amp;$B118&amp;", ", ", "&amp;INDEX('Form Responses'!$I$1:$Q$200,11,$A118)&amp;", ")),ISNUMBER(SEARCH(", "&amp;$B118&amp;", ", ", "&amp;INDEX('Form Responses'!$R$1:$R$200,11)&amp;", "))),1,""))</f>
        <v/>
      </c>
      <c r="N118">
        <f>IF(Wizards!$A$12="","",IF(OR(ISNUMBER(SEARCH(", "&amp;$B118&amp;", ", ", "&amp;INDEX('Form Responses'!$I$1:$Q$200,12,$A118)&amp;", ")),ISNUMBER(SEARCH(", "&amp;$B118&amp;", ", ", "&amp;INDEX('Form Responses'!$R$1:$R$200,12)&amp;", "))),1,""))</f>
        <v/>
      </c>
      <c r="O118">
        <f>IF(Wizards!$A$13="","",IF(OR(ISNUMBER(SEARCH(", "&amp;$B118&amp;", ", ", "&amp;INDEX('Form Responses'!$I$1:$Q$200,13,$A118)&amp;", ")),ISNUMBER(SEARCH(", "&amp;$B118&amp;", ", ", "&amp;INDEX('Form Responses'!$R$1:$R$200,13)&amp;", "))),1,""))</f>
        <v/>
      </c>
      <c r="P118">
        <f>IF(Wizards!$A$14="","",IF(OR(ISNUMBER(SEARCH(", "&amp;$B118&amp;", ", ", "&amp;INDEX('Form Responses'!$I$1:$Q$200,14,$A118)&amp;", ")),ISNUMBER(SEARCH(", "&amp;$B118&amp;", ", ", "&amp;INDEX('Form Responses'!$R$1:$R$200,14)&amp;", "))),1,""))</f>
        <v/>
      </c>
      <c r="Q118">
        <f>IF(Wizards!$A$15="","",IF(OR(ISNUMBER(SEARCH(", "&amp;$B118&amp;", ", ", "&amp;INDEX('Form Responses'!$I$1:$Q$200,15,$A118)&amp;", ")),ISNUMBER(SEARCH(", "&amp;$B118&amp;", ", ", "&amp;INDEX('Form Responses'!$R$1:$R$200,15)&amp;", "))),1,""))</f>
        <v/>
      </c>
      <c r="R118">
        <f>IF(Wizards!$A$16="","",IF(OR(ISNUMBER(SEARCH(", "&amp;$B118&amp;", ", ", "&amp;INDEX('Form Responses'!$I$1:$Q$200,16,$A118)&amp;", ")),ISNUMBER(SEARCH(", "&amp;$B118&amp;", ", ", "&amp;INDEX('Form Responses'!$R$1:$R$200,16)&amp;", "))),1,""))</f>
        <v/>
      </c>
      <c r="S118">
        <f>IF(Wizards!$A$17="","",IF(OR(ISNUMBER(SEARCH(", "&amp;$B118&amp;", ", ", "&amp;INDEX('Form Responses'!$I$1:$Q$200,17,$A118)&amp;", ")),ISNUMBER(SEARCH(", "&amp;$B118&amp;", ", ", "&amp;INDEX('Form Responses'!$R$1:$R$200,17)&amp;", "))),1,""))</f>
        <v/>
      </c>
      <c r="T118">
        <f>IF(Wizards!$A$18="","",IF(OR(ISNUMBER(SEARCH(", "&amp;$B118&amp;", ", ", "&amp;INDEX('Form Responses'!$I$1:$Q$200,18,$A118)&amp;", ")),ISNUMBER(SEARCH(", "&amp;$B118&amp;", ", ", "&amp;INDEX('Form Responses'!$R$1:$R$200,18)&amp;", "))),1,""))</f>
        <v/>
      </c>
      <c r="U118">
        <f>IF(Wizards!$A$19="","",IF(OR(ISNUMBER(SEARCH(", "&amp;$B118&amp;", ", ", "&amp;INDEX('Form Responses'!$I$1:$Q$200,19,$A118)&amp;", ")),ISNUMBER(SEARCH(", "&amp;$B118&amp;", ", ", "&amp;INDEX('Form Responses'!$R$1:$R$200,19)&amp;", "))),1,""))</f>
        <v/>
      </c>
      <c r="V118">
        <f>IF(Wizards!$A$20="","",IF(OR(ISNUMBER(SEARCH(", "&amp;$B118&amp;", ", ", "&amp;INDEX('Form Responses'!$I$1:$Q$200,20,$A118)&amp;", ")),ISNUMBER(SEARCH(", "&amp;$B118&amp;", ", ", "&amp;INDEX('Form Responses'!$R$1:$R$200,20)&amp;", "))),1,""))</f>
        <v/>
      </c>
      <c r="W118">
        <f>IF(Wizards!$A$21="","",IF(OR(ISNUMBER(SEARCH(", "&amp;$B118&amp;", ", ", "&amp;INDEX('Form Responses'!$I$1:$Q$200,21,$A118)&amp;", ")),ISNUMBER(SEARCH(", "&amp;$B118&amp;", ", ", "&amp;INDEX('Form Responses'!$R$1:$R$200,21)&amp;", "))),1,""))</f>
        <v/>
      </c>
      <c r="X118">
        <f>IF(Wizards!$A$22="","",IF(OR(ISNUMBER(SEARCH(", "&amp;$B118&amp;", ", ", "&amp;INDEX('Form Responses'!$I$1:$Q$200,22,$A118)&amp;", ")),ISNUMBER(SEARCH(", "&amp;$B118&amp;", ", ", "&amp;INDEX('Form Responses'!$R$1:$R$200,22)&amp;", "))),1,""))</f>
        <v/>
      </c>
      <c r="Y118">
        <f>IF(Wizards!$A$23="","",IF(OR(ISNUMBER(SEARCH(", "&amp;$B118&amp;", ", ", "&amp;INDEX('Form Responses'!$I$1:$Q$200,23,$A118)&amp;", ")),ISNUMBER(SEARCH(", "&amp;$B118&amp;", ", ", "&amp;INDEX('Form Responses'!$R$1:$R$200,23)&amp;", "))),1,""))</f>
        <v/>
      </c>
      <c r="Z118">
        <f>IF(Wizards!$A$24="","",IF(OR(ISNUMBER(SEARCH(", "&amp;$B118&amp;", ", ", "&amp;INDEX('Form Responses'!$I$1:$Q$200,24,$A118)&amp;", ")),ISNUMBER(SEARCH(", "&amp;$B118&amp;", ", ", "&amp;INDEX('Form Responses'!$R$1:$R$200,24)&amp;", "))),1,""))</f>
        <v/>
      </c>
      <c r="AA118">
        <f>IF(Wizards!$A$25="","",IF(OR(ISNUMBER(SEARCH(", "&amp;$B118&amp;", ", ", "&amp;INDEX('Form Responses'!$I$1:$Q$200,25,$A118)&amp;", ")),ISNUMBER(SEARCH(", "&amp;$B118&amp;", ", ", "&amp;INDEX('Form Responses'!$R$1:$R$200,25)&amp;", "))),1,""))</f>
        <v/>
      </c>
      <c r="AB118">
        <f>IF(D118=1,", "&amp;D$1,"")</f>
        <v/>
      </c>
      <c r="AC118">
        <f>IF(E118=1,", "&amp;E$1,"")</f>
        <v/>
      </c>
      <c r="AD118">
        <f>IF(F118=1,", "&amp;F$1,"")</f>
        <v/>
      </c>
      <c r="AE118">
        <f>IF(G118=1,", "&amp;G$1,"")</f>
        <v/>
      </c>
      <c r="AF118">
        <f>IF(H118=1,", "&amp;H$1,"")</f>
        <v/>
      </c>
      <c r="AG118">
        <f>IF(I118=1,", "&amp;I$1,"")</f>
        <v/>
      </c>
      <c r="AH118">
        <f>IF(J118=1,", "&amp;J$1,"")</f>
        <v/>
      </c>
      <c r="AI118">
        <f>IF(K118=1,", "&amp;K$1,"")</f>
        <v/>
      </c>
      <c r="AJ118">
        <f>IF(L118=1,", "&amp;L$1,"")</f>
        <v/>
      </c>
      <c r="AK118">
        <f>IF(M118=1,", "&amp;M$1,"")</f>
        <v/>
      </c>
      <c r="AL118">
        <f>IF(N118=1,", "&amp;N$1,"")</f>
        <v/>
      </c>
      <c r="AM118">
        <f>IF(O118=1,", "&amp;O$1,"")</f>
        <v/>
      </c>
      <c r="AN118">
        <f>IF(P118=1,", "&amp;P$1,"")</f>
        <v/>
      </c>
      <c r="AO118">
        <f>IF(Q118=1,", "&amp;Q$1,"")</f>
        <v/>
      </c>
      <c r="AP118">
        <f>IF(R118=1,", "&amp;R$1,"")</f>
        <v/>
      </c>
      <c r="AQ118">
        <f>IF(S118=1,", "&amp;S$1,"")</f>
        <v/>
      </c>
      <c r="AR118">
        <f>IF(T118=1,", "&amp;T$1,"")</f>
        <v/>
      </c>
      <c r="AS118">
        <f>IF(U118=1,", "&amp;U$1,"")</f>
        <v/>
      </c>
      <c r="AT118">
        <f>IF(V118=1,", "&amp;V$1,"")</f>
        <v/>
      </c>
      <c r="AU118">
        <f>IF(W118=1,", "&amp;W$1,"")</f>
        <v/>
      </c>
      <c r="AV118">
        <f>IF(X118=1,", "&amp;X$1,"")</f>
        <v/>
      </c>
      <c r="AW118">
        <f>IF(Y118=1,", "&amp;Y$1,"")</f>
        <v/>
      </c>
      <c r="AX118">
        <f>IF(Z118=1,", "&amp;Z$1,"")</f>
        <v/>
      </c>
      <c r="AY118">
        <f>IF(AA118=1,", "&amp;AA$1,"")</f>
        <v/>
      </c>
      <c r="AZ118">
        <f>MID($AB118&amp;$AC118&amp;$AD118&amp;$AE118&amp;$AF118&amp;$AG118&amp;$AH118&amp;$AI118&amp;$AJ118&amp;$AK118&amp;$AL118&amp;$AM118&amp;$AN118&amp;$AO118&amp;$AP118&amp;$AQ118&amp;$AR118&amp;$AS118&amp;$AT118&amp;$AU118&amp;$AV118&amp;$AW118&amp;$AX118&amp;$AY118,3,32767)</f>
        <v/>
      </c>
      <c r="BA118">
        <f>COUNT($D118:$AA118)</f>
        <v/>
      </c>
    </row>
    <row r="119">
      <c r="A119" t="n">
        <v>3</v>
      </c>
      <c r="B119" t="inlineStr">
        <is>
          <t>Feign Death</t>
        </is>
      </c>
      <c r="C119" t="inlineStr">
        <is>
          <t>Necromancy</t>
        </is>
      </c>
      <c r="D119">
        <f>IF(Wizards!$A$2="","",IF(OR(ISNUMBER(SEARCH(", "&amp;$B119&amp;", ", ", "&amp;INDEX('Form Responses'!$I$1:$Q$200,2,$A119)&amp;", ")),ISNUMBER(SEARCH(", "&amp;$B119&amp;", ", ", "&amp;INDEX('Form Responses'!$R$1:$R$200,2)&amp;", "))),1,""))</f>
        <v/>
      </c>
      <c r="E119">
        <f>IF(Wizards!$A$3="","",IF(OR(ISNUMBER(SEARCH(", "&amp;$B119&amp;", ", ", "&amp;INDEX('Form Responses'!$I$1:$Q$200,3,$A119)&amp;", ")),ISNUMBER(SEARCH(", "&amp;$B119&amp;", ", ", "&amp;INDEX('Form Responses'!$R$1:$R$200,3)&amp;", "))),1,""))</f>
        <v/>
      </c>
      <c r="F119">
        <f>IF(Wizards!$A$4="","",IF(OR(ISNUMBER(SEARCH(", "&amp;$B119&amp;", ", ", "&amp;INDEX('Form Responses'!$I$1:$Q$200,4,$A119)&amp;", ")),ISNUMBER(SEARCH(", "&amp;$B119&amp;", ", ", "&amp;INDEX('Form Responses'!$R$1:$R$200,4)&amp;", "))),1,""))</f>
        <v/>
      </c>
      <c r="G119">
        <f>IF(Wizards!$A$5="","",IF(OR(ISNUMBER(SEARCH(", "&amp;$B119&amp;", ", ", "&amp;INDEX('Form Responses'!$I$1:$Q$200,5,$A119)&amp;", ")),ISNUMBER(SEARCH(", "&amp;$B119&amp;", ", ", "&amp;INDEX('Form Responses'!$R$1:$R$200,5)&amp;", "))),1,""))</f>
        <v/>
      </c>
      <c r="H119">
        <f>IF(Wizards!$A$6="","",IF(OR(ISNUMBER(SEARCH(", "&amp;$B119&amp;", ", ", "&amp;INDEX('Form Responses'!$I$1:$Q$200,6,$A119)&amp;", ")),ISNUMBER(SEARCH(", "&amp;$B119&amp;", ", ", "&amp;INDEX('Form Responses'!$R$1:$R$200,6)&amp;", "))),1,""))</f>
        <v/>
      </c>
      <c r="I119">
        <f>IF(Wizards!$A$7="","",IF(OR(ISNUMBER(SEARCH(", "&amp;$B119&amp;", ", ", "&amp;INDEX('Form Responses'!$I$1:$Q$200,7,$A119)&amp;", ")),ISNUMBER(SEARCH(", "&amp;$B119&amp;", ", ", "&amp;INDEX('Form Responses'!$R$1:$R$200,7)&amp;", "))),1,""))</f>
        <v/>
      </c>
      <c r="J119">
        <f>IF(Wizards!$A$8="","",IF(OR(ISNUMBER(SEARCH(", "&amp;$B119&amp;", ", ", "&amp;INDEX('Form Responses'!$I$1:$Q$200,8,$A119)&amp;", ")),ISNUMBER(SEARCH(", "&amp;$B119&amp;", ", ", "&amp;INDEX('Form Responses'!$R$1:$R$200,8)&amp;", "))),1,""))</f>
        <v/>
      </c>
      <c r="K119">
        <f>IF(Wizards!$A$9="","",IF(OR(ISNUMBER(SEARCH(", "&amp;$B119&amp;", ", ", "&amp;INDEX('Form Responses'!$I$1:$Q$200,9,$A119)&amp;", ")),ISNUMBER(SEARCH(", "&amp;$B119&amp;", ", ", "&amp;INDEX('Form Responses'!$R$1:$R$200,9)&amp;", "))),1,""))</f>
        <v/>
      </c>
      <c r="L119">
        <f>IF(Wizards!$A$10="","",IF(OR(ISNUMBER(SEARCH(", "&amp;$B119&amp;", ", ", "&amp;INDEX('Form Responses'!$I$1:$Q$200,10,$A119)&amp;", ")),ISNUMBER(SEARCH(", "&amp;$B119&amp;", ", ", "&amp;INDEX('Form Responses'!$R$1:$R$200,10)&amp;", "))),1,""))</f>
        <v/>
      </c>
      <c r="M119">
        <f>IF(Wizards!$A$11="","",IF(OR(ISNUMBER(SEARCH(", "&amp;$B119&amp;", ", ", "&amp;INDEX('Form Responses'!$I$1:$Q$200,11,$A119)&amp;", ")),ISNUMBER(SEARCH(", "&amp;$B119&amp;", ", ", "&amp;INDEX('Form Responses'!$R$1:$R$200,11)&amp;", "))),1,""))</f>
        <v/>
      </c>
      <c r="N119">
        <f>IF(Wizards!$A$12="","",IF(OR(ISNUMBER(SEARCH(", "&amp;$B119&amp;", ", ", "&amp;INDEX('Form Responses'!$I$1:$Q$200,12,$A119)&amp;", ")),ISNUMBER(SEARCH(", "&amp;$B119&amp;", ", ", "&amp;INDEX('Form Responses'!$R$1:$R$200,12)&amp;", "))),1,""))</f>
        <v/>
      </c>
      <c r="O119">
        <f>IF(Wizards!$A$13="","",IF(OR(ISNUMBER(SEARCH(", "&amp;$B119&amp;", ", ", "&amp;INDEX('Form Responses'!$I$1:$Q$200,13,$A119)&amp;", ")),ISNUMBER(SEARCH(", "&amp;$B119&amp;", ", ", "&amp;INDEX('Form Responses'!$R$1:$R$200,13)&amp;", "))),1,""))</f>
        <v/>
      </c>
      <c r="P119">
        <f>IF(Wizards!$A$14="","",IF(OR(ISNUMBER(SEARCH(", "&amp;$B119&amp;", ", ", "&amp;INDEX('Form Responses'!$I$1:$Q$200,14,$A119)&amp;", ")),ISNUMBER(SEARCH(", "&amp;$B119&amp;", ", ", "&amp;INDEX('Form Responses'!$R$1:$R$200,14)&amp;", "))),1,""))</f>
        <v/>
      </c>
      <c r="Q119">
        <f>IF(Wizards!$A$15="","",IF(OR(ISNUMBER(SEARCH(", "&amp;$B119&amp;", ", ", "&amp;INDEX('Form Responses'!$I$1:$Q$200,15,$A119)&amp;", ")),ISNUMBER(SEARCH(", "&amp;$B119&amp;", ", ", "&amp;INDEX('Form Responses'!$R$1:$R$200,15)&amp;", "))),1,""))</f>
        <v/>
      </c>
      <c r="R119">
        <f>IF(Wizards!$A$16="","",IF(OR(ISNUMBER(SEARCH(", "&amp;$B119&amp;", ", ", "&amp;INDEX('Form Responses'!$I$1:$Q$200,16,$A119)&amp;", ")),ISNUMBER(SEARCH(", "&amp;$B119&amp;", ", ", "&amp;INDEX('Form Responses'!$R$1:$R$200,16)&amp;", "))),1,""))</f>
        <v/>
      </c>
      <c r="S119">
        <f>IF(Wizards!$A$17="","",IF(OR(ISNUMBER(SEARCH(", "&amp;$B119&amp;", ", ", "&amp;INDEX('Form Responses'!$I$1:$Q$200,17,$A119)&amp;", ")),ISNUMBER(SEARCH(", "&amp;$B119&amp;", ", ", "&amp;INDEX('Form Responses'!$R$1:$R$200,17)&amp;", "))),1,""))</f>
        <v/>
      </c>
      <c r="T119">
        <f>IF(Wizards!$A$18="","",IF(OR(ISNUMBER(SEARCH(", "&amp;$B119&amp;", ", ", "&amp;INDEX('Form Responses'!$I$1:$Q$200,18,$A119)&amp;", ")),ISNUMBER(SEARCH(", "&amp;$B119&amp;", ", ", "&amp;INDEX('Form Responses'!$R$1:$R$200,18)&amp;", "))),1,""))</f>
        <v/>
      </c>
      <c r="U119">
        <f>IF(Wizards!$A$19="","",IF(OR(ISNUMBER(SEARCH(", "&amp;$B119&amp;", ", ", "&amp;INDEX('Form Responses'!$I$1:$Q$200,19,$A119)&amp;", ")),ISNUMBER(SEARCH(", "&amp;$B119&amp;", ", ", "&amp;INDEX('Form Responses'!$R$1:$R$200,19)&amp;", "))),1,""))</f>
        <v/>
      </c>
      <c r="V119">
        <f>IF(Wizards!$A$20="","",IF(OR(ISNUMBER(SEARCH(", "&amp;$B119&amp;", ", ", "&amp;INDEX('Form Responses'!$I$1:$Q$200,20,$A119)&amp;", ")),ISNUMBER(SEARCH(", "&amp;$B119&amp;", ", ", "&amp;INDEX('Form Responses'!$R$1:$R$200,20)&amp;", "))),1,""))</f>
        <v/>
      </c>
      <c r="W119">
        <f>IF(Wizards!$A$21="","",IF(OR(ISNUMBER(SEARCH(", "&amp;$B119&amp;", ", ", "&amp;INDEX('Form Responses'!$I$1:$Q$200,21,$A119)&amp;", ")),ISNUMBER(SEARCH(", "&amp;$B119&amp;", ", ", "&amp;INDEX('Form Responses'!$R$1:$R$200,21)&amp;", "))),1,""))</f>
        <v/>
      </c>
      <c r="X119">
        <f>IF(Wizards!$A$22="","",IF(OR(ISNUMBER(SEARCH(", "&amp;$B119&amp;", ", ", "&amp;INDEX('Form Responses'!$I$1:$Q$200,22,$A119)&amp;", ")),ISNUMBER(SEARCH(", "&amp;$B119&amp;", ", ", "&amp;INDEX('Form Responses'!$R$1:$R$200,22)&amp;", "))),1,""))</f>
        <v/>
      </c>
      <c r="Y119">
        <f>IF(Wizards!$A$23="","",IF(OR(ISNUMBER(SEARCH(", "&amp;$B119&amp;", ", ", "&amp;INDEX('Form Responses'!$I$1:$Q$200,23,$A119)&amp;", ")),ISNUMBER(SEARCH(", "&amp;$B119&amp;", ", ", "&amp;INDEX('Form Responses'!$R$1:$R$200,23)&amp;", "))),1,""))</f>
        <v/>
      </c>
      <c r="Z119">
        <f>IF(Wizards!$A$24="","",IF(OR(ISNUMBER(SEARCH(", "&amp;$B119&amp;", ", ", "&amp;INDEX('Form Responses'!$I$1:$Q$200,24,$A119)&amp;", ")),ISNUMBER(SEARCH(", "&amp;$B119&amp;", ", ", "&amp;INDEX('Form Responses'!$R$1:$R$200,24)&amp;", "))),1,""))</f>
        <v/>
      </c>
      <c r="AA119">
        <f>IF(Wizards!$A$25="","",IF(OR(ISNUMBER(SEARCH(", "&amp;$B119&amp;", ", ", "&amp;INDEX('Form Responses'!$I$1:$Q$200,25,$A119)&amp;", ")),ISNUMBER(SEARCH(", "&amp;$B119&amp;", ", ", "&amp;INDEX('Form Responses'!$R$1:$R$200,25)&amp;", "))),1,""))</f>
        <v/>
      </c>
      <c r="AB119">
        <f>IF(D119=1,", "&amp;D$1,"")</f>
        <v/>
      </c>
      <c r="AC119">
        <f>IF(E119=1,", "&amp;E$1,"")</f>
        <v/>
      </c>
      <c r="AD119">
        <f>IF(F119=1,", "&amp;F$1,"")</f>
        <v/>
      </c>
      <c r="AE119">
        <f>IF(G119=1,", "&amp;G$1,"")</f>
        <v/>
      </c>
      <c r="AF119">
        <f>IF(H119=1,", "&amp;H$1,"")</f>
        <v/>
      </c>
      <c r="AG119">
        <f>IF(I119=1,", "&amp;I$1,"")</f>
        <v/>
      </c>
      <c r="AH119">
        <f>IF(J119=1,", "&amp;J$1,"")</f>
        <v/>
      </c>
      <c r="AI119">
        <f>IF(K119=1,", "&amp;K$1,"")</f>
        <v/>
      </c>
      <c r="AJ119">
        <f>IF(L119=1,", "&amp;L$1,"")</f>
        <v/>
      </c>
      <c r="AK119">
        <f>IF(M119=1,", "&amp;M$1,"")</f>
        <v/>
      </c>
      <c r="AL119">
        <f>IF(N119=1,", "&amp;N$1,"")</f>
        <v/>
      </c>
      <c r="AM119">
        <f>IF(O119=1,", "&amp;O$1,"")</f>
        <v/>
      </c>
      <c r="AN119">
        <f>IF(P119=1,", "&amp;P$1,"")</f>
        <v/>
      </c>
      <c r="AO119">
        <f>IF(Q119=1,", "&amp;Q$1,"")</f>
        <v/>
      </c>
      <c r="AP119">
        <f>IF(R119=1,", "&amp;R$1,"")</f>
        <v/>
      </c>
      <c r="AQ119">
        <f>IF(S119=1,", "&amp;S$1,"")</f>
        <v/>
      </c>
      <c r="AR119">
        <f>IF(T119=1,", "&amp;T$1,"")</f>
        <v/>
      </c>
      <c r="AS119">
        <f>IF(U119=1,", "&amp;U$1,"")</f>
        <v/>
      </c>
      <c r="AT119">
        <f>IF(V119=1,", "&amp;V$1,"")</f>
        <v/>
      </c>
      <c r="AU119">
        <f>IF(W119=1,", "&amp;W$1,"")</f>
        <v/>
      </c>
      <c r="AV119">
        <f>IF(X119=1,", "&amp;X$1,"")</f>
        <v/>
      </c>
      <c r="AW119">
        <f>IF(Y119=1,", "&amp;Y$1,"")</f>
        <v/>
      </c>
      <c r="AX119">
        <f>IF(Z119=1,", "&amp;Z$1,"")</f>
        <v/>
      </c>
      <c r="AY119">
        <f>IF(AA119=1,", "&amp;AA$1,"")</f>
        <v/>
      </c>
      <c r="AZ119">
        <f>MID($AB119&amp;$AC119&amp;$AD119&amp;$AE119&amp;$AF119&amp;$AG119&amp;$AH119&amp;$AI119&amp;$AJ119&amp;$AK119&amp;$AL119&amp;$AM119&amp;$AN119&amp;$AO119&amp;$AP119&amp;$AQ119&amp;$AR119&amp;$AS119&amp;$AT119&amp;$AU119&amp;$AV119&amp;$AW119&amp;$AX119&amp;$AY119,3,32767)</f>
        <v/>
      </c>
      <c r="BA119">
        <f>COUNT($D119:$AA119)</f>
        <v/>
      </c>
    </row>
    <row r="120">
      <c r="A120" t="n">
        <v>3</v>
      </c>
      <c r="B120" t="inlineStr">
        <is>
          <t>Fireball</t>
        </is>
      </c>
      <c r="C120" t="inlineStr">
        <is>
          <t>Evocation</t>
        </is>
      </c>
      <c r="D120">
        <f>IF(Wizards!$A$2="","",IF(OR(ISNUMBER(SEARCH(", "&amp;$B120&amp;", ", ", "&amp;INDEX('Form Responses'!$I$1:$Q$200,2,$A120)&amp;", ")),ISNUMBER(SEARCH(", "&amp;$B120&amp;", ", ", "&amp;INDEX('Form Responses'!$R$1:$R$200,2)&amp;", "))),1,""))</f>
        <v/>
      </c>
      <c r="E120">
        <f>IF(Wizards!$A$3="","",IF(OR(ISNUMBER(SEARCH(", "&amp;$B120&amp;", ", ", "&amp;INDEX('Form Responses'!$I$1:$Q$200,3,$A120)&amp;", ")),ISNUMBER(SEARCH(", "&amp;$B120&amp;", ", ", "&amp;INDEX('Form Responses'!$R$1:$R$200,3)&amp;", "))),1,""))</f>
        <v/>
      </c>
      <c r="F120">
        <f>IF(Wizards!$A$4="","",IF(OR(ISNUMBER(SEARCH(", "&amp;$B120&amp;", ", ", "&amp;INDEX('Form Responses'!$I$1:$Q$200,4,$A120)&amp;", ")),ISNUMBER(SEARCH(", "&amp;$B120&amp;", ", ", "&amp;INDEX('Form Responses'!$R$1:$R$200,4)&amp;", "))),1,""))</f>
        <v/>
      </c>
      <c r="G120">
        <f>IF(Wizards!$A$5="","",IF(OR(ISNUMBER(SEARCH(", "&amp;$B120&amp;", ", ", "&amp;INDEX('Form Responses'!$I$1:$Q$200,5,$A120)&amp;", ")),ISNUMBER(SEARCH(", "&amp;$B120&amp;", ", ", "&amp;INDEX('Form Responses'!$R$1:$R$200,5)&amp;", "))),1,""))</f>
        <v/>
      </c>
      <c r="H120">
        <f>IF(Wizards!$A$6="","",IF(OR(ISNUMBER(SEARCH(", "&amp;$B120&amp;", ", ", "&amp;INDEX('Form Responses'!$I$1:$Q$200,6,$A120)&amp;", ")),ISNUMBER(SEARCH(", "&amp;$B120&amp;", ", ", "&amp;INDEX('Form Responses'!$R$1:$R$200,6)&amp;", "))),1,""))</f>
        <v/>
      </c>
      <c r="I120">
        <f>IF(Wizards!$A$7="","",IF(OR(ISNUMBER(SEARCH(", "&amp;$B120&amp;", ", ", "&amp;INDEX('Form Responses'!$I$1:$Q$200,7,$A120)&amp;", ")),ISNUMBER(SEARCH(", "&amp;$B120&amp;", ", ", "&amp;INDEX('Form Responses'!$R$1:$R$200,7)&amp;", "))),1,""))</f>
        <v/>
      </c>
      <c r="J120">
        <f>IF(Wizards!$A$8="","",IF(OR(ISNUMBER(SEARCH(", "&amp;$B120&amp;", ", ", "&amp;INDEX('Form Responses'!$I$1:$Q$200,8,$A120)&amp;", ")),ISNUMBER(SEARCH(", "&amp;$B120&amp;", ", ", "&amp;INDEX('Form Responses'!$R$1:$R$200,8)&amp;", "))),1,""))</f>
        <v/>
      </c>
      <c r="K120">
        <f>IF(Wizards!$A$9="","",IF(OR(ISNUMBER(SEARCH(", "&amp;$B120&amp;", ", ", "&amp;INDEX('Form Responses'!$I$1:$Q$200,9,$A120)&amp;", ")),ISNUMBER(SEARCH(", "&amp;$B120&amp;", ", ", "&amp;INDEX('Form Responses'!$R$1:$R$200,9)&amp;", "))),1,""))</f>
        <v/>
      </c>
      <c r="L120">
        <f>IF(Wizards!$A$10="","",IF(OR(ISNUMBER(SEARCH(", "&amp;$B120&amp;", ", ", "&amp;INDEX('Form Responses'!$I$1:$Q$200,10,$A120)&amp;", ")),ISNUMBER(SEARCH(", "&amp;$B120&amp;", ", ", "&amp;INDEX('Form Responses'!$R$1:$R$200,10)&amp;", "))),1,""))</f>
        <v/>
      </c>
      <c r="M120">
        <f>IF(Wizards!$A$11="","",IF(OR(ISNUMBER(SEARCH(", "&amp;$B120&amp;", ", ", "&amp;INDEX('Form Responses'!$I$1:$Q$200,11,$A120)&amp;", ")),ISNUMBER(SEARCH(", "&amp;$B120&amp;", ", ", "&amp;INDEX('Form Responses'!$R$1:$R$200,11)&amp;", "))),1,""))</f>
        <v/>
      </c>
      <c r="N120">
        <f>IF(Wizards!$A$12="","",IF(OR(ISNUMBER(SEARCH(", "&amp;$B120&amp;", ", ", "&amp;INDEX('Form Responses'!$I$1:$Q$200,12,$A120)&amp;", ")),ISNUMBER(SEARCH(", "&amp;$B120&amp;", ", ", "&amp;INDEX('Form Responses'!$R$1:$R$200,12)&amp;", "))),1,""))</f>
        <v/>
      </c>
      <c r="O120">
        <f>IF(Wizards!$A$13="","",IF(OR(ISNUMBER(SEARCH(", "&amp;$B120&amp;", ", ", "&amp;INDEX('Form Responses'!$I$1:$Q$200,13,$A120)&amp;", ")),ISNUMBER(SEARCH(", "&amp;$B120&amp;", ", ", "&amp;INDEX('Form Responses'!$R$1:$R$200,13)&amp;", "))),1,""))</f>
        <v/>
      </c>
      <c r="P120">
        <f>IF(Wizards!$A$14="","",IF(OR(ISNUMBER(SEARCH(", "&amp;$B120&amp;", ", ", "&amp;INDEX('Form Responses'!$I$1:$Q$200,14,$A120)&amp;", ")),ISNUMBER(SEARCH(", "&amp;$B120&amp;", ", ", "&amp;INDEX('Form Responses'!$R$1:$R$200,14)&amp;", "))),1,""))</f>
        <v/>
      </c>
      <c r="Q120">
        <f>IF(Wizards!$A$15="","",IF(OR(ISNUMBER(SEARCH(", "&amp;$B120&amp;", ", ", "&amp;INDEX('Form Responses'!$I$1:$Q$200,15,$A120)&amp;", ")),ISNUMBER(SEARCH(", "&amp;$B120&amp;", ", ", "&amp;INDEX('Form Responses'!$R$1:$R$200,15)&amp;", "))),1,""))</f>
        <v/>
      </c>
      <c r="R120">
        <f>IF(Wizards!$A$16="","",IF(OR(ISNUMBER(SEARCH(", "&amp;$B120&amp;", ", ", "&amp;INDEX('Form Responses'!$I$1:$Q$200,16,$A120)&amp;", ")),ISNUMBER(SEARCH(", "&amp;$B120&amp;", ", ", "&amp;INDEX('Form Responses'!$R$1:$R$200,16)&amp;", "))),1,""))</f>
        <v/>
      </c>
      <c r="S120">
        <f>IF(Wizards!$A$17="","",IF(OR(ISNUMBER(SEARCH(", "&amp;$B120&amp;", ", ", "&amp;INDEX('Form Responses'!$I$1:$Q$200,17,$A120)&amp;", ")),ISNUMBER(SEARCH(", "&amp;$B120&amp;", ", ", "&amp;INDEX('Form Responses'!$R$1:$R$200,17)&amp;", "))),1,""))</f>
        <v/>
      </c>
      <c r="T120">
        <f>IF(Wizards!$A$18="","",IF(OR(ISNUMBER(SEARCH(", "&amp;$B120&amp;", ", ", "&amp;INDEX('Form Responses'!$I$1:$Q$200,18,$A120)&amp;", ")),ISNUMBER(SEARCH(", "&amp;$B120&amp;", ", ", "&amp;INDEX('Form Responses'!$R$1:$R$200,18)&amp;", "))),1,""))</f>
        <v/>
      </c>
      <c r="U120">
        <f>IF(Wizards!$A$19="","",IF(OR(ISNUMBER(SEARCH(", "&amp;$B120&amp;", ", ", "&amp;INDEX('Form Responses'!$I$1:$Q$200,19,$A120)&amp;", ")),ISNUMBER(SEARCH(", "&amp;$B120&amp;", ", ", "&amp;INDEX('Form Responses'!$R$1:$R$200,19)&amp;", "))),1,""))</f>
        <v/>
      </c>
      <c r="V120">
        <f>IF(Wizards!$A$20="","",IF(OR(ISNUMBER(SEARCH(", "&amp;$B120&amp;", ", ", "&amp;INDEX('Form Responses'!$I$1:$Q$200,20,$A120)&amp;", ")),ISNUMBER(SEARCH(", "&amp;$B120&amp;", ", ", "&amp;INDEX('Form Responses'!$R$1:$R$200,20)&amp;", "))),1,""))</f>
        <v/>
      </c>
      <c r="W120">
        <f>IF(Wizards!$A$21="","",IF(OR(ISNUMBER(SEARCH(", "&amp;$B120&amp;", ", ", "&amp;INDEX('Form Responses'!$I$1:$Q$200,21,$A120)&amp;", ")),ISNUMBER(SEARCH(", "&amp;$B120&amp;", ", ", "&amp;INDEX('Form Responses'!$R$1:$R$200,21)&amp;", "))),1,""))</f>
        <v/>
      </c>
      <c r="X120">
        <f>IF(Wizards!$A$22="","",IF(OR(ISNUMBER(SEARCH(", "&amp;$B120&amp;", ", ", "&amp;INDEX('Form Responses'!$I$1:$Q$200,22,$A120)&amp;", ")),ISNUMBER(SEARCH(", "&amp;$B120&amp;", ", ", "&amp;INDEX('Form Responses'!$R$1:$R$200,22)&amp;", "))),1,""))</f>
        <v/>
      </c>
      <c r="Y120">
        <f>IF(Wizards!$A$23="","",IF(OR(ISNUMBER(SEARCH(", "&amp;$B120&amp;", ", ", "&amp;INDEX('Form Responses'!$I$1:$Q$200,23,$A120)&amp;", ")),ISNUMBER(SEARCH(", "&amp;$B120&amp;", ", ", "&amp;INDEX('Form Responses'!$R$1:$R$200,23)&amp;", "))),1,""))</f>
        <v/>
      </c>
      <c r="Z120">
        <f>IF(Wizards!$A$24="","",IF(OR(ISNUMBER(SEARCH(", "&amp;$B120&amp;", ", ", "&amp;INDEX('Form Responses'!$I$1:$Q$200,24,$A120)&amp;", ")),ISNUMBER(SEARCH(", "&amp;$B120&amp;", ", ", "&amp;INDEX('Form Responses'!$R$1:$R$200,24)&amp;", "))),1,""))</f>
        <v/>
      </c>
      <c r="AA120">
        <f>IF(Wizards!$A$25="","",IF(OR(ISNUMBER(SEARCH(", "&amp;$B120&amp;", ", ", "&amp;INDEX('Form Responses'!$I$1:$Q$200,25,$A120)&amp;", ")),ISNUMBER(SEARCH(", "&amp;$B120&amp;", ", ", "&amp;INDEX('Form Responses'!$R$1:$R$200,25)&amp;", "))),1,""))</f>
        <v/>
      </c>
      <c r="AB120">
        <f>IF(D120=1,", "&amp;D$1,"")</f>
        <v/>
      </c>
      <c r="AC120">
        <f>IF(E120=1,", "&amp;E$1,"")</f>
        <v/>
      </c>
      <c r="AD120">
        <f>IF(F120=1,", "&amp;F$1,"")</f>
        <v/>
      </c>
      <c r="AE120">
        <f>IF(G120=1,", "&amp;G$1,"")</f>
        <v/>
      </c>
      <c r="AF120">
        <f>IF(H120=1,", "&amp;H$1,"")</f>
        <v/>
      </c>
      <c r="AG120">
        <f>IF(I120=1,", "&amp;I$1,"")</f>
        <v/>
      </c>
      <c r="AH120">
        <f>IF(J120=1,", "&amp;J$1,"")</f>
        <v/>
      </c>
      <c r="AI120">
        <f>IF(K120=1,", "&amp;K$1,"")</f>
        <v/>
      </c>
      <c r="AJ120">
        <f>IF(L120=1,", "&amp;L$1,"")</f>
        <v/>
      </c>
      <c r="AK120">
        <f>IF(M120=1,", "&amp;M$1,"")</f>
        <v/>
      </c>
      <c r="AL120">
        <f>IF(N120=1,", "&amp;N$1,"")</f>
        <v/>
      </c>
      <c r="AM120">
        <f>IF(O120=1,", "&amp;O$1,"")</f>
        <v/>
      </c>
      <c r="AN120">
        <f>IF(P120=1,", "&amp;P$1,"")</f>
        <v/>
      </c>
      <c r="AO120">
        <f>IF(Q120=1,", "&amp;Q$1,"")</f>
        <v/>
      </c>
      <c r="AP120">
        <f>IF(R120=1,", "&amp;R$1,"")</f>
        <v/>
      </c>
      <c r="AQ120">
        <f>IF(S120=1,", "&amp;S$1,"")</f>
        <v/>
      </c>
      <c r="AR120">
        <f>IF(T120=1,", "&amp;T$1,"")</f>
        <v/>
      </c>
      <c r="AS120">
        <f>IF(U120=1,", "&amp;U$1,"")</f>
        <v/>
      </c>
      <c r="AT120">
        <f>IF(V120=1,", "&amp;V$1,"")</f>
        <v/>
      </c>
      <c r="AU120">
        <f>IF(W120=1,", "&amp;W$1,"")</f>
        <v/>
      </c>
      <c r="AV120">
        <f>IF(X120=1,", "&amp;X$1,"")</f>
        <v/>
      </c>
      <c r="AW120">
        <f>IF(Y120=1,", "&amp;Y$1,"")</f>
        <v/>
      </c>
      <c r="AX120">
        <f>IF(Z120=1,", "&amp;Z$1,"")</f>
        <v/>
      </c>
      <c r="AY120">
        <f>IF(AA120=1,", "&amp;AA$1,"")</f>
        <v/>
      </c>
      <c r="AZ120">
        <f>MID($AB120&amp;$AC120&amp;$AD120&amp;$AE120&amp;$AF120&amp;$AG120&amp;$AH120&amp;$AI120&amp;$AJ120&amp;$AK120&amp;$AL120&amp;$AM120&amp;$AN120&amp;$AO120&amp;$AP120&amp;$AQ120&amp;$AR120&amp;$AS120&amp;$AT120&amp;$AU120&amp;$AV120&amp;$AW120&amp;$AX120&amp;$AY120,3,32767)</f>
        <v/>
      </c>
      <c r="BA120">
        <f>COUNT($D120:$AA120)</f>
        <v/>
      </c>
    </row>
    <row r="121">
      <c r="A121" t="n">
        <v>3</v>
      </c>
      <c r="B121" t="inlineStr">
        <is>
          <t>Flame Arrows</t>
        </is>
      </c>
      <c r="C121" t="inlineStr">
        <is>
          <t>Transmutation</t>
        </is>
      </c>
      <c r="D121">
        <f>IF(Wizards!$A$2="","",IF(OR(ISNUMBER(SEARCH(", "&amp;$B121&amp;", ", ", "&amp;INDEX('Form Responses'!$I$1:$Q$200,2,$A121)&amp;", ")),ISNUMBER(SEARCH(", "&amp;$B121&amp;", ", ", "&amp;INDEX('Form Responses'!$R$1:$R$200,2)&amp;", "))),1,""))</f>
        <v/>
      </c>
      <c r="E121">
        <f>IF(Wizards!$A$3="","",IF(OR(ISNUMBER(SEARCH(", "&amp;$B121&amp;", ", ", "&amp;INDEX('Form Responses'!$I$1:$Q$200,3,$A121)&amp;", ")),ISNUMBER(SEARCH(", "&amp;$B121&amp;", ", ", "&amp;INDEX('Form Responses'!$R$1:$R$200,3)&amp;", "))),1,""))</f>
        <v/>
      </c>
      <c r="F121">
        <f>IF(Wizards!$A$4="","",IF(OR(ISNUMBER(SEARCH(", "&amp;$B121&amp;", ", ", "&amp;INDEX('Form Responses'!$I$1:$Q$200,4,$A121)&amp;", ")),ISNUMBER(SEARCH(", "&amp;$B121&amp;", ", ", "&amp;INDEX('Form Responses'!$R$1:$R$200,4)&amp;", "))),1,""))</f>
        <v/>
      </c>
      <c r="G121">
        <f>IF(Wizards!$A$5="","",IF(OR(ISNUMBER(SEARCH(", "&amp;$B121&amp;", ", ", "&amp;INDEX('Form Responses'!$I$1:$Q$200,5,$A121)&amp;", ")),ISNUMBER(SEARCH(", "&amp;$B121&amp;", ", ", "&amp;INDEX('Form Responses'!$R$1:$R$200,5)&amp;", "))),1,""))</f>
        <v/>
      </c>
      <c r="H121">
        <f>IF(Wizards!$A$6="","",IF(OR(ISNUMBER(SEARCH(", "&amp;$B121&amp;", ", ", "&amp;INDEX('Form Responses'!$I$1:$Q$200,6,$A121)&amp;", ")),ISNUMBER(SEARCH(", "&amp;$B121&amp;", ", ", "&amp;INDEX('Form Responses'!$R$1:$R$200,6)&amp;", "))),1,""))</f>
        <v/>
      </c>
      <c r="I121">
        <f>IF(Wizards!$A$7="","",IF(OR(ISNUMBER(SEARCH(", "&amp;$B121&amp;", ", ", "&amp;INDEX('Form Responses'!$I$1:$Q$200,7,$A121)&amp;", ")),ISNUMBER(SEARCH(", "&amp;$B121&amp;", ", ", "&amp;INDEX('Form Responses'!$R$1:$R$200,7)&amp;", "))),1,""))</f>
        <v/>
      </c>
      <c r="J121">
        <f>IF(Wizards!$A$8="","",IF(OR(ISNUMBER(SEARCH(", "&amp;$B121&amp;", ", ", "&amp;INDEX('Form Responses'!$I$1:$Q$200,8,$A121)&amp;", ")),ISNUMBER(SEARCH(", "&amp;$B121&amp;", ", ", "&amp;INDEX('Form Responses'!$R$1:$R$200,8)&amp;", "))),1,""))</f>
        <v/>
      </c>
      <c r="K121">
        <f>IF(Wizards!$A$9="","",IF(OR(ISNUMBER(SEARCH(", "&amp;$B121&amp;", ", ", "&amp;INDEX('Form Responses'!$I$1:$Q$200,9,$A121)&amp;", ")),ISNUMBER(SEARCH(", "&amp;$B121&amp;", ", ", "&amp;INDEX('Form Responses'!$R$1:$R$200,9)&amp;", "))),1,""))</f>
        <v/>
      </c>
      <c r="L121">
        <f>IF(Wizards!$A$10="","",IF(OR(ISNUMBER(SEARCH(", "&amp;$B121&amp;", ", ", "&amp;INDEX('Form Responses'!$I$1:$Q$200,10,$A121)&amp;", ")),ISNUMBER(SEARCH(", "&amp;$B121&amp;", ", ", "&amp;INDEX('Form Responses'!$R$1:$R$200,10)&amp;", "))),1,""))</f>
        <v/>
      </c>
      <c r="M121">
        <f>IF(Wizards!$A$11="","",IF(OR(ISNUMBER(SEARCH(", "&amp;$B121&amp;", ", ", "&amp;INDEX('Form Responses'!$I$1:$Q$200,11,$A121)&amp;", ")),ISNUMBER(SEARCH(", "&amp;$B121&amp;", ", ", "&amp;INDEX('Form Responses'!$R$1:$R$200,11)&amp;", "))),1,""))</f>
        <v/>
      </c>
      <c r="N121">
        <f>IF(Wizards!$A$12="","",IF(OR(ISNUMBER(SEARCH(", "&amp;$B121&amp;", ", ", "&amp;INDEX('Form Responses'!$I$1:$Q$200,12,$A121)&amp;", ")),ISNUMBER(SEARCH(", "&amp;$B121&amp;", ", ", "&amp;INDEX('Form Responses'!$R$1:$R$200,12)&amp;", "))),1,""))</f>
        <v/>
      </c>
      <c r="O121">
        <f>IF(Wizards!$A$13="","",IF(OR(ISNUMBER(SEARCH(", "&amp;$B121&amp;", ", ", "&amp;INDEX('Form Responses'!$I$1:$Q$200,13,$A121)&amp;", ")),ISNUMBER(SEARCH(", "&amp;$B121&amp;", ", ", "&amp;INDEX('Form Responses'!$R$1:$R$200,13)&amp;", "))),1,""))</f>
        <v/>
      </c>
      <c r="P121">
        <f>IF(Wizards!$A$14="","",IF(OR(ISNUMBER(SEARCH(", "&amp;$B121&amp;", ", ", "&amp;INDEX('Form Responses'!$I$1:$Q$200,14,$A121)&amp;", ")),ISNUMBER(SEARCH(", "&amp;$B121&amp;", ", ", "&amp;INDEX('Form Responses'!$R$1:$R$200,14)&amp;", "))),1,""))</f>
        <v/>
      </c>
      <c r="Q121">
        <f>IF(Wizards!$A$15="","",IF(OR(ISNUMBER(SEARCH(", "&amp;$B121&amp;", ", ", "&amp;INDEX('Form Responses'!$I$1:$Q$200,15,$A121)&amp;", ")),ISNUMBER(SEARCH(", "&amp;$B121&amp;", ", ", "&amp;INDEX('Form Responses'!$R$1:$R$200,15)&amp;", "))),1,""))</f>
        <v/>
      </c>
      <c r="R121">
        <f>IF(Wizards!$A$16="","",IF(OR(ISNUMBER(SEARCH(", "&amp;$B121&amp;", ", ", "&amp;INDEX('Form Responses'!$I$1:$Q$200,16,$A121)&amp;", ")),ISNUMBER(SEARCH(", "&amp;$B121&amp;", ", ", "&amp;INDEX('Form Responses'!$R$1:$R$200,16)&amp;", "))),1,""))</f>
        <v/>
      </c>
      <c r="S121">
        <f>IF(Wizards!$A$17="","",IF(OR(ISNUMBER(SEARCH(", "&amp;$B121&amp;", ", ", "&amp;INDEX('Form Responses'!$I$1:$Q$200,17,$A121)&amp;", ")),ISNUMBER(SEARCH(", "&amp;$B121&amp;", ", ", "&amp;INDEX('Form Responses'!$R$1:$R$200,17)&amp;", "))),1,""))</f>
        <v/>
      </c>
      <c r="T121">
        <f>IF(Wizards!$A$18="","",IF(OR(ISNUMBER(SEARCH(", "&amp;$B121&amp;", ", ", "&amp;INDEX('Form Responses'!$I$1:$Q$200,18,$A121)&amp;", ")),ISNUMBER(SEARCH(", "&amp;$B121&amp;", ", ", "&amp;INDEX('Form Responses'!$R$1:$R$200,18)&amp;", "))),1,""))</f>
        <v/>
      </c>
      <c r="U121">
        <f>IF(Wizards!$A$19="","",IF(OR(ISNUMBER(SEARCH(", "&amp;$B121&amp;", ", ", "&amp;INDEX('Form Responses'!$I$1:$Q$200,19,$A121)&amp;", ")),ISNUMBER(SEARCH(", "&amp;$B121&amp;", ", ", "&amp;INDEX('Form Responses'!$R$1:$R$200,19)&amp;", "))),1,""))</f>
        <v/>
      </c>
      <c r="V121">
        <f>IF(Wizards!$A$20="","",IF(OR(ISNUMBER(SEARCH(", "&amp;$B121&amp;", ", ", "&amp;INDEX('Form Responses'!$I$1:$Q$200,20,$A121)&amp;", ")),ISNUMBER(SEARCH(", "&amp;$B121&amp;", ", ", "&amp;INDEX('Form Responses'!$R$1:$R$200,20)&amp;", "))),1,""))</f>
        <v/>
      </c>
      <c r="W121">
        <f>IF(Wizards!$A$21="","",IF(OR(ISNUMBER(SEARCH(", "&amp;$B121&amp;", ", ", "&amp;INDEX('Form Responses'!$I$1:$Q$200,21,$A121)&amp;", ")),ISNUMBER(SEARCH(", "&amp;$B121&amp;", ", ", "&amp;INDEX('Form Responses'!$R$1:$R$200,21)&amp;", "))),1,""))</f>
        <v/>
      </c>
      <c r="X121">
        <f>IF(Wizards!$A$22="","",IF(OR(ISNUMBER(SEARCH(", "&amp;$B121&amp;", ", ", "&amp;INDEX('Form Responses'!$I$1:$Q$200,22,$A121)&amp;", ")),ISNUMBER(SEARCH(", "&amp;$B121&amp;", ", ", "&amp;INDEX('Form Responses'!$R$1:$R$200,22)&amp;", "))),1,""))</f>
        <v/>
      </c>
      <c r="Y121">
        <f>IF(Wizards!$A$23="","",IF(OR(ISNUMBER(SEARCH(", "&amp;$B121&amp;", ", ", "&amp;INDEX('Form Responses'!$I$1:$Q$200,23,$A121)&amp;", ")),ISNUMBER(SEARCH(", "&amp;$B121&amp;", ", ", "&amp;INDEX('Form Responses'!$R$1:$R$200,23)&amp;", "))),1,""))</f>
        <v/>
      </c>
      <c r="Z121">
        <f>IF(Wizards!$A$24="","",IF(OR(ISNUMBER(SEARCH(", "&amp;$B121&amp;", ", ", "&amp;INDEX('Form Responses'!$I$1:$Q$200,24,$A121)&amp;", ")),ISNUMBER(SEARCH(", "&amp;$B121&amp;", ", ", "&amp;INDEX('Form Responses'!$R$1:$R$200,24)&amp;", "))),1,""))</f>
        <v/>
      </c>
      <c r="AA121">
        <f>IF(Wizards!$A$25="","",IF(OR(ISNUMBER(SEARCH(", "&amp;$B121&amp;", ", ", "&amp;INDEX('Form Responses'!$I$1:$Q$200,25,$A121)&amp;", ")),ISNUMBER(SEARCH(", "&amp;$B121&amp;", ", ", "&amp;INDEX('Form Responses'!$R$1:$R$200,25)&amp;", "))),1,""))</f>
        <v/>
      </c>
      <c r="AB121">
        <f>IF(D121=1,", "&amp;D$1,"")</f>
        <v/>
      </c>
      <c r="AC121">
        <f>IF(E121=1,", "&amp;E$1,"")</f>
        <v/>
      </c>
      <c r="AD121">
        <f>IF(F121=1,", "&amp;F$1,"")</f>
        <v/>
      </c>
      <c r="AE121">
        <f>IF(G121=1,", "&amp;G$1,"")</f>
        <v/>
      </c>
      <c r="AF121">
        <f>IF(H121=1,", "&amp;H$1,"")</f>
        <v/>
      </c>
      <c r="AG121">
        <f>IF(I121=1,", "&amp;I$1,"")</f>
        <v/>
      </c>
      <c r="AH121">
        <f>IF(J121=1,", "&amp;J$1,"")</f>
        <v/>
      </c>
      <c r="AI121">
        <f>IF(K121=1,", "&amp;K$1,"")</f>
        <v/>
      </c>
      <c r="AJ121">
        <f>IF(L121=1,", "&amp;L$1,"")</f>
        <v/>
      </c>
      <c r="AK121">
        <f>IF(M121=1,", "&amp;M$1,"")</f>
        <v/>
      </c>
      <c r="AL121">
        <f>IF(N121=1,", "&amp;N$1,"")</f>
        <v/>
      </c>
      <c r="AM121">
        <f>IF(O121=1,", "&amp;O$1,"")</f>
        <v/>
      </c>
      <c r="AN121">
        <f>IF(P121=1,", "&amp;P$1,"")</f>
        <v/>
      </c>
      <c r="AO121">
        <f>IF(Q121=1,", "&amp;Q$1,"")</f>
        <v/>
      </c>
      <c r="AP121">
        <f>IF(R121=1,", "&amp;R$1,"")</f>
        <v/>
      </c>
      <c r="AQ121">
        <f>IF(S121=1,", "&amp;S$1,"")</f>
        <v/>
      </c>
      <c r="AR121">
        <f>IF(T121=1,", "&amp;T$1,"")</f>
        <v/>
      </c>
      <c r="AS121">
        <f>IF(U121=1,", "&amp;U$1,"")</f>
        <v/>
      </c>
      <c r="AT121">
        <f>IF(V121=1,", "&amp;V$1,"")</f>
        <v/>
      </c>
      <c r="AU121">
        <f>IF(W121=1,", "&amp;W$1,"")</f>
        <v/>
      </c>
      <c r="AV121">
        <f>IF(X121=1,", "&amp;X$1,"")</f>
        <v/>
      </c>
      <c r="AW121">
        <f>IF(Y121=1,", "&amp;Y$1,"")</f>
        <v/>
      </c>
      <c r="AX121">
        <f>IF(Z121=1,", "&amp;Z$1,"")</f>
        <v/>
      </c>
      <c r="AY121">
        <f>IF(AA121=1,", "&amp;AA$1,"")</f>
        <v/>
      </c>
      <c r="AZ121">
        <f>MID($AB121&amp;$AC121&amp;$AD121&amp;$AE121&amp;$AF121&amp;$AG121&amp;$AH121&amp;$AI121&amp;$AJ121&amp;$AK121&amp;$AL121&amp;$AM121&amp;$AN121&amp;$AO121&amp;$AP121&amp;$AQ121&amp;$AR121&amp;$AS121&amp;$AT121&amp;$AU121&amp;$AV121&amp;$AW121&amp;$AX121&amp;$AY121,3,32767)</f>
        <v/>
      </c>
      <c r="BA121">
        <f>COUNT($D121:$AA121)</f>
        <v/>
      </c>
    </row>
    <row r="122">
      <c r="A122" t="n">
        <v>3</v>
      </c>
      <c r="B122" t="inlineStr">
        <is>
          <t>Fly</t>
        </is>
      </c>
      <c r="C122" t="inlineStr">
        <is>
          <t>Transmutation</t>
        </is>
      </c>
      <c r="D122">
        <f>IF(Wizards!$A$2="","",IF(OR(ISNUMBER(SEARCH(", "&amp;$B122&amp;", ", ", "&amp;INDEX('Form Responses'!$I$1:$Q$200,2,$A122)&amp;", ")),ISNUMBER(SEARCH(", "&amp;$B122&amp;", ", ", "&amp;INDEX('Form Responses'!$R$1:$R$200,2)&amp;", "))),1,""))</f>
        <v/>
      </c>
      <c r="E122">
        <f>IF(Wizards!$A$3="","",IF(OR(ISNUMBER(SEARCH(", "&amp;$B122&amp;", ", ", "&amp;INDEX('Form Responses'!$I$1:$Q$200,3,$A122)&amp;", ")),ISNUMBER(SEARCH(", "&amp;$B122&amp;", ", ", "&amp;INDEX('Form Responses'!$R$1:$R$200,3)&amp;", "))),1,""))</f>
        <v/>
      </c>
      <c r="F122">
        <f>IF(Wizards!$A$4="","",IF(OR(ISNUMBER(SEARCH(", "&amp;$B122&amp;", ", ", "&amp;INDEX('Form Responses'!$I$1:$Q$200,4,$A122)&amp;", ")),ISNUMBER(SEARCH(", "&amp;$B122&amp;", ", ", "&amp;INDEX('Form Responses'!$R$1:$R$200,4)&amp;", "))),1,""))</f>
        <v/>
      </c>
      <c r="G122">
        <f>IF(Wizards!$A$5="","",IF(OR(ISNUMBER(SEARCH(", "&amp;$B122&amp;", ", ", "&amp;INDEX('Form Responses'!$I$1:$Q$200,5,$A122)&amp;", ")),ISNUMBER(SEARCH(", "&amp;$B122&amp;", ", ", "&amp;INDEX('Form Responses'!$R$1:$R$200,5)&amp;", "))),1,""))</f>
        <v/>
      </c>
      <c r="H122">
        <f>IF(Wizards!$A$6="","",IF(OR(ISNUMBER(SEARCH(", "&amp;$B122&amp;", ", ", "&amp;INDEX('Form Responses'!$I$1:$Q$200,6,$A122)&amp;", ")),ISNUMBER(SEARCH(", "&amp;$B122&amp;", ", ", "&amp;INDEX('Form Responses'!$R$1:$R$200,6)&amp;", "))),1,""))</f>
        <v/>
      </c>
      <c r="I122">
        <f>IF(Wizards!$A$7="","",IF(OR(ISNUMBER(SEARCH(", "&amp;$B122&amp;", ", ", "&amp;INDEX('Form Responses'!$I$1:$Q$200,7,$A122)&amp;", ")),ISNUMBER(SEARCH(", "&amp;$B122&amp;", ", ", "&amp;INDEX('Form Responses'!$R$1:$R$200,7)&amp;", "))),1,""))</f>
        <v/>
      </c>
      <c r="J122">
        <f>IF(Wizards!$A$8="","",IF(OR(ISNUMBER(SEARCH(", "&amp;$B122&amp;", ", ", "&amp;INDEX('Form Responses'!$I$1:$Q$200,8,$A122)&amp;", ")),ISNUMBER(SEARCH(", "&amp;$B122&amp;", ", ", "&amp;INDEX('Form Responses'!$R$1:$R$200,8)&amp;", "))),1,""))</f>
        <v/>
      </c>
      <c r="K122">
        <f>IF(Wizards!$A$9="","",IF(OR(ISNUMBER(SEARCH(", "&amp;$B122&amp;", ", ", "&amp;INDEX('Form Responses'!$I$1:$Q$200,9,$A122)&amp;", ")),ISNUMBER(SEARCH(", "&amp;$B122&amp;", ", ", "&amp;INDEX('Form Responses'!$R$1:$R$200,9)&amp;", "))),1,""))</f>
        <v/>
      </c>
      <c r="L122">
        <f>IF(Wizards!$A$10="","",IF(OR(ISNUMBER(SEARCH(", "&amp;$B122&amp;", ", ", "&amp;INDEX('Form Responses'!$I$1:$Q$200,10,$A122)&amp;", ")),ISNUMBER(SEARCH(", "&amp;$B122&amp;", ", ", "&amp;INDEX('Form Responses'!$R$1:$R$200,10)&amp;", "))),1,""))</f>
        <v/>
      </c>
      <c r="M122">
        <f>IF(Wizards!$A$11="","",IF(OR(ISNUMBER(SEARCH(", "&amp;$B122&amp;", ", ", "&amp;INDEX('Form Responses'!$I$1:$Q$200,11,$A122)&amp;", ")),ISNUMBER(SEARCH(", "&amp;$B122&amp;", ", ", "&amp;INDEX('Form Responses'!$R$1:$R$200,11)&amp;", "))),1,""))</f>
        <v/>
      </c>
      <c r="N122">
        <f>IF(Wizards!$A$12="","",IF(OR(ISNUMBER(SEARCH(", "&amp;$B122&amp;", ", ", "&amp;INDEX('Form Responses'!$I$1:$Q$200,12,$A122)&amp;", ")),ISNUMBER(SEARCH(", "&amp;$B122&amp;", ", ", "&amp;INDEX('Form Responses'!$R$1:$R$200,12)&amp;", "))),1,""))</f>
        <v/>
      </c>
      <c r="O122">
        <f>IF(Wizards!$A$13="","",IF(OR(ISNUMBER(SEARCH(", "&amp;$B122&amp;", ", ", "&amp;INDEX('Form Responses'!$I$1:$Q$200,13,$A122)&amp;", ")),ISNUMBER(SEARCH(", "&amp;$B122&amp;", ", ", "&amp;INDEX('Form Responses'!$R$1:$R$200,13)&amp;", "))),1,""))</f>
        <v/>
      </c>
      <c r="P122">
        <f>IF(Wizards!$A$14="","",IF(OR(ISNUMBER(SEARCH(", "&amp;$B122&amp;", ", ", "&amp;INDEX('Form Responses'!$I$1:$Q$200,14,$A122)&amp;", ")),ISNUMBER(SEARCH(", "&amp;$B122&amp;", ", ", "&amp;INDEX('Form Responses'!$R$1:$R$200,14)&amp;", "))),1,""))</f>
        <v/>
      </c>
      <c r="Q122">
        <f>IF(Wizards!$A$15="","",IF(OR(ISNUMBER(SEARCH(", "&amp;$B122&amp;", ", ", "&amp;INDEX('Form Responses'!$I$1:$Q$200,15,$A122)&amp;", ")),ISNUMBER(SEARCH(", "&amp;$B122&amp;", ", ", "&amp;INDEX('Form Responses'!$R$1:$R$200,15)&amp;", "))),1,""))</f>
        <v/>
      </c>
      <c r="R122">
        <f>IF(Wizards!$A$16="","",IF(OR(ISNUMBER(SEARCH(", "&amp;$B122&amp;", ", ", "&amp;INDEX('Form Responses'!$I$1:$Q$200,16,$A122)&amp;", ")),ISNUMBER(SEARCH(", "&amp;$B122&amp;", ", ", "&amp;INDEX('Form Responses'!$R$1:$R$200,16)&amp;", "))),1,""))</f>
        <v/>
      </c>
      <c r="S122">
        <f>IF(Wizards!$A$17="","",IF(OR(ISNUMBER(SEARCH(", "&amp;$B122&amp;", ", ", "&amp;INDEX('Form Responses'!$I$1:$Q$200,17,$A122)&amp;", ")),ISNUMBER(SEARCH(", "&amp;$B122&amp;", ", ", "&amp;INDEX('Form Responses'!$R$1:$R$200,17)&amp;", "))),1,""))</f>
        <v/>
      </c>
      <c r="T122">
        <f>IF(Wizards!$A$18="","",IF(OR(ISNUMBER(SEARCH(", "&amp;$B122&amp;", ", ", "&amp;INDEX('Form Responses'!$I$1:$Q$200,18,$A122)&amp;", ")),ISNUMBER(SEARCH(", "&amp;$B122&amp;", ", ", "&amp;INDEX('Form Responses'!$R$1:$R$200,18)&amp;", "))),1,""))</f>
        <v/>
      </c>
      <c r="U122">
        <f>IF(Wizards!$A$19="","",IF(OR(ISNUMBER(SEARCH(", "&amp;$B122&amp;", ", ", "&amp;INDEX('Form Responses'!$I$1:$Q$200,19,$A122)&amp;", ")),ISNUMBER(SEARCH(", "&amp;$B122&amp;", ", ", "&amp;INDEX('Form Responses'!$R$1:$R$200,19)&amp;", "))),1,""))</f>
        <v/>
      </c>
      <c r="V122">
        <f>IF(Wizards!$A$20="","",IF(OR(ISNUMBER(SEARCH(", "&amp;$B122&amp;", ", ", "&amp;INDEX('Form Responses'!$I$1:$Q$200,20,$A122)&amp;", ")),ISNUMBER(SEARCH(", "&amp;$B122&amp;", ", ", "&amp;INDEX('Form Responses'!$R$1:$R$200,20)&amp;", "))),1,""))</f>
        <v/>
      </c>
      <c r="W122">
        <f>IF(Wizards!$A$21="","",IF(OR(ISNUMBER(SEARCH(", "&amp;$B122&amp;", ", ", "&amp;INDEX('Form Responses'!$I$1:$Q$200,21,$A122)&amp;", ")),ISNUMBER(SEARCH(", "&amp;$B122&amp;", ", ", "&amp;INDEX('Form Responses'!$R$1:$R$200,21)&amp;", "))),1,""))</f>
        <v/>
      </c>
      <c r="X122">
        <f>IF(Wizards!$A$22="","",IF(OR(ISNUMBER(SEARCH(", "&amp;$B122&amp;", ", ", "&amp;INDEX('Form Responses'!$I$1:$Q$200,22,$A122)&amp;", ")),ISNUMBER(SEARCH(", "&amp;$B122&amp;", ", ", "&amp;INDEX('Form Responses'!$R$1:$R$200,22)&amp;", "))),1,""))</f>
        <v/>
      </c>
      <c r="Y122">
        <f>IF(Wizards!$A$23="","",IF(OR(ISNUMBER(SEARCH(", "&amp;$B122&amp;", ", ", "&amp;INDEX('Form Responses'!$I$1:$Q$200,23,$A122)&amp;", ")),ISNUMBER(SEARCH(", "&amp;$B122&amp;", ", ", "&amp;INDEX('Form Responses'!$R$1:$R$200,23)&amp;", "))),1,""))</f>
        <v/>
      </c>
      <c r="Z122">
        <f>IF(Wizards!$A$24="","",IF(OR(ISNUMBER(SEARCH(", "&amp;$B122&amp;", ", ", "&amp;INDEX('Form Responses'!$I$1:$Q$200,24,$A122)&amp;", ")),ISNUMBER(SEARCH(", "&amp;$B122&amp;", ", ", "&amp;INDEX('Form Responses'!$R$1:$R$200,24)&amp;", "))),1,""))</f>
        <v/>
      </c>
      <c r="AA122">
        <f>IF(Wizards!$A$25="","",IF(OR(ISNUMBER(SEARCH(", "&amp;$B122&amp;", ", ", "&amp;INDEX('Form Responses'!$I$1:$Q$200,25,$A122)&amp;", ")),ISNUMBER(SEARCH(", "&amp;$B122&amp;", ", ", "&amp;INDEX('Form Responses'!$R$1:$R$200,25)&amp;", "))),1,""))</f>
        <v/>
      </c>
      <c r="AB122">
        <f>IF(D122=1,", "&amp;D$1,"")</f>
        <v/>
      </c>
      <c r="AC122">
        <f>IF(E122=1,", "&amp;E$1,"")</f>
        <v/>
      </c>
      <c r="AD122">
        <f>IF(F122=1,", "&amp;F$1,"")</f>
        <v/>
      </c>
      <c r="AE122">
        <f>IF(G122=1,", "&amp;G$1,"")</f>
        <v/>
      </c>
      <c r="AF122">
        <f>IF(H122=1,", "&amp;H$1,"")</f>
        <v/>
      </c>
      <c r="AG122">
        <f>IF(I122=1,", "&amp;I$1,"")</f>
        <v/>
      </c>
      <c r="AH122">
        <f>IF(J122=1,", "&amp;J$1,"")</f>
        <v/>
      </c>
      <c r="AI122">
        <f>IF(K122=1,", "&amp;K$1,"")</f>
        <v/>
      </c>
      <c r="AJ122">
        <f>IF(L122=1,", "&amp;L$1,"")</f>
        <v/>
      </c>
      <c r="AK122">
        <f>IF(M122=1,", "&amp;M$1,"")</f>
        <v/>
      </c>
      <c r="AL122">
        <f>IF(N122=1,", "&amp;N$1,"")</f>
        <v/>
      </c>
      <c r="AM122">
        <f>IF(O122=1,", "&amp;O$1,"")</f>
        <v/>
      </c>
      <c r="AN122">
        <f>IF(P122=1,", "&amp;P$1,"")</f>
        <v/>
      </c>
      <c r="AO122">
        <f>IF(Q122=1,", "&amp;Q$1,"")</f>
        <v/>
      </c>
      <c r="AP122">
        <f>IF(R122=1,", "&amp;R$1,"")</f>
        <v/>
      </c>
      <c r="AQ122">
        <f>IF(S122=1,", "&amp;S$1,"")</f>
        <v/>
      </c>
      <c r="AR122">
        <f>IF(T122=1,", "&amp;T$1,"")</f>
        <v/>
      </c>
      <c r="AS122">
        <f>IF(U122=1,", "&amp;U$1,"")</f>
        <v/>
      </c>
      <c r="AT122">
        <f>IF(V122=1,", "&amp;V$1,"")</f>
        <v/>
      </c>
      <c r="AU122">
        <f>IF(W122=1,", "&amp;W$1,"")</f>
        <v/>
      </c>
      <c r="AV122">
        <f>IF(X122=1,", "&amp;X$1,"")</f>
        <v/>
      </c>
      <c r="AW122">
        <f>IF(Y122=1,", "&amp;Y$1,"")</f>
        <v/>
      </c>
      <c r="AX122">
        <f>IF(Z122=1,", "&amp;Z$1,"")</f>
        <v/>
      </c>
      <c r="AY122">
        <f>IF(AA122=1,", "&amp;AA$1,"")</f>
        <v/>
      </c>
      <c r="AZ122">
        <f>MID($AB122&amp;$AC122&amp;$AD122&amp;$AE122&amp;$AF122&amp;$AG122&amp;$AH122&amp;$AI122&amp;$AJ122&amp;$AK122&amp;$AL122&amp;$AM122&amp;$AN122&amp;$AO122&amp;$AP122&amp;$AQ122&amp;$AR122&amp;$AS122&amp;$AT122&amp;$AU122&amp;$AV122&amp;$AW122&amp;$AX122&amp;$AY122,3,32767)</f>
        <v/>
      </c>
      <c r="BA122">
        <f>COUNT($D122:$AA122)</f>
        <v/>
      </c>
    </row>
    <row r="123">
      <c r="A123" t="n">
        <v>3</v>
      </c>
      <c r="B123" t="inlineStr">
        <is>
          <t>Galder's Tower</t>
        </is>
      </c>
      <c r="C123" t="inlineStr">
        <is>
          <t>Conjuration</t>
        </is>
      </c>
      <c r="D123">
        <f>IF(Wizards!$A$2="","",IF(OR(ISNUMBER(SEARCH(", "&amp;$B123&amp;", ", ", "&amp;INDEX('Form Responses'!$I$1:$Q$200,2,$A123)&amp;", ")),ISNUMBER(SEARCH(", "&amp;$B123&amp;", ", ", "&amp;INDEX('Form Responses'!$R$1:$R$200,2)&amp;", "))),1,""))</f>
        <v/>
      </c>
      <c r="E123">
        <f>IF(Wizards!$A$3="","",IF(OR(ISNUMBER(SEARCH(", "&amp;$B123&amp;", ", ", "&amp;INDEX('Form Responses'!$I$1:$Q$200,3,$A123)&amp;", ")),ISNUMBER(SEARCH(", "&amp;$B123&amp;", ", ", "&amp;INDEX('Form Responses'!$R$1:$R$200,3)&amp;", "))),1,""))</f>
        <v/>
      </c>
      <c r="F123">
        <f>IF(Wizards!$A$4="","",IF(OR(ISNUMBER(SEARCH(", "&amp;$B123&amp;", ", ", "&amp;INDEX('Form Responses'!$I$1:$Q$200,4,$A123)&amp;", ")),ISNUMBER(SEARCH(", "&amp;$B123&amp;", ", ", "&amp;INDEX('Form Responses'!$R$1:$R$200,4)&amp;", "))),1,""))</f>
        <v/>
      </c>
      <c r="G123">
        <f>IF(Wizards!$A$5="","",IF(OR(ISNUMBER(SEARCH(", "&amp;$B123&amp;", ", ", "&amp;INDEX('Form Responses'!$I$1:$Q$200,5,$A123)&amp;", ")),ISNUMBER(SEARCH(", "&amp;$B123&amp;", ", ", "&amp;INDEX('Form Responses'!$R$1:$R$200,5)&amp;", "))),1,""))</f>
        <v/>
      </c>
      <c r="H123">
        <f>IF(Wizards!$A$6="","",IF(OR(ISNUMBER(SEARCH(", "&amp;$B123&amp;", ", ", "&amp;INDEX('Form Responses'!$I$1:$Q$200,6,$A123)&amp;", ")),ISNUMBER(SEARCH(", "&amp;$B123&amp;", ", ", "&amp;INDEX('Form Responses'!$R$1:$R$200,6)&amp;", "))),1,""))</f>
        <v/>
      </c>
      <c r="I123">
        <f>IF(Wizards!$A$7="","",IF(OR(ISNUMBER(SEARCH(", "&amp;$B123&amp;", ", ", "&amp;INDEX('Form Responses'!$I$1:$Q$200,7,$A123)&amp;", ")),ISNUMBER(SEARCH(", "&amp;$B123&amp;", ", ", "&amp;INDEX('Form Responses'!$R$1:$R$200,7)&amp;", "))),1,""))</f>
        <v/>
      </c>
      <c r="J123">
        <f>IF(Wizards!$A$8="","",IF(OR(ISNUMBER(SEARCH(", "&amp;$B123&amp;", ", ", "&amp;INDEX('Form Responses'!$I$1:$Q$200,8,$A123)&amp;", ")),ISNUMBER(SEARCH(", "&amp;$B123&amp;", ", ", "&amp;INDEX('Form Responses'!$R$1:$R$200,8)&amp;", "))),1,""))</f>
        <v/>
      </c>
      <c r="K123">
        <f>IF(Wizards!$A$9="","",IF(OR(ISNUMBER(SEARCH(", "&amp;$B123&amp;", ", ", "&amp;INDEX('Form Responses'!$I$1:$Q$200,9,$A123)&amp;", ")),ISNUMBER(SEARCH(", "&amp;$B123&amp;", ", ", "&amp;INDEX('Form Responses'!$R$1:$R$200,9)&amp;", "))),1,""))</f>
        <v/>
      </c>
      <c r="L123">
        <f>IF(Wizards!$A$10="","",IF(OR(ISNUMBER(SEARCH(", "&amp;$B123&amp;", ", ", "&amp;INDEX('Form Responses'!$I$1:$Q$200,10,$A123)&amp;", ")),ISNUMBER(SEARCH(", "&amp;$B123&amp;", ", ", "&amp;INDEX('Form Responses'!$R$1:$R$200,10)&amp;", "))),1,""))</f>
        <v/>
      </c>
      <c r="M123">
        <f>IF(Wizards!$A$11="","",IF(OR(ISNUMBER(SEARCH(", "&amp;$B123&amp;", ", ", "&amp;INDEX('Form Responses'!$I$1:$Q$200,11,$A123)&amp;", ")),ISNUMBER(SEARCH(", "&amp;$B123&amp;", ", ", "&amp;INDEX('Form Responses'!$R$1:$R$200,11)&amp;", "))),1,""))</f>
        <v/>
      </c>
      <c r="N123">
        <f>IF(Wizards!$A$12="","",IF(OR(ISNUMBER(SEARCH(", "&amp;$B123&amp;", ", ", "&amp;INDEX('Form Responses'!$I$1:$Q$200,12,$A123)&amp;", ")),ISNUMBER(SEARCH(", "&amp;$B123&amp;", ", ", "&amp;INDEX('Form Responses'!$R$1:$R$200,12)&amp;", "))),1,""))</f>
        <v/>
      </c>
      <c r="O123">
        <f>IF(Wizards!$A$13="","",IF(OR(ISNUMBER(SEARCH(", "&amp;$B123&amp;", ", ", "&amp;INDEX('Form Responses'!$I$1:$Q$200,13,$A123)&amp;", ")),ISNUMBER(SEARCH(", "&amp;$B123&amp;", ", ", "&amp;INDEX('Form Responses'!$R$1:$R$200,13)&amp;", "))),1,""))</f>
        <v/>
      </c>
      <c r="P123">
        <f>IF(Wizards!$A$14="","",IF(OR(ISNUMBER(SEARCH(", "&amp;$B123&amp;", ", ", "&amp;INDEX('Form Responses'!$I$1:$Q$200,14,$A123)&amp;", ")),ISNUMBER(SEARCH(", "&amp;$B123&amp;", ", ", "&amp;INDEX('Form Responses'!$R$1:$R$200,14)&amp;", "))),1,""))</f>
        <v/>
      </c>
      <c r="Q123">
        <f>IF(Wizards!$A$15="","",IF(OR(ISNUMBER(SEARCH(", "&amp;$B123&amp;", ", ", "&amp;INDEX('Form Responses'!$I$1:$Q$200,15,$A123)&amp;", ")),ISNUMBER(SEARCH(", "&amp;$B123&amp;", ", ", "&amp;INDEX('Form Responses'!$R$1:$R$200,15)&amp;", "))),1,""))</f>
        <v/>
      </c>
      <c r="R123">
        <f>IF(Wizards!$A$16="","",IF(OR(ISNUMBER(SEARCH(", "&amp;$B123&amp;", ", ", "&amp;INDEX('Form Responses'!$I$1:$Q$200,16,$A123)&amp;", ")),ISNUMBER(SEARCH(", "&amp;$B123&amp;", ", ", "&amp;INDEX('Form Responses'!$R$1:$R$200,16)&amp;", "))),1,""))</f>
        <v/>
      </c>
      <c r="S123">
        <f>IF(Wizards!$A$17="","",IF(OR(ISNUMBER(SEARCH(", "&amp;$B123&amp;", ", ", "&amp;INDEX('Form Responses'!$I$1:$Q$200,17,$A123)&amp;", ")),ISNUMBER(SEARCH(", "&amp;$B123&amp;", ", ", "&amp;INDEX('Form Responses'!$R$1:$R$200,17)&amp;", "))),1,""))</f>
        <v/>
      </c>
      <c r="T123">
        <f>IF(Wizards!$A$18="","",IF(OR(ISNUMBER(SEARCH(", "&amp;$B123&amp;", ", ", "&amp;INDEX('Form Responses'!$I$1:$Q$200,18,$A123)&amp;", ")),ISNUMBER(SEARCH(", "&amp;$B123&amp;", ", ", "&amp;INDEX('Form Responses'!$R$1:$R$200,18)&amp;", "))),1,""))</f>
        <v/>
      </c>
      <c r="U123">
        <f>IF(Wizards!$A$19="","",IF(OR(ISNUMBER(SEARCH(", "&amp;$B123&amp;", ", ", "&amp;INDEX('Form Responses'!$I$1:$Q$200,19,$A123)&amp;", ")),ISNUMBER(SEARCH(", "&amp;$B123&amp;", ", ", "&amp;INDEX('Form Responses'!$R$1:$R$200,19)&amp;", "))),1,""))</f>
        <v/>
      </c>
      <c r="V123">
        <f>IF(Wizards!$A$20="","",IF(OR(ISNUMBER(SEARCH(", "&amp;$B123&amp;", ", ", "&amp;INDEX('Form Responses'!$I$1:$Q$200,20,$A123)&amp;", ")),ISNUMBER(SEARCH(", "&amp;$B123&amp;", ", ", "&amp;INDEX('Form Responses'!$R$1:$R$200,20)&amp;", "))),1,""))</f>
        <v/>
      </c>
      <c r="W123">
        <f>IF(Wizards!$A$21="","",IF(OR(ISNUMBER(SEARCH(", "&amp;$B123&amp;", ", ", "&amp;INDEX('Form Responses'!$I$1:$Q$200,21,$A123)&amp;", ")),ISNUMBER(SEARCH(", "&amp;$B123&amp;", ", ", "&amp;INDEX('Form Responses'!$R$1:$R$200,21)&amp;", "))),1,""))</f>
        <v/>
      </c>
      <c r="X123">
        <f>IF(Wizards!$A$22="","",IF(OR(ISNUMBER(SEARCH(", "&amp;$B123&amp;", ", ", "&amp;INDEX('Form Responses'!$I$1:$Q$200,22,$A123)&amp;", ")),ISNUMBER(SEARCH(", "&amp;$B123&amp;", ", ", "&amp;INDEX('Form Responses'!$R$1:$R$200,22)&amp;", "))),1,""))</f>
        <v/>
      </c>
      <c r="Y123">
        <f>IF(Wizards!$A$23="","",IF(OR(ISNUMBER(SEARCH(", "&amp;$B123&amp;", ", ", "&amp;INDEX('Form Responses'!$I$1:$Q$200,23,$A123)&amp;", ")),ISNUMBER(SEARCH(", "&amp;$B123&amp;", ", ", "&amp;INDEX('Form Responses'!$R$1:$R$200,23)&amp;", "))),1,""))</f>
        <v/>
      </c>
      <c r="Z123">
        <f>IF(Wizards!$A$24="","",IF(OR(ISNUMBER(SEARCH(", "&amp;$B123&amp;", ", ", "&amp;INDEX('Form Responses'!$I$1:$Q$200,24,$A123)&amp;", ")),ISNUMBER(SEARCH(", "&amp;$B123&amp;", ", ", "&amp;INDEX('Form Responses'!$R$1:$R$200,24)&amp;", "))),1,""))</f>
        <v/>
      </c>
      <c r="AA123">
        <f>IF(Wizards!$A$25="","",IF(OR(ISNUMBER(SEARCH(", "&amp;$B123&amp;", ", ", "&amp;INDEX('Form Responses'!$I$1:$Q$200,25,$A123)&amp;", ")),ISNUMBER(SEARCH(", "&amp;$B123&amp;", ", ", "&amp;INDEX('Form Responses'!$R$1:$R$200,25)&amp;", "))),1,""))</f>
        <v/>
      </c>
      <c r="AB123">
        <f>IF(D123=1,", "&amp;D$1,"")</f>
        <v/>
      </c>
      <c r="AC123">
        <f>IF(E123=1,", "&amp;E$1,"")</f>
        <v/>
      </c>
      <c r="AD123">
        <f>IF(F123=1,", "&amp;F$1,"")</f>
        <v/>
      </c>
      <c r="AE123">
        <f>IF(G123=1,", "&amp;G$1,"")</f>
        <v/>
      </c>
      <c r="AF123">
        <f>IF(H123=1,", "&amp;H$1,"")</f>
        <v/>
      </c>
      <c r="AG123">
        <f>IF(I123=1,", "&amp;I$1,"")</f>
        <v/>
      </c>
      <c r="AH123">
        <f>IF(J123=1,", "&amp;J$1,"")</f>
        <v/>
      </c>
      <c r="AI123">
        <f>IF(K123=1,", "&amp;K$1,"")</f>
        <v/>
      </c>
      <c r="AJ123">
        <f>IF(L123=1,", "&amp;L$1,"")</f>
        <v/>
      </c>
      <c r="AK123">
        <f>IF(M123=1,", "&amp;M$1,"")</f>
        <v/>
      </c>
      <c r="AL123">
        <f>IF(N123=1,", "&amp;N$1,"")</f>
        <v/>
      </c>
      <c r="AM123">
        <f>IF(O123=1,", "&amp;O$1,"")</f>
        <v/>
      </c>
      <c r="AN123">
        <f>IF(P123=1,", "&amp;P$1,"")</f>
        <v/>
      </c>
      <c r="AO123">
        <f>IF(Q123=1,", "&amp;Q$1,"")</f>
        <v/>
      </c>
      <c r="AP123">
        <f>IF(R123=1,", "&amp;R$1,"")</f>
        <v/>
      </c>
      <c r="AQ123">
        <f>IF(S123=1,", "&amp;S$1,"")</f>
        <v/>
      </c>
      <c r="AR123">
        <f>IF(T123=1,", "&amp;T$1,"")</f>
        <v/>
      </c>
      <c r="AS123">
        <f>IF(U123=1,", "&amp;U$1,"")</f>
        <v/>
      </c>
      <c r="AT123">
        <f>IF(V123=1,", "&amp;V$1,"")</f>
        <v/>
      </c>
      <c r="AU123">
        <f>IF(W123=1,", "&amp;W$1,"")</f>
        <v/>
      </c>
      <c r="AV123">
        <f>IF(X123=1,", "&amp;X$1,"")</f>
        <v/>
      </c>
      <c r="AW123">
        <f>IF(Y123=1,", "&amp;Y$1,"")</f>
        <v/>
      </c>
      <c r="AX123">
        <f>IF(Z123=1,", "&amp;Z$1,"")</f>
        <v/>
      </c>
      <c r="AY123">
        <f>IF(AA123=1,", "&amp;AA$1,"")</f>
        <v/>
      </c>
      <c r="AZ123">
        <f>MID($AB123&amp;$AC123&amp;$AD123&amp;$AE123&amp;$AF123&amp;$AG123&amp;$AH123&amp;$AI123&amp;$AJ123&amp;$AK123&amp;$AL123&amp;$AM123&amp;$AN123&amp;$AO123&amp;$AP123&amp;$AQ123&amp;$AR123&amp;$AS123&amp;$AT123&amp;$AU123&amp;$AV123&amp;$AW123&amp;$AX123&amp;$AY123,3,32767)</f>
        <v/>
      </c>
      <c r="BA123">
        <f>COUNT($D123:$AA123)</f>
        <v/>
      </c>
    </row>
    <row r="124">
      <c r="A124" t="n">
        <v>3</v>
      </c>
      <c r="B124" t="inlineStr">
        <is>
          <t>Gaseous Form</t>
        </is>
      </c>
      <c r="C124" t="inlineStr">
        <is>
          <t>Transmutation</t>
        </is>
      </c>
      <c r="D124">
        <f>IF(Wizards!$A$2="","",IF(OR(ISNUMBER(SEARCH(", "&amp;$B124&amp;", ", ", "&amp;INDEX('Form Responses'!$I$1:$Q$200,2,$A124)&amp;", ")),ISNUMBER(SEARCH(", "&amp;$B124&amp;", ", ", "&amp;INDEX('Form Responses'!$R$1:$R$200,2)&amp;", "))),1,""))</f>
        <v/>
      </c>
      <c r="E124">
        <f>IF(Wizards!$A$3="","",IF(OR(ISNUMBER(SEARCH(", "&amp;$B124&amp;", ", ", "&amp;INDEX('Form Responses'!$I$1:$Q$200,3,$A124)&amp;", ")),ISNUMBER(SEARCH(", "&amp;$B124&amp;", ", ", "&amp;INDEX('Form Responses'!$R$1:$R$200,3)&amp;", "))),1,""))</f>
        <v/>
      </c>
      <c r="F124">
        <f>IF(Wizards!$A$4="","",IF(OR(ISNUMBER(SEARCH(", "&amp;$B124&amp;", ", ", "&amp;INDEX('Form Responses'!$I$1:$Q$200,4,$A124)&amp;", ")),ISNUMBER(SEARCH(", "&amp;$B124&amp;", ", ", "&amp;INDEX('Form Responses'!$R$1:$R$200,4)&amp;", "))),1,""))</f>
        <v/>
      </c>
      <c r="G124">
        <f>IF(Wizards!$A$5="","",IF(OR(ISNUMBER(SEARCH(", "&amp;$B124&amp;", ", ", "&amp;INDEX('Form Responses'!$I$1:$Q$200,5,$A124)&amp;", ")),ISNUMBER(SEARCH(", "&amp;$B124&amp;", ", ", "&amp;INDEX('Form Responses'!$R$1:$R$200,5)&amp;", "))),1,""))</f>
        <v/>
      </c>
      <c r="H124">
        <f>IF(Wizards!$A$6="","",IF(OR(ISNUMBER(SEARCH(", "&amp;$B124&amp;", ", ", "&amp;INDEX('Form Responses'!$I$1:$Q$200,6,$A124)&amp;", ")),ISNUMBER(SEARCH(", "&amp;$B124&amp;", ", ", "&amp;INDEX('Form Responses'!$R$1:$R$200,6)&amp;", "))),1,""))</f>
        <v/>
      </c>
      <c r="I124">
        <f>IF(Wizards!$A$7="","",IF(OR(ISNUMBER(SEARCH(", "&amp;$B124&amp;", ", ", "&amp;INDEX('Form Responses'!$I$1:$Q$200,7,$A124)&amp;", ")),ISNUMBER(SEARCH(", "&amp;$B124&amp;", ", ", "&amp;INDEX('Form Responses'!$R$1:$R$200,7)&amp;", "))),1,""))</f>
        <v/>
      </c>
      <c r="J124">
        <f>IF(Wizards!$A$8="","",IF(OR(ISNUMBER(SEARCH(", "&amp;$B124&amp;", ", ", "&amp;INDEX('Form Responses'!$I$1:$Q$200,8,$A124)&amp;", ")),ISNUMBER(SEARCH(", "&amp;$B124&amp;", ", ", "&amp;INDEX('Form Responses'!$R$1:$R$200,8)&amp;", "))),1,""))</f>
        <v/>
      </c>
      <c r="K124">
        <f>IF(Wizards!$A$9="","",IF(OR(ISNUMBER(SEARCH(", "&amp;$B124&amp;", ", ", "&amp;INDEX('Form Responses'!$I$1:$Q$200,9,$A124)&amp;", ")),ISNUMBER(SEARCH(", "&amp;$B124&amp;", ", ", "&amp;INDEX('Form Responses'!$R$1:$R$200,9)&amp;", "))),1,""))</f>
        <v/>
      </c>
      <c r="L124">
        <f>IF(Wizards!$A$10="","",IF(OR(ISNUMBER(SEARCH(", "&amp;$B124&amp;", ", ", "&amp;INDEX('Form Responses'!$I$1:$Q$200,10,$A124)&amp;", ")),ISNUMBER(SEARCH(", "&amp;$B124&amp;", ", ", "&amp;INDEX('Form Responses'!$R$1:$R$200,10)&amp;", "))),1,""))</f>
        <v/>
      </c>
      <c r="M124">
        <f>IF(Wizards!$A$11="","",IF(OR(ISNUMBER(SEARCH(", "&amp;$B124&amp;", ", ", "&amp;INDEX('Form Responses'!$I$1:$Q$200,11,$A124)&amp;", ")),ISNUMBER(SEARCH(", "&amp;$B124&amp;", ", ", "&amp;INDEX('Form Responses'!$R$1:$R$200,11)&amp;", "))),1,""))</f>
        <v/>
      </c>
      <c r="N124">
        <f>IF(Wizards!$A$12="","",IF(OR(ISNUMBER(SEARCH(", "&amp;$B124&amp;", ", ", "&amp;INDEX('Form Responses'!$I$1:$Q$200,12,$A124)&amp;", ")),ISNUMBER(SEARCH(", "&amp;$B124&amp;", ", ", "&amp;INDEX('Form Responses'!$R$1:$R$200,12)&amp;", "))),1,""))</f>
        <v/>
      </c>
      <c r="O124">
        <f>IF(Wizards!$A$13="","",IF(OR(ISNUMBER(SEARCH(", "&amp;$B124&amp;", ", ", "&amp;INDEX('Form Responses'!$I$1:$Q$200,13,$A124)&amp;", ")),ISNUMBER(SEARCH(", "&amp;$B124&amp;", ", ", "&amp;INDEX('Form Responses'!$R$1:$R$200,13)&amp;", "))),1,""))</f>
        <v/>
      </c>
      <c r="P124">
        <f>IF(Wizards!$A$14="","",IF(OR(ISNUMBER(SEARCH(", "&amp;$B124&amp;", ", ", "&amp;INDEX('Form Responses'!$I$1:$Q$200,14,$A124)&amp;", ")),ISNUMBER(SEARCH(", "&amp;$B124&amp;", ", ", "&amp;INDEX('Form Responses'!$R$1:$R$200,14)&amp;", "))),1,""))</f>
        <v/>
      </c>
      <c r="Q124">
        <f>IF(Wizards!$A$15="","",IF(OR(ISNUMBER(SEARCH(", "&amp;$B124&amp;", ", ", "&amp;INDEX('Form Responses'!$I$1:$Q$200,15,$A124)&amp;", ")),ISNUMBER(SEARCH(", "&amp;$B124&amp;", ", ", "&amp;INDEX('Form Responses'!$R$1:$R$200,15)&amp;", "))),1,""))</f>
        <v/>
      </c>
      <c r="R124">
        <f>IF(Wizards!$A$16="","",IF(OR(ISNUMBER(SEARCH(", "&amp;$B124&amp;", ", ", "&amp;INDEX('Form Responses'!$I$1:$Q$200,16,$A124)&amp;", ")),ISNUMBER(SEARCH(", "&amp;$B124&amp;", ", ", "&amp;INDEX('Form Responses'!$R$1:$R$200,16)&amp;", "))),1,""))</f>
        <v/>
      </c>
      <c r="S124">
        <f>IF(Wizards!$A$17="","",IF(OR(ISNUMBER(SEARCH(", "&amp;$B124&amp;", ", ", "&amp;INDEX('Form Responses'!$I$1:$Q$200,17,$A124)&amp;", ")),ISNUMBER(SEARCH(", "&amp;$B124&amp;", ", ", "&amp;INDEX('Form Responses'!$R$1:$R$200,17)&amp;", "))),1,""))</f>
        <v/>
      </c>
      <c r="T124">
        <f>IF(Wizards!$A$18="","",IF(OR(ISNUMBER(SEARCH(", "&amp;$B124&amp;", ", ", "&amp;INDEX('Form Responses'!$I$1:$Q$200,18,$A124)&amp;", ")),ISNUMBER(SEARCH(", "&amp;$B124&amp;", ", ", "&amp;INDEX('Form Responses'!$R$1:$R$200,18)&amp;", "))),1,""))</f>
        <v/>
      </c>
      <c r="U124">
        <f>IF(Wizards!$A$19="","",IF(OR(ISNUMBER(SEARCH(", "&amp;$B124&amp;", ", ", "&amp;INDEX('Form Responses'!$I$1:$Q$200,19,$A124)&amp;", ")),ISNUMBER(SEARCH(", "&amp;$B124&amp;", ", ", "&amp;INDEX('Form Responses'!$R$1:$R$200,19)&amp;", "))),1,""))</f>
        <v/>
      </c>
      <c r="V124">
        <f>IF(Wizards!$A$20="","",IF(OR(ISNUMBER(SEARCH(", "&amp;$B124&amp;", ", ", "&amp;INDEX('Form Responses'!$I$1:$Q$200,20,$A124)&amp;", ")),ISNUMBER(SEARCH(", "&amp;$B124&amp;", ", ", "&amp;INDEX('Form Responses'!$R$1:$R$200,20)&amp;", "))),1,""))</f>
        <v/>
      </c>
      <c r="W124">
        <f>IF(Wizards!$A$21="","",IF(OR(ISNUMBER(SEARCH(", "&amp;$B124&amp;", ", ", "&amp;INDEX('Form Responses'!$I$1:$Q$200,21,$A124)&amp;", ")),ISNUMBER(SEARCH(", "&amp;$B124&amp;", ", ", "&amp;INDEX('Form Responses'!$R$1:$R$200,21)&amp;", "))),1,""))</f>
        <v/>
      </c>
      <c r="X124">
        <f>IF(Wizards!$A$22="","",IF(OR(ISNUMBER(SEARCH(", "&amp;$B124&amp;", ", ", "&amp;INDEX('Form Responses'!$I$1:$Q$200,22,$A124)&amp;", ")),ISNUMBER(SEARCH(", "&amp;$B124&amp;", ", ", "&amp;INDEX('Form Responses'!$R$1:$R$200,22)&amp;", "))),1,""))</f>
        <v/>
      </c>
      <c r="Y124">
        <f>IF(Wizards!$A$23="","",IF(OR(ISNUMBER(SEARCH(", "&amp;$B124&amp;", ", ", "&amp;INDEX('Form Responses'!$I$1:$Q$200,23,$A124)&amp;", ")),ISNUMBER(SEARCH(", "&amp;$B124&amp;", ", ", "&amp;INDEX('Form Responses'!$R$1:$R$200,23)&amp;", "))),1,""))</f>
        <v/>
      </c>
      <c r="Z124">
        <f>IF(Wizards!$A$24="","",IF(OR(ISNUMBER(SEARCH(", "&amp;$B124&amp;", ", ", "&amp;INDEX('Form Responses'!$I$1:$Q$200,24,$A124)&amp;", ")),ISNUMBER(SEARCH(", "&amp;$B124&amp;", ", ", "&amp;INDEX('Form Responses'!$R$1:$R$200,24)&amp;", "))),1,""))</f>
        <v/>
      </c>
      <c r="AA124">
        <f>IF(Wizards!$A$25="","",IF(OR(ISNUMBER(SEARCH(", "&amp;$B124&amp;", ", ", "&amp;INDEX('Form Responses'!$I$1:$Q$200,25,$A124)&amp;", ")),ISNUMBER(SEARCH(", "&amp;$B124&amp;", ", ", "&amp;INDEX('Form Responses'!$R$1:$R$200,25)&amp;", "))),1,""))</f>
        <v/>
      </c>
      <c r="AB124">
        <f>IF(D124=1,", "&amp;D$1,"")</f>
        <v/>
      </c>
      <c r="AC124">
        <f>IF(E124=1,", "&amp;E$1,"")</f>
        <v/>
      </c>
      <c r="AD124">
        <f>IF(F124=1,", "&amp;F$1,"")</f>
        <v/>
      </c>
      <c r="AE124">
        <f>IF(G124=1,", "&amp;G$1,"")</f>
        <v/>
      </c>
      <c r="AF124">
        <f>IF(H124=1,", "&amp;H$1,"")</f>
        <v/>
      </c>
      <c r="AG124">
        <f>IF(I124=1,", "&amp;I$1,"")</f>
        <v/>
      </c>
      <c r="AH124">
        <f>IF(J124=1,", "&amp;J$1,"")</f>
        <v/>
      </c>
      <c r="AI124">
        <f>IF(K124=1,", "&amp;K$1,"")</f>
        <v/>
      </c>
      <c r="AJ124">
        <f>IF(L124=1,", "&amp;L$1,"")</f>
        <v/>
      </c>
      <c r="AK124">
        <f>IF(M124=1,", "&amp;M$1,"")</f>
        <v/>
      </c>
      <c r="AL124">
        <f>IF(N124=1,", "&amp;N$1,"")</f>
        <v/>
      </c>
      <c r="AM124">
        <f>IF(O124=1,", "&amp;O$1,"")</f>
        <v/>
      </c>
      <c r="AN124">
        <f>IF(P124=1,", "&amp;P$1,"")</f>
        <v/>
      </c>
      <c r="AO124">
        <f>IF(Q124=1,", "&amp;Q$1,"")</f>
        <v/>
      </c>
      <c r="AP124">
        <f>IF(R124=1,", "&amp;R$1,"")</f>
        <v/>
      </c>
      <c r="AQ124">
        <f>IF(S124=1,", "&amp;S$1,"")</f>
        <v/>
      </c>
      <c r="AR124">
        <f>IF(T124=1,", "&amp;T$1,"")</f>
        <v/>
      </c>
      <c r="AS124">
        <f>IF(U124=1,", "&amp;U$1,"")</f>
        <v/>
      </c>
      <c r="AT124">
        <f>IF(V124=1,", "&amp;V$1,"")</f>
        <v/>
      </c>
      <c r="AU124">
        <f>IF(W124=1,", "&amp;W$1,"")</f>
        <v/>
      </c>
      <c r="AV124">
        <f>IF(X124=1,", "&amp;X$1,"")</f>
        <v/>
      </c>
      <c r="AW124">
        <f>IF(Y124=1,", "&amp;Y$1,"")</f>
        <v/>
      </c>
      <c r="AX124">
        <f>IF(Z124=1,", "&amp;Z$1,"")</f>
        <v/>
      </c>
      <c r="AY124">
        <f>IF(AA124=1,", "&amp;AA$1,"")</f>
        <v/>
      </c>
      <c r="AZ124">
        <f>MID($AB124&amp;$AC124&amp;$AD124&amp;$AE124&amp;$AF124&amp;$AG124&amp;$AH124&amp;$AI124&amp;$AJ124&amp;$AK124&amp;$AL124&amp;$AM124&amp;$AN124&amp;$AO124&amp;$AP124&amp;$AQ124&amp;$AR124&amp;$AS124&amp;$AT124&amp;$AU124&amp;$AV124&amp;$AW124&amp;$AX124&amp;$AY124,3,32767)</f>
        <v/>
      </c>
      <c r="BA124">
        <f>COUNT($D124:$AA124)</f>
        <v/>
      </c>
    </row>
    <row r="125">
      <c r="A125" t="n">
        <v>3</v>
      </c>
      <c r="B125" t="inlineStr">
        <is>
          <t>Glyph of Warding</t>
        </is>
      </c>
      <c r="C125" t="inlineStr">
        <is>
          <t>Abjuration</t>
        </is>
      </c>
      <c r="D125">
        <f>IF(Wizards!$A$2="","",IF(OR(ISNUMBER(SEARCH(", "&amp;$B125&amp;", ", ", "&amp;INDEX('Form Responses'!$I$1:$Q$200,2,$A125)&amp;", ")),ISNUMBER(SEARCH(", "&amp;$B125&amp;", ", ", "&amp;INDEX('Form Responses'!$R$1:$R$200,2)&amp;", "))),1,""))</f>
        <v/>
      </c>
      <c r="E125">
        <f>IF(Wizards!$A$3="","",IF(OR(ISNUMBER(SEARCH(", "&amp;$B125&amp;", ", ", "&amp;INDEX('Form Responses'!$I$1:$Q$200,3,$A125)&amp;", ")),ISNUMBER(SEARCH(", "&amp;$B125&amp;", ", ", "&amp;INDEX('Form Responses'!$R$1:$R$200,3)&amp;", "))),1,""))</f>
        <v/>
      </c>
      <c r="F125">
        <f>IF(Wizards!$A$4="","",IF(OR(ISNUMBER(SEARCH(", "&amp;$B125&amp;", ", ", "&amp;INDEX('Form Responses'!$I$1:$Q$200,4,$A125)&amp;", ")),ISNUMBER(SEARCH(", "&amp;$B125&amp;", ", ", "&amp;INDEX('Form Responses'!$R$1:$R$200,4)&amp;", "))),1,""))</f>
        <v/>
      </c>
      <c r="G125">
        <f>IF(Wizards!$A$5="","",IF(OR(ISNUMBER(SEARCH(", "&amp;$B125&amp;", ", ", "&amp;INDEX('Form Responses'!$I$1:$Q$200,5,$A125)&amp;", ")),ISNUMBER(SEARCH(", "&amp;$B125&amp;", ", ", "&amp;INDEX('Form Responses'!$R$1:$R$200,5)&amp;", "))),1,""))</f>
        <v/>
      </c>
      <c r="H125">
        <f>IF(Wizards!$A$6="","",IF(OR(ISNUMBER(SEARCH(", "&amp;$B125&amp;", ", ", "&amp;INDEX('Form Responses'!$I$1:$Q$200,6,$A125)&amp;", ")),ISNUMBER(SEARCH(", "&amp;$B125&amp;", ", ", "&amp;INDEX('Form Responses'!$R$1:$R$200,6)&amp;", "))),1,""))</f>
        <v/>
      </c>
      <c r="I125">
        <f>IF(Wizards!$A$7="","",IF(OR(ISNUMBER(SEARCH(", "&amp;$B125&amp;", ", ", "&amp;INDEX('Form Responses'!$I$1:$Q$200,7,$A125)&amp;", ")),ISNUMBER(SEARCH(", "&amp;$B125&amp;", ", ", "&amp;INDEX('Form Responses'!$R$1:$R$200,7)&amp;", "))),1,""))</f>
        <v/>
      </c>
      <c r="J125">
        <f>IF(Wizards!$A$8="","",IF(OR(ISNUMBER(SEARCH(", "&amp;$B125&amp;", ", ", "&amp;INDEX('Form Responses'!$I$1:$Q$200,8,$A125)&amp;", ")),ISNUMBER(SEARCH(", "&amp;$B125&amp;", ", ", "&amp;INDEX('Form Responses'!$R$1:$R$200,8)&amp;", "))),1,""))</f>
        <v/>
      </c>
      <c r="K125">
        <f>IF(Wizards!$A$9="","",IF(OR(ISNUMBER(SEARCH(", "&amp;$B125&amp;", ", ", "&amp;INDEX('Form Responses'!$I$1:$Q$200,9,$A125)&amp;", ")),ISNUMBER(SEARCH(", "&amp;$B125&amp;", ", ", "&amp;INDEX('Form Responses'!$R$1:$R$200,9)&amp;", "))),1,""))</f>
        <v/>
      </c>
      <c r="L125">
        <f>IF(Wizards!$A$10="","",IF(OR(ISNUMBER(SEARCH(", "&amp;$B125&amp;", ", ", "&amp;INDEX('Form Responses'!$I$1:$Q$200,10,$A125)&amp;", ")),ISNUMBER(SEARCH(", "&amp;$B125&amp;", ", ", "&amp;INDEX('Form Responses'!$R$1:$R$200,10)&amp;", "))),1,""))</f>
        <v/>
      </c>
      <c r="M125">
        <f>IF(Wizards!$A$11="","",IF(OR(ISNUMBER(SEARCH(", "&amp;$B125&amp;", ", ", "&amp;INDEX('Form Responses'!$I$1:$Q$200,11,$A125)&amp;", ")),ISNUMBER(SEARCH(", "&amp;$B125&amp;", ", ", "&amp;INDEX('Form Responses'!$R$1:$R$200,11)&amp;", "))),1,""))</f>
        <v/>
      </c>
      <c r="N125">
        <f>IF(Wizards!$A$12="","",IF(OR(ISNUMBER(SEARCH(", "&amp;$B125&amp;", ", ", "&amp;INDEX('Form Responses'!$I$1:$Q$200,12,$A125)&amp;", ")),ISNUMBER(SEARCH(", "&amp;$B125&amp;", ", ", "&amp;INDEX('Form Responses'!$R$1:$R$200,12)&amp;", "))),1,""))</f>
        <v/>
      </c>
      <c r="O125">
        <f>IF(Wizards!$A$13="","",IF(OR(ISNUMBER(SEARCH(", "&amp;$B125&amp;", ", ", "&amp;INDEX('Form Responses'!$I$1:$Q$200,13,$A125)&amp;", ")),ISNUMBER(SEARCH(", "&amp;$B125&amp;", ", ", "&amp;INDEX('Form Responses'!$R$1:$R$200,13)&amp;", "))),1,""))</f>
        <v/>
      </c>
      <c r="P125">
        <f>IF(Wizards!$A$14="","",IF(OR(ISNUMBER(SEARCH(", "&amp;$B125&amp;", ", ", "&amp;INDEX('Form Responses'!$I$1:$Q$200,14,$A125)&amp;", ")),ISNUMBER(SEARCH(", "&amp;$B125&amp;", ", ", "&amp;INDEX('Form Responses'!$R$1:$R$200,14)&amp;", "))),1,""))</f>
        <v/>
      </c>
      <c r="Q125">
        <f>IF(Wizards!$A$15="","",IF(OR(ISNUMBER(SEARCH(", "&amp;$B125&amp;", ", ", "&amp;INDEX('Form Responses'!$I$1:$Q$200,15,$A125)&amp;", ")),ISNUMBER(SEARCH(", "&amp;$B125&amp;", ", ", "&amp;INDEX('Form Responses'!$R$1:$R$200,15)&amp;", "))),1,""))</f>
        <v/>
      </c>
      <c r="R125">
        <f>IF(Wizards!$A$16="","",IF(OR(ISNUMBER(SEARCH(", "&amp;$B125&amp;", ", ", "&amp;INDEX('Form Responses'!$I$1:$Q$200,16,$A125)&amp;", ")),ISNUMBER(SEARCH(", "&amp;$B125&amp;", ", ", "&amp;INDEX('Form Responses'!$R$1:$R$200,16)&amp;", "))),1,""))</f>
        <v/>
      </c>
      <c r="S125">
        <f>IF(Wizards!$A$17="","",IF(OR(ISNUMBER(SEARCH(", "&amp;$B125&amp;", ", ", "&amp;INDEX('Form Responses'!$I$1:$Q$200,17,$A125)&amp;", ")),ISNUMBER(SEARCH(", "&amp;$B125&amp;", ", ", "&amp;INDEX('Form Responses'!$R$1:$R$200,17)&amp;", "))),1,""))</f>
        <v/>
      </c>
      <c r="T125">
        <f>IF(Wizards!$A$18="","",IF(OR(ISNUMBER(SEARCH(", "&amp;$B125&amp;", ", ", "&amp;INDEX('Form Responses'!$I$1:$Q$200,18,$A125)&amp;", ")),ISNUMBER(SEARCH(", "&amp;$B125&amp;", ", ", "&amp;INDEX('Form Responses'!$R$1:$R$200,18)&amp;", "))),1,""))</f>
        <v/>
      </c>
      <c r="U125">
        <f>IF(Wizards!$A$19="","",IF(OR(ISNUMBER(SEARCH(", "&amp;$B125&amp;", ", ", "&amp;INDEX('Form Responses'!$I$1:$Q$200,19,$A125)&amp;", ")),ISNUMBER(SEARCH(", "&amp;$B125&amp;", ", ", "&amp;INDEX('Form Responses'!$R$1:$R$200,19)&amp;", "))),1,""))</f>
        <v/>
      </c>
      <c r="V125">
        <f>IF(Wizards!$A$20="","",IF(OR(ISNUMBER(SEARCH(", "&amp;$B125&amp;", ", ", "&amp;INDEX('Form Responses'!$I$1:$Q$200,20,$A125)&amp;", ")),ISNUMBER(SEARCH(", "&amp;$B125&amp;", ", ", "&amp;INDEX('Form Responses'!$R$1:$R$200,20)&amp;", "))),1,""))</f>
        <v/>
      </c>
      <c r="W125">
        <f>IF(Wizards!$A$21="","",IF(OR(ISNUMBER(SEARCH(", "&amp;$B125&amp;", ", ", "&amp;INDEX('Form Responses'!$I$1:$Q$200,21,$A125)&amp;", ")),ISNUMBER(SEARCH(", "&amp;$B125&amp;", ", ", "&amp;INDEX('Form Responses'!$R$1:$R$200,21)&amp;", "))),1,""))</f>
        <v/>
      </c>
      <c r="X125">
        <f>IF(Wizards!$A$22="","",IF(OR(ISNUMBER(SEARCH(", "&amp;$B125&amp;", ", ", "&amp;INDEX('Form Responses'!$I$1:$Q$200,22,$A125)&amp;", ")),ISNUMBER(SEARCH(", "&amp;$B125&amp;", ", ", "&amp;INDEX('Form Responses'!$R$1:$R$200,22)&amp;", "))),1,""))</f>
        <v/>
      </c>
      <c r="Y125">
        <f>IF(Wizards!$A$23="","",IF(OR(ISNUMBER(SEARCH(", "&amp;$B125&amp;", ", ", "&amp;INDEX('Form Responses'!$I$1:$Q$200,23,$A125)&amp;", ")),ISNUMBER(SEARCH(", "&amp;$B125&amp;", ", ", "&amp;INDEX('Form Responses'!$R$1:$R$200,23)&amp;", "))),1,""))</f>
        <v/>
      </c>
      <c r="Z125">
        <f>IF(Wizards!$A$24="","",IF(OR(ISNUMBER(SEARCH(", "&amp;$B125&amp;", ", ", "&amp;INDEX('Form Responses'!$I$1:$Q$200,24,$A125)&amp;", ")),ISNUMBER(SEARCH(", "&amp;$B125&amp;", ", ", "&amp;INDEX('Form Responses'!$R$1:$R$200,24)&amp;", "))),1,""))</f>
        <v/>
      </c>
      <c r="AA125">
        <f>IF(Wizards!$A$25="","",IF(OR(ISNUMBER(SEARCH(", "&amp;$B125&amp;", ", ", "&amp;INDEX('Form Responses'!$I$1:$Q$200,25,$A125)&amp;", ")),ISNUMBER(SEARCH(", "&amp;$B125&amp;", ", ", "&amp;INDEX('Form Responses'!$R$1:$R$200,25)&amp;", "))),1,""))</f>
        <v/>
      </c>
      <c r="AB125">
        <f>IF(D125=1,", "&amp;D$1,"")</f>
        <v/>
      </c>
      <c r="AC125">
        <f>IF(E125=1,", "&amp;E$1,"")</f>
        <v/>
      </c>
      <c r="AD125">
        <f>IF(F125=1,", "&amp;F$1,"")</f>
        <v/>
      </c>
      <c r="AE125">
        <f>IF(G125=1,", "&amp;G$1,"")</f>
        <v/>
      </c>
      <c r="AF125">
        <f>IF(H125=1,", "&amp;H$1,"")</f>
        <v/>
      </c>
      <c r="AG125">
        <f>IF(I125=1,", "&amp;I$1,"")</f>
        <v/>
      </c>
      <c r="AH125">
        <f>IF(J125=1,", "&amp;J$1,"")</f>
        <v/>
      </c>
      <c r="AI125">
        <f>IF(K125=1,", "&amp;K$1,"")</f>
        <v/>
      </c>
      <c r="AJ125">
        <f>IF(L125=1,", "&amp;L$1,"")</f>
        <v/>
      </c>
      <c r="AK125">
        <f>IF(M125=1,", "&amp;M$1,"")</f>
        <v/>
      </c>
      <c r="AL125">
        <f>IF(N125=1,", "&amp;N$1,"")</f>
        <v/>
      </c>
      <c r="AM125">
        <f>IF(O125=1,", "&amp;O$1,"")</f>
        <v/>
      </c>
      <c r="AN125">
        <f>IF(P125=1,", "&amp;P$1,"")</f>
        <v/>
      </c>
      <c r="AO125">
        <f>IF(Q125=1,", "&amp;Q$1,"")</f>
        <v/>
      </c>
      <c r="AP125">
        <f>IF(R125=1,", "&amp;R$1,"")</f>
        <v/>
      </c>
      <c r="AQ125">
        <f>IF(S125=1,", "&amp;S$1,"")</f>
        <v/>
      </c>
      <c r="AR125">
        <f>IF(T125=1,", "&amp;T$1,"")</f>
        <v/>
      </c>
      <c r="AS125">
        <f>IF(U125=1,", "&amp;U$1,"")</f>
        <v/>
      </c>
      <c r="AT125">
        <f>IF(V125=1,", "&amp;V$1,"")</f>
        <v/>
      </c>
      <c r="AU125">
        <f>IF(W125=1,", "&amp;W$1,"")</f>
        <v/>
      </c>
      <c r="AV125">
        <f>IF(X125=1,", "&amp;X$1,"")</f>
        <v/>
      </c>
      <c r="AW125">
        <f>IF(Y125=1,", "&amp;Y$1,"")</f>
        <v/>
      </c>
      <c r="AX125">
        <f>IF(Z125=1,", "&amp;Z$1,"")</f>
        <v/>
      </c>
      <c r="AY125">
        <f>IF(AA125=1,", "&amp;AA$1,"")</f>
        <v/>
      </c>
      <c r="AZ125">
        <f>MID($AB125&amp;$AC125&amp;$AD125&amp;$AE125&amp;$AF125&amp;$AG125&amp;$AH125&amp;$AI125&amp;$AJ125&amp;$AK125&amp;$AL125&amp;$AM125&amp;$AN125&amp;$AO125&amp;$AP125&amp;$AQ125&amp;$AR125&amp;$AS125&amp;$AT125&amp;$AU125&amp;$AV125&amp;$AW125&amp;$AX125&amp;$AY125,3,32767)</f>
        <v/>
      </c>
      <c r="BA125">
        <f>COUNT($D125:$AA125)</f>
        <v/>
      </c>
    </row>
    <row r="126">
      <c r="A126" t="n">
        <v>3</v>
      </c>
      <c r="B126" t="inlineStr">
        <is>
          <t>Haste</t>
        </is>
      </c>
      <c r="C126" t="inlineStr">
        <is>
          <t>Transmutation</t>
        </is>
      </c>
      <c r="D126">
        <f>IF(Wizards!$A$2="","",IF(OR(ISNUMBER(SEARCH(", "&amp;$B126&amp;", ", ", "&amp;INDEX('Form Responses'!$I$1:$Q$200,2,$A126)&amp;", ")),ISNUMBER(SEARCH(", "&amp;$B126&amp;", ", ", "&amp;INDEX('Form Responses'!$R$1:$R$200,2)&amp;", "))),1,""))</f>
        <v/>
      </c>
      <c r="E126">
        <f>IF(Wizards!$A$3="","",IF(OR(ISNUMBER(SEARCH(", "&amp;$B126&amp;", ", ", "&amp;INDEX('Form Responses'!$I$1:$Q$200,3,$A126)&amp;", ")),ISNUMBER(SEARCH(", "&amp;$B126&amp;", ", ", "&amp;INDEX('Form Responses'!$R$1:$R$200,3)&amp;", "))),1,""))</f>
        <v/>
      </c>
      <c r="F126">
        <f>IF(Wizards!$A$4="","",IF(OR(ISNUMBER(SEARCH(", "&amp;$B126&amp;", ", ", "&amp;INDEX('Form Responses'!$I$1:$Q$200,4,$A126)&amp;", ")),ISNUMBER(SEARCH(", "&amp;$B126&amp;", ", ", "&amp;INDEX('Form Responses'!$R$1:$R$200,4)&amp;", "))),1,""))</f>
        <v/>
      </c>
      <c r="G126">
        <f>IF(Wizards!$A$5="","",IF(OR(ISNUMBER(SEARCH(", "&amp;$B126&amp;", ", ", "&amp;INDEX('Form Responses'!$I$1:$Q$200,5,$A126)&amp;", ")),ISNUMBER(SEARCH(", "&amp;$B126&amp;", ", ", "&amp;INDEX('Form Responses'!$R$1:$R$200,5)&amp;", "))),1,""))</f>
        <v/>
      </c>
      <c r="H126">
        <f>IF(Wizards!$A$6="","",IF(OR(ISNUMBER(SEARCH(", "&amp;$B126&amp;", ", ", "&amp;INDEX('Form Responses'!$I$1:$Q$200,6,$A126)&amp;", ")),ISNUMBER(SEARCH(", "&amp;$B126&amp;", ", ", "&amp;INDEX('Form Responses'!$R$1:$R$200,6)&amp;", "))),1,""))</f>
        <v/>
      </c>
      <c r="I126">
        <f>IF(Wizards!$A$7="","",IF(OR(ISNUMBER(SEARCH(", "&amp;$B126&amp;", ", ", "&amp;INDEX('Form Responses'!$I$1:$Q$200,7,$A126)&amp;", ")),ISNUMBER(SEARCH(", "&amp;$B126&amp;", ", ", "&amp;INDEX('Form Responses'!$R$1:$R$200,7)&amp;", "))),1,""))</f>
        <v/>
      </c>
      <c r="J126">
        <f>IF(Wizards!$A$8="","",IF(OR(ISNUMBER(SEARCH(", "&amp;$B126&amp;", ", ", "&amp;INDEX('Form Responses'!$I$1:$Q$200,8,$A126)&amp;", ")),ISNUMBER(SEARCH(", "&amp;$B126&amp;", ", ", "&amp;INDEX('Form Responses'!$R$1:$R$200,8)&amp;", "))),1,""))</f>
        <v/>
      </c>
      <c r="K126">
        <f>IF(Wizards!$A$9="","",IF(OR(ISNUMBER(SEARCH(", "&amp;$B126&amp;", ", ", "&amp;INDEX('Form Responses'!$I$1:$Q$200,9,$A126)&amp;", ")),ISNUMBER(SEARCH(", "&amp;$B126&amp;", ", ", "&amp;INDEX('Form Responses'!$R$1:$R$200,9)&amp;", "))),1,""))</f>
        <v/>
      </c>
      <c r="L126">
        <f>IF(Wizards!$A$10="","",IF(OR(ISNUMBER(SEARCH(", "&amp;$B126&amp;", ", ", "&amp;INDEX('Form Responses'!$I$1:$Q$200,10,$A126)&amp;", ")),ISNUMBER(SEARCH(", "&amp;$B126&amp;", ", ", "&amp;INDEX('Form Responses'!$R$1:$R$200,10)&amp;", "))),1,""))</f>
        <v/>
      </c>
      <c r="M126">
        <f>IF(Wizards!$A$11="","",IF(OR(ISNUMBER(SEARCH(", "&amp;$B126&amp;", ", ", "&amp;INDEX('Form Responses'!$I$1:$Q$200,11,$A126)&amp;", ")),ISNUMBER(SEARCH(", "&amp;$B126&amp;", ", ", "&amp;INDEX('Form Responses'!$R$1:$R$200,11)&amp;", "))),1,""))</f>
        <v/>
      </c>
      <c r="N126">
        <f>IF(Wizards!$A$12="","",IF(OR(ISNUMBER(SEARCH(", "&amp;$B126&amp;", ", ", "&amp;INDEX('Form Responses'!$I$1:$Q$200,12,$A126)&amp;", ")),ISNUMBER(SEARCH(", "&amp;$B126&amp;", ", ", "&amp;INDEX('Form Responses'!$R$1:$R$200,12)&amp;", "))),1,""))</f>
        <v/>
      </c>
      <c r="O126">
        <f>IF(Wizards!$A$13="","",IF(OR(ISNUMBER(SEARCH(", "&amp;$B126&amp;", ", ", "&amp;INDEX('Form Responses'!$I$1:$Q$200,13,$A126)&amp;", ")),ISNUMBER(SEARCH(", "&amp;$B126&amp;", ", ", "&amp;INDEX('Form Responses'!$R$1:$R$200,13)&amp;", "))),1,""))</f>
        <v/>
      </c>
      <c r="P126">
        <f>IF(Wizards!$A$14="","",IF(OR(ISNUMBER(SEARCH(", "&amp;$B126&amp;", ", ", "&amp;INDEX('Form Responses'!$I$1:$Q$200,14,$A126)&amp;", ")),ISNUMBER(SEARCH(", "&amp;$B126&amp;", ", ", "&amp;INDEX('Form Responses'!$R$1:$R$200,14)&amp;", "))),1,""))</f>
        <v/>
      </c>
      <c r="Q126">
        <f>IF(Wizards!$A$15="","",IF(OR(ISNUMBER(SEARCH(", "&amp;$B126&amp;", ", ", "&amp;INDEX('Form Responses'!$I$1:$Q$200,15,$A126)&amp;", ")),ISNUMBER(SEARCH(", "&amp;$B126&amp;", ", ", "&amp;INDEX('Form Responses'!$R$1:$R$200,15)&amp;", "))),1,""))</f>
        <v/>
      </c>
      <c r="R126">
        <f>IF(Wizards!$A$16="","",IF(OR(ISNUMBER(SEARCH(", "&amp;$B126&amp;", ", ", "&amp;INDEX('Form Responses'!$I$1:$Q$200,16,$A126)&amp;", ")),ISNUMBER(SEARCH(", "&amp;$B126&amp;", ", ", "&amp;INDEX('Form Responses'!$R$1:$R$200,16)&amp;", "))),1,""))</f>
        <v/>
      </c>
      <c r="S126">
        <f>IF(Wizards!$A$17="","",IF(OR(ISNUMBER(SEARCH(", "&amp;$B126&amp;", ", ", "&amp;INDEX('Form Responses'!$I$1:$Q$200,17,$A126)&amp;", ")),ISNUMBER(SEARCH(", "&amp;$B126&amp;", ", ", "&amp;INDEX('Form Responses'!$R$1:$R$200,17)&amp;", "))),1,""))</f>
        <v/>
      </c>
      <c r="T126">
        <f>IF(Wizards!$A$18="","",IF(OR(ISNUMBER(SEARCH(", "&amp;$B126&amp;", ", ", "&amp;INDEX('Form Responses'!$I$1:$Q$200,18,$A126)&amp;", ")),ISNUMBER(SEARCH(", "&amp;$B126&amp;", ", ", "&amp;INDEX('Form Responses'!$R$1:$R$200,18)&amp;", "))),1,""))</f>
        <v/>
      </c>
      <c r="U126">
        <f>IF(Wizards!$A$19="","",IF(OR(ISNUMBER(SEARCH(", "&amp;$B126&amp;", ", ", "&amp;INDEX('Form Responses'!$I$1:$Q$200,19,$A126)&amp;", ")),ISNUMBER(SEARCH(", "&amp;$B126&amp;", ", ", "&amp;INDEX('Form Responses'!$R$1:$R$200,19)&amp;", "))),1,""))</f>
        <v/>
      </c>
      <c r="V126">
        <f>IF(Wizards!$A$20="","",IF(OR(ISNUMBER(SEARCH(", "&amp;$B126&amp;", ", ", "&amp;INDEX('Form Responses'!$I$1:$Q$200,20,$A126)&amp;", ")),ISNUMBER(SEARCH(", "&amp;$B126&amp;", ", ", "&amp;INDEX('Form Responses'!$R$1:$R$200,20)&amp;", "))),1,""))</f>
        <v/>
      </c>
      <c r="W126">
        <f>IF(Wizards!$A$21="","",IF(OR(ISNUMBER(SEARCH(", "&amp;$B126&amp;", ", ", "&amp;INDEX('Form Responses'!$I$1:$Q$200,21,$A126)&amp;", ")),ISNUMBER(SEARCH(", "&amp;$B126&amp;", ", ", "&amp;INDEX('Form Responses'!$R$1:$R$200,21)&amp;", "))),1,""))</f>
        <v/>
      </c>
      <c r="X126">
        <f>IF(Wizards!$A$22="","",IF(OR(ISNUMBER(SEARCH(", "&amp;$B126&amp;", ", ", "&amp;INDEX('Form Responses'!$I$1:$Q$200,22,$A126)&amp;", ")),ISNUMBER(SEARCH(", "&amp;$B126&amp;", ", ", "&amp;INDEX('Form Responses'!$R$1:$R$200,22)&amp;", "))),1,""))</f>
        <v/>
      </c>
      <c r="Y126">
        <f>IF(Wizards!$A$23="","",IF(OR(ISNUMBER(SEARCH(", "&amp;$B126&amp;", ", ", "&amp;INDEX('Form Responses'!$I$1:$Q$200,23,$A126)&amp;", ")),ISNUMBER(SEARCH(", "&amp;$B126&amp;", ", ", "&amp;INDEX('Form Responses'!$R$1:$R$200,23)&amp;", "))),1,""))</f>
        <v/>
      </c>
      <c r="Z126">
        <f>IF(Wizards!$A$24="","",IF(OR(ISNUMBER(SEARCH(", "&amp;$B126&amp;", ", ", "&amp;INDEX('Form Responses'!$I$1:$Q$200,24,$A126)&amp;", ")),ISNUMBER(SEARCH(", "&amp;$B126&amp;", ", ", "&amp;INDEX('Form Responses'!$R$1:$R$200,24)&amp;", "))),1,""))</f>
        <v/>
      </c>
      <c r="AA126">
        <f>IF(Wizards!$A$25="","",IF(OR(ISNUMBER(SEARCH(", "&amp;$B126&amp;", ", ", "&amp;INDEX('Form Responses'!$I$1:$Q$200,25,$A126)&amp;", ")),ISNUMBER(SEARCH(", "&amp;$B126&amp;", ", ", "&amp;INDEX('Form Responses'!$R$1:$R$200,25)&amp;", "))),1,""))</f>
        <v/>
      </c>
      <c r="AB126">
        <f>IF(D126=1,", "&amp;D$1,"")</f>
        <v/>
      </c>
      <c r="AC126">
        <f>IF(E126=1,", "&amp;E$1,"")</f>
        <v/>
      </c>
      <c r="AD126">
        <f>IF(F126=1,", "&amp;F$1,"")</f>
        <v/>
      </c>
      <c r="AE126">
        <f>IF(G126=1,", "&amp;G$1,"")</f>
        <v/>
      </c>
      <c r="AF126">
        <f>IF(H126=1,", "&amp;H$1,"")</f>
        <v/>
      </c>
      <c r="AG126">
        <f>IF(I126=1,", "&amp;I$1,"")</f>
        <v/>
      </c>
      <c r="AH126">
        <f>IF(J126=1,", "&amp;J$1,"")</f>
        <v/>
      </c>
      <c r="AI126">
        <f>IF(K126=1,", "&amp;K$1,"")</f>
        <v/>
      </c>
      <c r="AJ126">
        <f>IF(L126=1,", "&amp;L$1,"")</f>
        <v/>
      </c>
      <c r="AK126">
        <f>IF(M126=1,", "&amp;M$1,"")</f>
        <v/>
      </c>
      <c r="AL126">
        <f>IF(N126=1,", "&amp;N$1,"")</f>
        <v/>
      </c>
      <c r="AM126">
        <f>IF(O126=1,", "&amp;O$1,"")</f>
        <v/>
      </c>
      <c r="AN126">
        <f>IF(P126=1,", "&amp;P$1,"")</f>
        <v/>
      </c>
      <c r="AO126">
        <f>IF(Q126=1,", "&amp;Q$1,"")</f>
        <v/>
      </c>
      <c r="AP126">
        <f>IF(R126=1,", "&amp;R$1,"")</f>
        <v/>
      </c>
      <c r="AQ126">
        <f>IF(S126=1,", "&amp;S$1,"")</f>
        <v/>
      </c>
      <c r="AR126">
        <f>IF(T126=1,", "&amp;T$1,"")</f>
        <v/>
      </c>
      <c r="AS126">
        <f>IF(U126=1,", "&amp;U$1,"")</f>
        <v/>
      </c>
      <c r="AT126">
        <f>IF(V126=1,", "&amp;V$1,"")</f>
        <v/>
      </c>
      <c r="AU126">
        <f>IF(W126=1,", "&amp;W$1,"")</f>
        <v/>
      </c>
      <c r="AV126">
        <f>IF(X126=1,", "&amp;X$1,"")</f>
        <v/>
      </c>
      <c r="AW126">
        <f>IF(Y126=1,", "&amp;Y$1,"")</f>
        <v/>
      </c>
      <c r="AX126">
        <f>IF(Z126=1,", "&amp;Z$1,"")</f>
        <v/>
      </c>
      <c r="AY126">
        <f>IF(AA126=1,", "&amp;AA$1,"")</f>
        <v/>
      </c>
      <c r="AZ126">
        <f>MID($AB126&amp;$AC126&amp;$AD126&amp;$AE126&amp;$AF126&amp;$AG126&amp;$AH126&amp;$AI126&amp;$AJ126&amp;$AK126&amp;$AL126&amp;$AM126&amp;$AN126&amp;$AO126&amp;$AP126&amp;$AQ126&amp;$AR126&amp;$AS126&amp;$AT126&amp;$AU126&amp;$AV126&amp;$AW126&amp;$AX126&amp;$AY126,3,32767)</f>
        <v/>
      </c>
      <c r="BA126">
        <f>COUNT($D126:$AA126)</f>
        <v/>
      </c>
    </row>
    <row r="127">
      <c r="A127" t="n">
        <v>3</v>
      </c>
      <c r="B127" t="inlineStr">
        <is>
          <t>Hypnotic Pattern</t>
        </is>
      </c>
      <c r="C127" t="inlineStr">
        <is>
          <t>Illusion</t>
        </is>
      </c>
      <c r="D127">
        <f>IF(Wizards!$A$2="","",IF(OR(ISNUMBER(SEARCH(", "&amp;$B127&amp;", ", ", "&amp;INDEX('Form Responses'!$I$1:$Q$200,2,$A127)&amp;", ")),ISNUMBER(SEARCH(", "&amp;$B127&amp;", ", ", "&amp;INDEX('Form Responses'!$R$1:$R$200,2)&amp;", "))),1,""))</f>
        <v/>
      </c>
      <c r="E127">
        <f>IF(Wizards!$A$3="","",IF(OR(ISNUMBER(SEARCH(", "&amp;$B127&amp;", ", ", "&amp;INDEX('Form Responses'!$I$1:$Q$200,3,$A127)&amp;", ")),ISNUMBER(SEARCH(", "&amp;$B127&amp;", ", ", "&amp;INDEX('Form Responses'!$R$1:$R$200,3)&amp;", "))),1,""))</f>
        <v/>
      </c>
      <c r="F127">
        <f>IF(Wizards!$A$4="","",IF(OR(ISNUMBER(SEARCH(", "&amp;$B127&amp;", ", ", "&amp;INDEX('Form Responses'!$I$1:$Q$200,4,$A127)&amp;", ")),ISNUMBER(SEARCH(", "&amp;$B127&amp;", ", ", "&amp;INDEX('Form Responses'!$R$1:$R$200,4)&amp;", "))),1,""))</f>
        <v/>
      </c>
      <c r="G127">
        <f>IF(Wizards!$A$5="","",IF(OR(ISNUMBER(SEARCH(", "&amp;$B127&amp;", ", ", "&amp;INDEX('Form Responses'!$I$1:$Q$200,5,$A127)&amp;", ")),ISNUMBER(SEARCH(", "&amp;$B127&amp;", ", ", "&amp;INDEX('Form Responses'!$R$1:$R$200,5)&amp;", "))),1,""))</f>
        <v/>
      </c>
      <c r="H127">
        <f>IF(Wizards!$A$6="","",IF(OR(ISNUMBER(SEARCH(", "&amp;$B127&amp;", ", ", "&amp;INDEX('Form Responses'!$I$1:$Q$200,6,$A127)&amp;", ")),ISNUMBER(SEARCH(", "&amp;$B127&amp;", ", ", "&amp;INDEX('Form Responses'!$R$1:$R$200,6)&amp;", "))),1,""))</f>
        <v/>
      </c>
      <c r="I127">
        <f>IF(Wizards!$A$7="","",IF(OR(ISNUMBER(SEARCH(", "&amp;$B127&amp;", ", ", "&amp;INDEX('Form Responses'!$I$1:$Q$200,7,$A127)&amp;", ")),ISNUMBER(SEARCH(", "&amp;$B127&amp;", ", ", "&amp;INDEX('Form Responses'!$R$1:$R$200,7)&amp;", "))),1,""))</f>
        <v/>
      </c>
      <c r="J127">
        <f>IF(Wizards!$A$8="","",IF(OR(ISNUMBER(SEARCH(", "&amp;$B127&amp;", ", ", "&amp;INDEX('Form Responses'!$I$1:$Q$200,8,$A127)&amp;", ")),ISNUMBER(SEARCH(", "&amp;$B127&amp;", ", ", "&amp;INDEX('Form Responses'!$R$1:$R$200,8)&amp;", "))),1,""))</f>
        <v/>
      </c>
      <c r="K127">
        <f>IF(Wizards!$A$9="","",IF(OR(ISNUMBER(SEARCH(", "&amp;$B127&amp;", ", ", "&amp;INDEX('Form Responses'!$I$1:$Q$200,9,$A127)&amp;", ")),ISNUMBER(SEARCH(", "&amp;$B127&amp;", ", ", "&amp;INDEX('Form Responses'!$R$1:$R$200,9)&amp;", "))),1,""))</f>
        <v/>
      </c>
      <c r="L127">
        <f>IF(Wizards!$A$10="","",IF(OR(ISNUMBER(SEARCH(", "&amp;$B127&amp;", ", ", "&amp;INDEX('Form Responses'!$I$1:$Q$200,10,$A127)&amp;", ")),ISNUMBER(SEARCH(", "&amp;$B127&amp;", ", ", "&amp;INDEX('Form Responses'!$R$1:$R$200,10)&amp;", "))),1,""))</f>
        <v/>
      </c>
      <c r="M127">
        <f>IF(Wizards!$A$11="","",IF(OR(ISNUMBER(SEARCH(", "&amp;$B127&amp;", ", ", "&amp;INDEX('Form Responses'!$I$1:$Q$200,11,$A127)&amp;", ")),ISNUMBER(SEARCH(", "&amp;$B127&amp;", ", ", "&amp;INDEX('Form Responses'!$R$1:$R$200,11)&amp;", "))),1,""))</f>
        <v/>
      </c>
      <c r="N127">
        <f>IF(Wizards!$A$12="","",IF(OR(ISNUMBER(SEARCH(", "&amp;$B127&amp;", ", ", "&amp;INDEX('Form Responses'!$I$1:$Q$200,12,$A127)&amp;", ")),ISNUMBER(SEARCH(", "&amp;$B127&amp;", ", ", "&amp;INDEX('Form Responses'!$R$1:$R$200,12)&amp;", "))),1,""))</f>
        <v/>
      </c>
      <c r="O127">
        <f>IF(Wizards!$A$13="","",IF(OR(ISNUMBER(SEARCH(", "&amp;$B127&amp;", ", ", "&amp;INDEX('Form Responses'!$I$1:$Q$200,13,$A127)&amp;", ")),ISNUMBER(SEARCH(", "&amp;$B127&amp;", ", ", "&amp;INDEX('Form Responses'!$R$1:$R$200,13)&amp;", "))),1,""))</f>
        <v/>
      </c>
      <c r="P127">
        <f>IF(Wizards!$A$14="","",IF(OR(ISNUMBER(SEARCH(", "&amp;$B127&amp;", ", ", "&amp;INDEX('Form Responses'!$I$1:$Q$200,14,$A127)&amp;", ")),ISNUMBER(SEARCH(", "&amp;$B127&amp;", ", ", "&amp;INDEX('Form Responses'!$R$1:$R$200,14)&amp;", "))),1,""))</f>
        <v/>
      </c>
      <c r="Q127">
        <f>IF(Wizards!$A$15="","",IF(OR(ISNUMBER(SEARCH(", "&amp;$B127&amp;", ", ", "&amp;INDEX('Form Responses'!$I$1:$Q$200,15,$A127)&amp;", ")),ISNUMBER(SEARCH(", "&amp;$B127&amp;", ", ", "&amp;INDEX('Form Responses'!$R$1:$R$200,15)&amp;", "))),1,""))</f>
        <v/>
      </c>
      <c r="R127">
        <f>IF(Wizards!$A$16="","",IF(OR(ISNUMBER(SEARCH(", "&amp;$B127&amp;", ", ", "&amp;INDEX('Form Responses'!$I$1:$Q$200,16,$A127)&amp;", ")),ISNUMBER(SEARCH(", "&amp;$B127&amp;", ", ", "&amp;INDEX('Form Responses'!$R$1:$R$200,16)&amp;", "))),1,""))</f>
        <v/>
      </c>
      <c r="S127">
        <f>IF(Wizards!$A$17="","",IF(OR(ISNUMBER(SEARCH(", "&amp;$B127&amp;", ", ", "&amp;INDEX('Form Responses'!$I$1:$Q$200,17,$A127)&amp;", ")),ISNUMBER(SEARCH(", "&amp;$B127&amp;", ", ", "&amp;INDEX('Form Responses'!$R$1:$R$200,17)&amp;", "))),1,""))</f>
        <v/>
      </c>
      <c r="T127">
        <f>IF(Wizards!$A$18="","",IF(OR(ISNUMBER(SEARCH(", "&amp;$B127&amp;", ", ", "&amp;INDEX('Form Responses'!$I$1:$Q$200,18,$A127)&amp;", ")),ISNUMBER(SEARCH(", "&amp;$B127&amp;", ", ", "&amp;INDEX('Form Responses'!$R$1:$R$200,18)&amp;", "))),1,""))</f>
        <v/>
      </c>
      <c r="U127">
        <f>IF(Wizards!$A$19="","",IF(OR(ISNUMBER(SEARCH(", "&amp;$B127&amp;", ", ", "&amp;INDEX('Form Responses'!$I$1:$Q$200,19,$A127)&amp;", ")),ISNUMBER(SEARCH(", "&amp;$B127&amp;", ", ", "&amp;INDEX('Form Responses'!$R$1:$R$200,19)&amp;", "))),1,""))</f>
        <v/>
      </c>
      <c r="V127">
        <f>IF(Wizards!$A$20="","",IF(OR(ISNUMBER(SEARCH(", "&amp;$B127&amp;", ", ", "&amp;INDEX('Form Responses'!$I$1:$Q$200,20,$A127)&amp;", ")),ISNUMBER(SEARCH(", "&amp;$B127&amp;", ", ", "&amp;INDEX('Form Responses'!$R$1:$R$200,20)&amp;", "))),1,""))</f>
        <v/>
      </c>
      <c r="W127">
        <f>IF(Wizards!$A$21="","",IF(OR(ISNUMBER(SEARCH(", "&amp;$B127&amp;", ", ", "&amp;INDEX('Form Responses'!$I$1:$Q$200,21,$A127)&amp;", ")),ISNUMBER(SEARCH(", "&amp;$B127&amp;", ", ", "&amp;INDEX('Form Responses'!$R$1:$R$200,21)&amp;", "))),1,""))</f>
        <v/>
      </c>
      <c r="X127">
        <f>IF(Wizards!$A$22="","",IF(OR(ISNUMBER(SEARCH(", "&amp;$B127&amp;", ", ", "&amp;INDEX('Form Responses'!$I$1:$Q$200,22,$A127)&amp;", ")),ISNUMBER(SEARCH(", "&amp;$B127&amp;", ", ", "&amp;INDEX('Form Responses'!$R$1:$R$200,22)&amp;", "))),1,""))</f>
        <v/>
      </c>
      <c r="Y127">
        <f>IF(Wizards!$A$23="","",IF(OR(ISNUMBER(SEARCH(", "&amp;$B127&amp;", ", ", "&amp;INDEX('Form Responses'!$I$1:$Q$200,23,$A127)&amp;", ")),ISNUMBER(SEARCH(", "&amp;$B127&amp;", ", ", "&amp;INDEX('Form Responses'!$R$1:$R$200,23)&amp;", "))),1,""))</f>
        <v/>
      </c>
      <c r="Z127">
        <f>IF(Wizards!$A$24="","",IF(OR(ISNUMBER(SEARCH(", "&amp;$B127&amp;", ", ", "&amp;INDEX('Form Responses'!$I$1:$Q$200,24,$A127)&amp;", ")),ISNUMBER(SEARCH(", "&amp;$B127&amp;", ", ", "&amp;INDEX('Form Responses'!$R$1:$R$200,24)&amp;", "))),1,""))</f>
        <v/>
      </c>
      <c r="AA127">
        <f>IF(Wizards!$A$25="","",IF(OR(ISNUMBER(SEARCH(", "&amp;$B127&amp;", ", ", "&amp;INDEX('Form Responses'!$I$1:$Q$200,25,$A127)&amp;", ")),ISNUMBER(SEARCH(", "&amp;$B127&amp;", ", ", "&amp;INDEX('Form Responses'!$R$1:$R$200,25)&amp;", "))),1,""))</f>
        <v/>
      </c>
      <c r="AB127">
        <f>IF(D127=1,", "&amp;D$1,"")</f>
        <v/>
      </c>
      <c r="AC127">
        <f>IF(E127=1,", "&amp;E$1,"")</f>
        <v/>
      </c>
      <c r="AD127">
        <f>IF(F127=1,", "&amp;F$1,"")</f>
        <v/>
      </c>
      <c r="AE127">
        <f>IF(G127=1,", "&amp;G$1,"")</f>
        <v/>
      </c>
      <c r="AF127">
        <f>IF(H127=1,", "&amp;H$1,"")</f>
        <v/>
      </c>
      <c r="AG127">
        <f>IF(I127=1,", "&amp;I$1,"")</f>
        <v/>
      </c>
      <c r="AH127">
        <f>IF(J127=1,", "&amp;J$1,"")</f>
        <v/>
      </c>
      <c r="AI127">
        <f>IF(K127=1,", "&amp;K$1,"")</f>
        <v/>
      </c>
      <c r="AJ127">
        <f>IF(L127=1,", "&amp;L$1,"")</f>
        <v/>
      </c>
      <c r="AK127">
        <f>IF(M127=1,", "&amp;M$1,"")</f>
        <v/>
      </c>
      <c r="AL127">
        <f>IF(N127=1,", "&amp;N$1,"")</f>
        <v/>
      </c>
      <c r="AM127">
        <f>IF(O127=1,", "&amp;O$1,"")</f>
        <v/>
      </c>
      <c r="AN127">
        <f>IF(P127=1,", "&amp;P$1,"")</f>
        <v/>
      </c>
      <c r="AO127">
        <f>IF(Q127=1,", "&amp;Q$1,"")</f>
        <v/>
      </c>
      <c r="AP127">
        <f>IF(R127=1,", "&amp;R$1,"")</f>
        <v/>
      </c>
      <c r="AQ127">
        <f>IF(S127=1,", "&amp;S$1,"")</f>
        <v/>
      </c>
      <c r="AR127">
        <f>IF(T127=1,", "&amp;T$1,"")</f>
        <v/>
      </c>
      <c r="AS127">
        <f>IF(U127=1,", "&amp;U$1,"")</f>
        <v/>
      </c>
      <c r="AT127">
        <f>IF(V127=1,", "&amp;V$1,"")</f>
        <v/>
      </c>
      <c r="AU127">
        <f>IF(W127=1,", "&amp;W$1,"")</f>
        <v/>
      </c>
      <c r="AV127">
        <f>IF(X127=1,", "&amp;X$1,"")</f>
        <v/>
      </c>
      <c r="AW127">
        <f>IF(Y127=1,", "&amp;Y$1,"")</f>
        <v/>
      </c>
      <c r="AX127">
        <f>IF(Z127=1,", "&amp;Z$1,"")</f>
        <v/>
      </c>
      <c r="AY127">
        <f>IF(AA127=1,", "&amp;AA$1,"")</f>
        <v/>
      </c>
      <c r="AZ127">
        <f>MID($AB127&amp;$AC127&amp;$AD127&amp;$AE127&amp;$AF127&amp;$AG127&amp;$AH127&amp;$AI127&amp;$AJ127&amp;$AK127&amp;$AL127&amp;$AM127&amp;$AN127&amp;$AO127&amp;$AP127&amp;$AQ127&amp;$AR127&amp;$AS127&amp;$AT127&amp;$AU127&amp;$AV127&amp;$AW127&amp;$AX127&amp;$AY127,3,32767)</f>
        <v/>
      </c>
      <c r="BA127">
        <f>COUNT($D127:$AA127)</f>
        <v/>
      </c>
    </row>
    <row r="128">
      <c r="A128" t="n">
        <v>3</v>
      </c>
      <c r="B128" t="inlineStr">
        <is>
          <t>Inflict Doubt</t>
        </is>
      </c>
      <c r="C128" t="inlineStr">
        <is>
          <t>Enchantment</t>
        </is>
      </c>
      <c r="D128">
        <f>IF(Wizards!$A$2="","",IF(OR(ISNUMBER(SEARCH(", "&amp;$B128&amp;", ", ", "&amp;INDEX('Form Responses'!$I$1:$Q$200,2,$A128)&amp;", ")),ISNUMBER(SEARCH(", "&amp;$B128&amp;", ", ", "&amp;INDEX('Form Responses'!$R$1:$R$200,2)&amp;", "))),1,""))</f>
        <v/>
      </c>
      <c r="E128">
        <f>IF(Wizards!$A$3="","",IF(OR(ISNUMBER(SEARCH(", "&amp;$B128&amp;", ", ", "&amp;INDEX('Form Responses'!$I$1:$Q$200,3,$A128)&amp;", ")),ISNUMBER(SEARCH(", "&amp;$B128&amp;", ", ", "&amp;INDEX('Form Responses'!$R$1:$R$200,3)&amp;", "))),1,""))</f>
        <v/>
      </c>
      <c r="F128">
        <f>IF(Wizards!$A$4="","",IF(OR(ISNUMBER(SEARCH(", "&amp;$B128&amp;", ", ", "&amp;INDEX('Form Responses'!$I$1:$Q$200,4,$A128)&amp;", ")),ISNUMBER(SEARCH(", "&amp;$B128&amp;", ", ", "&amp;INDEX('Form Responses'!$R$1:$R$200,4)&amp;", "))),1,""))</f>
        <v/>
      </c>
      <c r="G128">
        <f>IF(Wizards!$A$5="","",IF(OR(ISNUMBER(SEARCH(", "&amp;$B128&amp;", ", ", "&amp;INDEX('Form Responses'!$I$1:$Q$200,5,$A128)&amp;", ")),ISNUMBER(SEARCH(", "&amp;$B128&amp;", ", ", "&amp;INDEX('Form Responses'!$R$1:$R$200,5)&amp;", "))),1,""))</f>
        <v/>
      </c>
      <c r="H128">
        <f>IF(Wizards!$A$6="","",IF(OR(ISNUMBER(SEARCH(", "&amp;$B128&amp;", ", ", "&amp;INDEX('Form Responses'!$I$1:$Q$200,6,$A128)&amp;", ")),ISNUMBER(SEARCH(", "&amp;$B128&amp;", ", ", "&amp;INDEX('Form Responses'!$R$1:$R$200,6)&amp;", "))),1,""))</f>
        <v/>
      </c>
      <c r="I128">
        <f>IF(Wizards!$A$7="","",IF(OR(ISNUMBER(SEARCH(", "&amp;$B128&amp;", ", ", "&amp;INDEX('Form Responses'!$I$1:$Q$200,7,$A128)&amp;", ")),ISNUMBER(SEARCH(", "&amp;$B128&amp;", ", ", "&amp;INDEX('Form Responses'!$R$1:$R$200,7)&amp;", "))),1,""))</f>
        <v/>
      </c>
      <c r="J128">
        <f>IF(Wizards!$A$8="","",IF(OR(ISNUMBER(SEARCH(", "&amp;$B128&amp;", ", ", "&amp;INDEX('Form Responses'!$I$1:$Q$200,8,$A128)&amp;", ")),ISNUMBER(SEARCH(", "&amp;$B128&amp;", ", ", "&amp;INDEX('Form Responses'!$R$1:$R$200,8)&amp;", "))),1,""))</f>
        <v/>
      </c>
      <c r="K128">
        <f>IF(Wizards!$A$9="","",IF(OR(ISNUMBER(SEARCH(", "&amp;$B128&amp;", ", ", "&amp;INDEX('Form Responses'!$I$1:$Q$200,9,$A128)&amp;", ")),ISNUMBER(SEARCH(", "&amp;$B128&amp;", ", ", "&amp;INDEX('Form Responses'!$R$1:$R$200,9)&amp;", "))),1,""))</f>
        <v/>
      </c>
      <c r="L128">
        <f>IF(Wizards!$A$10="","",IF(OR(ISNUMBER(SEARCH(", "&amp;$B128&amp;", ", ", "&amp;INDEX('Form Responses'!$I$1:$Q$200,10,$A128)&amp;", ")),ISNUMBER(SEARCH(", "&amp;$B128&amp;", ", ", "&amp;INDEX('Form Responses'!$R$1:$R$200,10)&amp;", "))),1,""))</f>
        <v/>
      </c>
      <c r="M128">
        <f>IF(Wizards!$A$11="","",IF(OR(ISNUMBER(SEARCH(", "&amp;$B128&amp;", ", ", "&amp;INDEX('Form Responses'!$I$1:$Q$200,11,$A128)&amp;", ")),ISNUMBER(SEARCH(", "&amp;$B128&amp;", ", ", "&amp;INDEX('Form Responses'!$R$1:$R$200,11)&amp;", "))),1,""))</f>
        <v/>
      </c>
      <c r="N128">
        <f>IF(Wizards!$A$12="","",IF(OR(ISNUMBER(SEARCH(", "&amp;$B128&amp;", ", ", "&amp;INDEX('Form Responses'!$I$1:$Q$200,12,$A128)&amp;", ")),ISNUMBER(SEARCH(", "&amp;$B128&amp;", ", ", "&amp;INDEX('Form Responses'!$R$1:$R$200,12)&amp;", "))),1,""))</f>
        <v/>
      </c>
      <c r="O128">
        <f>IF(Wizards!$A$13="","",IF(OR(ISNUMBER(SEARCH(", "&amp;$B128&amp;", ", ", "&amp;INDEX('Form Responses'!$I$1:$Q$200,13,$A128)&amp;", ")),ISNUMBER(SEARCH(", "&amp;$B128&amp;", ", ", "&amp;INDEX('Form Responses'!$R$1:$R$200,13)&amp;", "))),1,""))</f>
        <v/>
      </c>
      <c r="P128">
        <f>IF(Wizards!$A$14="","",IF(OR(ISNUMBER(SEARCH(", "&amp;$B128&amp;", ", ", "&amp;INDEX('Form Responses'!$I$1:$Q$200,14,$A128)&amp;", ")),ISNUMBER(SEARCH(", "&amp;$B128&amp;", ", ", "&amp;INDEX('Form Responses'!$R$1:$R$200,14)&amp;", "))),1,""))</f>
        <v/>
      </c>
      <c r="Q128">
        <f>IF(Wizards!$A$15="","",IF(OR(ISNUMBER(SEARCH(", "&amp;$B128&amp;", ", ", "&amp;INDEX('Form Responses'!$I$1:$Q$200,15,$A128)&amp;", ")),ISNUMBER(SEARCH(", "&amp;$B128&amp;", ", ", "&amp;INDEX('Form Responses'!$R$1:$R$200,15)&amp;", "))),1,""))</f>
        <v/>
      </c>
      <c r="R128">
        <f>IF(Wizards!$A$16="","",IF(OR(ISNUMBER(SEARCH(", "&amp;$B128&amp;", ", ", "&amp;INDEX('Form Responses'!$I$1:$Q$200,16,$A128)&amp;", ")),ISNUMBER(SEARCH(", "&amp;$B128&amp;", ", ", "&amp;INDEX('Form Responses'!$R$1:$R$200,16)&amp;", "))),1,""))</f>
        <v/>
      </c>
      <c r="S128">
        <f>IF(Wizards!$A$17="","",IF(OR(ISNUMBER(SEARCH(", "&amp;$B128&amp;", ", ", "&amp;INDEX('Form Responses'!$I$1:$Q$200,17,$A128)&amp;", ")),ISNUMBER(SEARCH(", "&amp;$B128&amp;", ", ", "&amp;INDEX('Form Responses'!$R$1:$R$200,17)&amp;", "))),1,""))</f>
        <v/>
      </c>
      <c r="T128">
        <f>IF(Wizards!$A$18="","",IF(OR(ISNUMBER(SEARCH(", "&amp;$B128&amp;", ", ", "&amp;INDEX('Form Responses'!$I$1:$Q$200,18,$A128)&amp;", ")),ISNUMBER(SEARCH(", "&amp;$B128&amp;", ", ", "&amp;INDEX('Form Responses'!$R$1:$R$200,18)&amp;", "))),1,""))</f>
        <v/>
      </c>
      <c r="U128">
        <f>IF(Wizards!$A$19="","",IF(OR(ISNUMBER(SEARCH(", "&amp;$B128&amp;", ", ", "&amp;INDEX('Form Responses'!$I$1:$Q$200,19,$A128)&amp;", ")),ISNUMBER(SEARCH(", "&amp;$B128&amp;", ", ", "&amp;INDEX('Form Responses'!$R$1:$R$200,19)&amp;", "))),1,""))</f>
        <v/>
      </c>
      <c r="V128">
        <f>IF(Wizards!$A$20="","",IF(OR(ISNUMBER(SEARCH(", "&amp;$B128&amp;", ", ", "&amp;INDEX('Form Responses'!$I$1:$Q$200,20,$A128)&amp;", ")),ISNUMBER(SEARCH(", "&amp;$B128&amp;", ", ", "&amp;INDEX('Form Responses'!$R$1:$R$200,20)&amp;", "))),1,""))</f>
        <v/>
      </c>
      <c r="W128">
        <f>IF(Wizards!$A$21="","",IF(OR(ISNUMBER(SEARCH(", "&amp;$B128&amp;", ", ", "&amp;INDEX('Form Responses'!$I$1:$Q$200,21,$A128)&amp;", ")),ISNUMBER(SEARCH(", "&amp;$B128&amp;", ", ", "&amp;INDEX('Form Responses'!$R$1:$R$200,21)&amp;", "))),1,""))</f>
        <v/>
      </c>
      <c r="X128">
        <f>IF(Wizards!$A$22="","",IF(OR(ISNUMBER(SEARCH(", "&amp;$B128&amp;", ", ", "&amp;INDEX('Form Responses'!$I$1:$Q$200,22,$A128)&amp;", ")),ISNUMBER(SEARCH(", "&amp;$B128&amp;", ", ", "&amp;INDEX('Form Responses'!$R$1:$R$200,22)&amp;", "))),1,""))</f>
        <v/>
      </c>
      <c r="Y128">
        <f>IF(Wizards!$A$23="","",IF(OR(ISNUMBER(SEARCH(", "&amp;$B128&amp;", ", ", "&amp;INDEX('Form Responses'!$I$1:$Q$200,23,$A128)&amp;", ")),ISNUMBER(SEARCH(", "&amp;$B128&amp;", ", ", "&amp;INDEX('Form Responses'!$R$1:$R$200,23)&amp;", "))),1,""))</f>
        <v/>
      </c>
      <c r="Z128">
        <f>IF(Wizards!$A$24="","",IF(OR(ISNUMBER(SEARCH(", "&amp;$B128&amp;", ", ", "&amp;INDEX('Form Responses'!$I$1:$Q$200,24,$A128)&amp;", ")),ISNUMBER(SEARCH(", "&amp;$B128&amp;", ", ", "&amp;INDEX('Form Responses'!$R$1:$R$200,24)&amp;", "))),1,""))</f>
        <v/>
      </c>
      <c r="AA128">
        <f>IF(Wizards!$A$25="","",IF(OR(ISNUMBER(SEARCH(", "&amp;$B128&amp;", ", ", "&amp;INDEX('Form Responses'!$I$1:$Q$200,25,$A128)&amp;", ")),ISNUMBER(SEARCH(", "&amp;$B128&amp;", ", ", "&amp;INDEX('Form Responses'!$R$1:$R$200,25)&amp;", "))),1,""))</f>
        <v/>
      </c>
      <c r="AB128">
        <f>IF(D128=1,", "&amp;D$1,"")</f>
        <v/>
      </c>
      <c r="AC128">
        <f>IF(E128=1,", "&amp;E$1,"")</f>
        <v/>
      </c>
      <c r="AD128">
        <f>IF(F128=1,", "&amp;F$1,"")</f>
        <v/>
      </c>
      <c r="AE128">
        <f>IF(G128=1,", "&amp;G$1,"")</f>
        <v/>
      </c>
      <c r="AF128">
        <f>IF(H128=1,", "&amp;H$1,"")</f>
        <v/>
      </c>
      <c r="AG128">
        <f>IF(I128=1,", "&amp;I$1,"")</f>
        <v/>
      </c>
      <c r="AH128">
        <f>IF(J128=1,", "&amp;J$1,"")</f>
        <v/>
      </c>
      <c r="AI128">
        <f>IF(K128=1,", "&amp;K$1,"")</f>
        <v/>
      </c>
      <c r="AJ128">
        <f>IF(L128=1,", "&amp;L$1,"")</f>
        <v/>
      </c>
      <c r="AK128">
        <f>IF(M128=1,", "&amp;M$1,"")</f>
        <v/>
      </c>
      <c r="AL128">
        <f>IF(N128=1,", "&amp;N$1,"")</f>
        <v/>
      </c>
      <c r="AM128">
        <f>IF(O128=1,", "&amp;O$1,"")</f>
        <v/>
      </c>
      <c r="AN128">
        <f>IF(P128=1,", "&amp;P$1,"")</f>
        <v/>
      </c>
      <c r="AO128">
        <f>IF(Q128=1,", "&amp;Q$1,"")</f>
        <v/>
      </c>
      <c r="AP128">
        <f>IF(R128=1,", "&amp;R$1,"")</f>
        <v/>
      </c>
      <c r="AQ128">
        <f>IF(S128=1,", "&amp;S$1,"")</f>
        <v/>
      </c>
      <c r="AR128">
        <f>IF(T128=1,", "&amp;T$1,"")</f>
        <v/>
      </c>
      <c r="AS128">
        <f>IF(U128=1,", "&amp;U$1,"")</f>
        <v/>
      </c>
      <c r="AT128">
        <f>IF(V128=1,", "&amp;V$1,"")</f>
        <v/>
      </c>
      <c r="AU128">
        <f>IF(W128=1,", "&amp;W$1,"")</f>
        <v/>
      </c>
      <c r="AV128">
        <f>IF(X128=1,", "&amp;X$1,"")</f>
        <v/>
      </c>
      <c r="AW128">
        <f>IF(Y128=1,", "&amp;Y$1,"")</f>
        <v/>
      </c>
      <c r="AX128">
        <f>IF(Z128=1,", "&amp;Z$1,"")</f>
        <v/>
      </c>
      <c r="AY128">
        <f>IF(AA128=1,", "&amp;AA$1,"")</f>
        <v/>
      </c>
      <c r="AZ128">
        <f>MID($AB128&amp;$AC128&amp;$AD128&amp;$AE128&amp;$AF128&amp;$AG128&amp;$AH128&amp;$AI128&amp;$AJ128&amp;$AK128&amp;$AL128&amp;$AM128&amp;$AN128&amp;$AO128&amp;$AP128&amp;$AQ128&amp;$AR128&amp;$AS128&amp;$AT128&amp;$AU128&amp;$AV128&amp;$AW128&amp;$AX128&amp;$AY128,3,32767)</f>
        <v/>
      </c>
      <c r="BA128">
        <f>COUNT($D128:$AA128)</f>
        <v/>
      </c>
    </row>
    <row r="129">
      <c r="A129" t="n">
        <v>3</v>
      </c>
      <c r="B129" t="inlineStr">
        <is>
          <t>Intellect Fortress</t>
        </is>
      </c>
      <c r="C129" t="inlineStr">
        <is>
          <t>Abjuration</t>
        </is>
      </c>
      <c r="D129">
        <f>IF(Wizards!$A$2="","",IF(OR(ISNUMBER(SEARCH(", "&amp;$B129&amp;", ", ", "&amp;INDEX('Form Responses'!$I$1:$Q$200,2,$A129)&amp;", ")),ISNUMBER(SEARCH(", "&amp;$B129&amp;", ", ", "&amp;INDEX('Form Responses'!$R$1:$R$200,2)&amp;", "))),1,""))</f>
        <v/>
      </c>
      <c r="E129">
        <f>IF(Wizards!$A$3="","",IF(OR(ISNUMBER(SEARCH(", "&amp;$B129&amp;", ", ", "&amp;INDEX('Form Responses'!$I$1:$Q$200,3,$A129)&amp;", ")),ISNUMBER(SEARCH(", "&amp;$B129&amp;", ", ", "&amp;INDEX('Form Responses'!$R$1:$R$200,3)&amp;", "))),1,""))</f>
        <v/>
      </c>
      <c r="F129">
        <f>IF(Wizards!$A$4="","",IF(OR(ISNUMBER(SEARCH(", "&amp;$B129&amp;", ", ", "&amp;INDEX('Form Responses'!$I$1:$Q$200,4,$A129)&amp;", ")),ISNUMBER(SEARCH(", "&amp;$B129&amp;", ", ", "&amp;INDEX('Form Responses'!$R$1:$R$200,4)&amp;", "))),1,""))</f>
        <v/>
      </c>
      <c r="G129">
        <f>IF(Wizards!$A$5="","",IF(OR(ISNUMBER(SEARCH(", "&amp;$B129&amp;", ", ", "&amp;INDEX('Form Responses'!$I$1:$Q$200,5,$A129)&amp;", ")),ISNUMBER(SEARCH(", "&amp;$B129&amp;", ", ", "&amp;INDEX('Form Responses'!$R$1:$R$200,5)&amp;", "))),1,""))</f>
        <v/>
      </c>
      <c r="H129">
        <f>IF(Wizards!$A$6="","",IF(OR(ISNUMBER(SEARCH(", "&amp;$B129&amp;", ", ", "&amp;INDEX('Form Responses'!$I$1:$Q$200,6,$A129)&amp;", ")),ISNUMBER(SEARCH(", "&amp;$B129&amp;", ", ", "&amp;INDEX('Form Responses'!$R$1:$R$200,6)&amp;", "))),1,""))</f>
        <v/>
      </c>
      <c r="I129">
        <f>IF(Wizards!$A$7="","",IF(OR(ISNUMBER(SEARCH(", "&amp;$B129&amp;", ", ", "&amp;INDEX('Form Responses'!$I$1:$Q$200,7,$A129)&amp;", ")),ISNUMBER(SEARCH(", "&amp;$B129&amp;", ", ", "&amp;INDEX('Form Responses'!$R$1:$R$200,7)&amp;", "))),1,""))</f>
        <v/>
      </c>
      <c r="J129">
        <f>IF(Wizards!$A$8="","",IF(OR(ISNUMBER(SEARCH(", "&amp;$B129&amp;", ", ", "&amp;INDEX('Form Responses'!$I$1:$Q$200,8,$A129)&amp;", ")),ISNUMBER(SEARCH(", "&amp;$B129&amp;", ", ", "&amp;INDEX('Form Responses'!$R$1:$R$200,8)&amp;", "))),1,""))</f>
        <v/>
      </c>
      <c r="K129">
        <f>IF(Wizards!$A$9="","",IF(OR(ISNUMBER(SEARCH(", "&amp;$B129&amp;", ", ", "&amp;INDEX('Form Responses'!$I$1:$Q$200,9,$A129)&amp;", ")),ISNUMBER(SEARCH(", "&amp;$B129&amp;", ", ", "&amp;INDEX('Form Responses'!$R$1:$R$200,9)&amp;", "))),1,""))</f>
        <v/>
      </c>
      <c r="L129">
        <f>IF(Wizards!$A$10="","",IF(OR(ISNUMBER(SEARCH(", "&amp;$B129&amp;", ", ", "&amp;INDEX('Form Responses'!$I$1:$Q$200,10,$A129)&amp;", ")),ISNUMBER(SEARCH(", "&amp;$B129&amp;", ", ", "&amp;INDEX('Form Responses'!$R$1:$R$200,10)&amp;", "))),1,""))</f>
        <v/>
      </c>
      <c r="M129">
        <f>IF(Wizards!$A$11="","",IF(OR(ISNUMBER(SEARCH(", "&amp;$B129&amp;", ", ", "&amp;INDEX('Form Responses'!$I$1:$Q$200,11,$A129)&amp;", ")),ISNUMBER(SEARCH(", "&amp;$B129&amp;", ", ", "&amp;INDEX('Form Responses'!$R$1:$R$200,11)&amp;", "))),1,""))</f>
        <v/>
      </c>
      <c r="N129">
        <f>IF(Wizards!$A$12="","",IF(OR(ISNUMBER(SEARCH(", "&amp;$B129&amp;", ", ", "&amp;INDEX('Form Responses'!$I$1:$Q$200,12,$A129)&amp;", ")),ISNUMBER(SEARCH(", "&amp;$B129&amp;", ", ", "&amp;INDEX('Form Responses'!$R$1:$R$200,12)&amp;", "))),1,""))</f>
        <v/>
      </c>
      <c r="O129">
        <f>IF(Wizards!$A$13="","",IF(OR(ISNUMBER(SEARCH(", "&amp;$B129&amp;", ", ", "&amp;INDEX('Form Responses'!$I$1:$Q$200,13,$A129)&amp;", ")),ISNUMBER(SEARCH(", "&amp;$B129&amp;", ", ", "&amp;INDEX('Form Responses'!$R$1:$R$200,13)&amp;", "))),1,""))</f>
        <v/>
      </c>
      <c r="P129">
        <f>IF(Wizards!$A$14="","",IF(OR(ISNUMBER(SEARCH(", "&amp;$B129&amp;", ", ", "&amp;INDEX('Form Responses'!$I$1:$Q$200,14,$A129)&amp;", ")),ISNUMBER(SEARCH(", "&amp;$B129&amp;", ", ", "&amp;INDEX('Form Responses'!$R$1:$R$200,14)&amp;", "))),1,""))</f>
        <v/>
      </c>
      <c r="Q129">
        <f>IF(Wizards!$A$15="","",IF(OR(ISNUMBER(SEARCH(", "&amp;$B129&amp;", ", ", "&amp;INDEX('Form Responses'!$I$1:$Q$200,15,$A129)&amp;", ")),ISNUMBER(SEARCH(", "&amp;$B129&amp;", ", ", "&amp;INDEX('Form Responses'!$R$1:$R$200,15)&amp;", "))),1,""))</f>
        <v/>
      </c>
      <c r="R129">
        <f>IF(Wizards!$A$16="","",IF(OR(ISNUMBER(SEARCH(", "&amp;$B129&amp;", ", ", "&amp;INDEX('Form Responses'!$I$1:$Q$200,16,$A129)&amp;", ")),ISNUMBER(SEARCH(", "&amp;$B129&amp;", ", ", "&amp;INDEX('Form Responses'!$R$1:$R$200,16)&amp;", "))),1,""))</f>
        <v/>
      </c>
      <c r="S129">
        <f>IF(Wizards!$A$17="","",IF(OR(ISNUMBER(SEARCH(", "&amp;$B129&amp;", ", ", "&amp;INDEX('Form Responses'!$I$1:$Q$200,17,$A129)&amp;", ")),ISNUMBER(SEARCH(", "&amp;$B129&amp;", ", ", "&amp;INDEX('Form Responses'!$R$1:$R$200,17)&amp;", "))),1,""))</f>
        <v/>
      </c>
      <c r="T129">
        <f>IF(Wizards!$A$18="","",IF(OR(ISNUMBER(SEARCH(", "&amp;$B129&amp;", ", ", "&amp;INDEX('Form Responses'!$I$1:$Q$200,18,$A129)&amp;", ")),ISNUMBER(SEARCH(", "&amp;$B129&amp;", ", ", "&amp;INDEX('Form Responses'!$R$1:$R$200,18)&amp;", "))),1,""))</f>
        <v/>
      </c>
      <c r="U129">
        <f>IF(Wizards!$A$19="","",IF(OR(ISNUMBER(SEARCH(", "&amp;$B129&amp;", ", ", "&amp;INDEX('Form Responses'!$I$1:$Q$200,19,$A129)&amp;", ")),ISNUMBER(SEARCH(", "&amp;$B129&amp;", ", ", "&amp;INDEX('Form Responses'!$R$1:$R$200,19)&amp;", "))),1,""))</f>
        <v/>
      </c>
      <c r="V129">
        <f>IF(Wizards!$A$20="","",IF(OR(ISNUMBER(SEARCH(", "&amp;$B129&amp;", ", ", "&amp;INDEX('Form Responses'!$I$1:$Q$200,20,$A129)&amp;", ")),ISNUMBER(SEARCH(", "&amp;$B129&amp;", ", ", "&amp;INDEX('Form Responses'!$R$1:$R$200,20)&amp;", "))),1,""))</f>
        <v/>
      </c>
      <c r="W129">
        <f>IF(Wizards!$A$21="","",IF(OR(ISNUMBER(SEARCH(", "&amp;$B129&amp;", ", ", "&amp;INDEX('Form Responses'!$I$1:$Q$200,21,$A129)&amp;", ")),ISNUMBER(SEARCH(", "&amp;$B129&amp;", ", ", "&amp;INDEX('Form Responses'!$R$1:$R$200,21)&amp;", "))),1,""))</f>
        <v/>
      </c>
      <c r="X129">
        <f>IF(Wizards!$A$22="","",IF(OR(ISNUMBER(SEARCH(", "&amp;$B129&amp;", ", ", "&amp;INDEX('Form Responses'!$I$1:$Q$200,22,$A129)&amp;", ")),ISNUMBER(SEARCH(", "&amp;$B129&amp;", ", ", "&amp;INDEX('Form Responses'!$R$1:$R$200,22)&amp;", "))),1,""))</f>
        <v/>
      </c>
      <c r="Y129">
        <f>IF(Wizards!$A$23="","",IF(OR(ISNUMBER(SEARCH(", "&amp;$B129&amp;", ", ", "&amp;INDEX('Form Responses'!$I$1:$Q$200,23,$A129)&amp;", ")),ISNUMBER(SEARCH(", "&amp;$B129&amp;", ", ", "&amp;INDEX('Form Responses'!$R$1:$R$200,23)&amp;", "))),1,""))</f>
        <v/>
      </c>
      <c r="Z129">
        <f>IF(Wizards!$A$24="","",IF(OR(ISNUMBER(SEARCH(", "&amp;$B129&amp;", ", ", "&amp;INDEX('Form Responses'!$I$1:$Q$200,24,$A129)&amp;", ")),ISNUMBER(SEARCH(", "&amp;$B129&amp;", ", ", "&amp;INDEX('Form Responses'!$R$1:$R$200,24)&amp;", "))),1,""))</f>
        <v/>
      </c>
      <c r="AA129">
        <f>IF(Wizards!$A$25="","",IF(OR(ISNUMBER(SEARCH(", "&amp;$B129&amp;", ", ", "&amp;INDEX('Form Responses'!$I$1:$Q$200,25,$A129)&amp;", ")),ISNUMBER(SEARCH(", "&amp;$B129&amp;", ", ", "&amp;INDEX('Form Responses'!$R$1:$R$200,25)&amp;", "))),1,""))</f>
        <v/>
      </c>
      <c r="AB129">
        <f>IF(D129=1,", "&amp;D$1,"")</f>
        <v/>
      </c>
      <c r="AC129">
        <f>IF(E129=1,", "&amp;E$1,"")</f>
        <v/>
      </c>
      <c r="AD129">
        <f>IF(F129=1,", "&amp;F$1,"")</f>
        <v/>
      </c>
      <c r="AE129">
        <f>IF(G129=1,", "&amp;G$1,"")</f>
        <v/>
      </c>
      <c r="AF129">
        <f>IF(H129=1,", "&amp;H$1,"")</f>
        <v/>
      </c>
      <c r="AG129">
        <f>IF(I129=1,", "&amp;I$1,"")</f>
        <v/>
      </c>
      <c r="AH129">
        <f>IF(J129=1,", "&amp;J$1,"")</f>
        <v/>
      </c>
      <c r="AI129">
        <f>IF(K129=1,", "&amp;K$1,"")</f>
        <v/>
      </c>
      <c r="AJ129">
        <f>IF(L129=1,", "&amp;L$1,"")</f>
        <v/>
      </c>
      <c r="AK129">
        <f>IF(M129=1,", "&amp;M$1,"")</f>
        <v/>
      </c>
      <c r="AL129">
        <f>IF(N129=1,", "&amp;N$1,"")</f>
        <v/>
      </c>
      <c r="AM129">
        <f>IF(O129=1,", "&amp;O$1,"")</f>
        <v/>
      </c>
      <c r="AN129">
        <f>IF(P129=1,", "&amp;P$1,"")</f>
        <v/>
      </c>
      <c r="AO129">
        <f>IF(Q129=1,", "&amp;Q$1,"")</f>
        <v/>
      </c>
      <c r="AP129">
        <f>IF(R129=1,", "&amp;R$1,"")</f>
        <v/>
      </c>
      <c r="AQ129">
        <f>IF(S129=1,", "&amp;S$1,"")</f>
        <v/>
      </c>
      <c r="AR129">
        <f>IF(T129=1,", "&amp;T$1,"")</f>
        <v/>
      </c>
      <c r="AS129">
        <f>IF(U129=1,", "&amp;U$1,"")</f>
        <v/>
      </c>
      <c r="AT129">
        <f>IF(V129=1,", "&amp;V$1,"")</f>
        <v/>
      </c>
      <c r="AU129">
        <f>IF(W129=1,", "&amp;W$1,"")</f>
        <v/>
      </c>
      <c r="AV129">
        <f>IF(X129=1,", "&amp;X$1,"")</f>
        <v/>
      </c>
      <c r="AW129">
        <f>IF(Y129=1,", "&amp;Y$1,"")</f>
        <v/>
      </c>
      <c r="AX129">
        <f>IF(Z129=1,", "&amp;Z$1,"")</f>
        <v/>
      </c>
      <c r="AY129">
        <f>IF(AA129=1,", "&amp;AA$1,"")</f>
        <v/>
      </c>
      <c r="AZ129">
        <f>MID($AB129&amp;$AC129&amp;$AD129&amp;$AE129&amp;$AF129&amp;$AG129&amp;$AH129&amp;$AI129&amp;$AJ129&amp;$AK129&amp;$AL129&amp;$AM129&amp;$AN129&amp;$AO129&amp;$AP129&amp;$AQ129&amp;$AR129&amp;$AS129&amp;$AT129&amp;$AU129&amp;$AV129&amp;$AW129&amp;$AX129&amp;$AY129,3,32767)</f>
        <v/>
      </c>
      <c r="BA129">
        <f>COUNT($D129:$AA129)</f>
        <v/>
      </c>
    </row>
    <row r="130">
      <c r="A130" t="n">
        <v>3</v>
      </c>
      <c r="B130" t="inlineStr">
        <is>
          <t>Laeral's Silver Lance</t>
        </is>
      </c>
      <c r="C130" t="inlineStr">
        <is>
          <t>Evocation</t>
        </is>
      </c>
      <c r="D130">
        <f>IF(Wizards!$A$2="","",IF(OR(ISNUMBER(SEARCH(", "&amp;$B130&amp;", ", ", "&amp;INDEX('Form Responses'!$I$1:$Q$200,2,$A130)&amp;", ")),ISNUMBER(SEARCH(", "&amp;$B130&amp;", ", ", "&amp;INDEX('Form Responses'!$R$1:$R$200,2)&amp;", "))),1,""))</f>
        <v/>
      </c>
      <c r="E130">
        <f>IF(Wizards!$A$3="","",IF(OR(ISNUMBER(SEARCH(", "&amp;$B130&amp;", ", ", "&amp;INDEX('Form Responses'!$I$1:$Q$200,3,$A130)&amp;", ")),ISNUMBER(SEARCH(", "&amp;$B130&amp;", ", ", "&amp;INDEX('Form Responses'!$R$1:$R$200,3)&amp;", "))),1,""))</f>
        <v/>
      </c>
      <c r="F130">
        <f>IF(Wizards!$A$4="","",IF(OR(ISNUMBER(SEARCH(", "&amp;$B130&amp;", ", ", "&amp;INDEX('Form Responses'!$I$1:$Q$200,4,$A130)&amp;", ")),ISNUMBER(SEARCH(", "&amp;$B130&amp;", ", ", "&amp;INDEX('Form Responses'!$R$1:$R$200,4)&amp;", "))),1,""))</f>
        <v/>
      </c>
      <c r="G130">
        <f>IF(Wizards!$A$5="","",IF(OR(ISNUMBER(SEARCH(", "&amp;$B130&amp;", ", ", "&amp;INDEX('Form Responses'!$I$1:$Q$200,5,$A130)&amp;", ")),ISNUMBER(SEARCH(", "&amp;$B130&amp;", ", ", "&amp;INDEX('Form Responses'!$R$1:$R$200,5)&amp;", "))),1,""))</f>
        <v/>
      </c>
      <c r="H130">
        <f>IF(Wizards!$A$6="","",IF(OR(ISNUMBER(SEARCH(", "&amp;$B130&amp;", ", ", "&amp;INDEX('Form Responses'!$I$1:$Q$200,6,$A130)&amp;", ")),ISNUMBER(SEARCH(", "&amp;$B130&amp;", ", ", "&amp;INDEX('Form Responses'!$R$1:$R$200,6)&amp;", "))),1,""))</f>
        <v/>
      </c>
      <c r="I130">
        <f>IF(Wizards!$A$7="","",IF(OR(ISNUMBER(SEARCH(", "&amp;$B130&amp;", ", ", "&amp;INDEX('Form Responses'!$I$1:$Q$200,7,$A130)&amp;", ")),ISNUMBER(SEARCH(", "&amp;$B130&amp;", ", ", "&amp;INDEX('Form Responses'!$R$1:$R$200,7)&amp;", "))),1,""))</f>
        <v/>
      </c>
      <c r="J130">
        <f>IF(Wizards!$A$8="","",IF(OR(ISNUMBER(SEARCH(", "&amp;$B130&amp;", ", ", "&amp;INDEX('Form Responses'!$I$1:$Q$200,8,$A130)&amp;", ")),ISNUMBER(SEARCH(", "&amp;$B130&amp;", ", ", "&amp;INDEX('Form Responses'!$R$1:$R$200,8)&amp;", "))),1,""))</f>
        <v/>
      </c>
      <c r="K130">
        <f>IF(Wizards!$A$9="","",IF(OR(ISNUMBER(SEARCH(", "&amp;$B130&amp;", ", ", "&amp;INDEX('Form Responses'!$I$1:$Q$200,9,$A130)&amp;", ")),ISNUMBER(SEARCH(", "&amp;$B130&amp;", ", ", "&amp;INDEX('Form Responses'!$R$1:$R$200,9)&amp;", "))),1,""))</f>
        <v/>
      </c>
      <c r="L130">
        <f>IF(Wizards!$A$10="","",IF(OR(ISNUMBER(SEARCH(", "&amp;$B130&amp;", ", ", "&amp;INDEX('Form Responses'!$I$1:$Q$200,10,$A130)&amp;", ")),ISNUMBER(SEARCH(", "&amp;$B130&amp;", ", ", "&amp;INDEX('Form Responses'!$R$1:$R$200,10)&amp;", "))),1,""))</f>
        <v/>
      </c>
      <c r="M130">
        <f>IF(Wizards!$A$11="","",IF(OR(ISNUMBER(SEARCH(", "&amp;$B130&amp;", ", ", "&amp;INDEX('Form Responses'!$I$1:$Q$200,11,$A130)&amp;", ")),ISNUMBER(SEARCH(", "&amp;$B130&amp;", ", ", "&amp;INDEX('Form Responses'!$R$1:$R$200,11)&amp;", "))),1,""))</f>
        <v/>
      </c>
      <c r="N130">
        <f>IF(Wizards!$A$12="","",IF(OR(ISNUMBER(SEARCH(", "&amp;$B130&amp;", ", ", "&amp;INDEX('Form Responses'!$I$1:$Q$200,12,$A130)&amp;", ")),ISNUMBER(SEARCH(", "&amp;$B130&amp;", ", ", "&amp;INDEX('Form Responses'!$R$1:$R$200,12)&amp;", "))),1,""))</f>
        <v/>
      </c>
      <c r="O130">
        <f>IF(Wizards!$A$13="","",IF(OR(ISNUMBER(SEARCH(", "&amp;$B130&amp;", ", ", "&amp;INDEX('Form Responses'!$I$1:$Q$200,13,$A130)&amp;", ")),ISNUMBER(SEARCH(", "&amp;$B130&amp;", ", ", "&amp;INDEX('Form Responses'!$R$1:$R$200,13)&amp;", "))),1,""))</f>
        <v/>
      </c>
      <c r="P130">
        <f>IF(Wizards!$A$14="","",IF(OR(ISNUMBER(SEARCH(", "&amp;$B130&amp;", ", ", "&amp;INDEX('Form Responses'!$I$1:$Q$200,14,$A130)&amp;", ")),ISNUMBER(SEARCH(", "&amp;$B130&amp;", ", ", "&amp;INDEX('Form Responses'!$R$1:$R$200,14)&amp;", "))),1,""))</f>
        <v/>
      </c>
      <c r="Q130">
        <f>IF(Wizards!$A$15="","",IF(OR(ISNUMBER(SEARCH(", "&amp;$B130&amp;", ", ", "&amp;INDEX('Form Responses'!$I$1:$Q$200,15,$A130)&amp;", ")),ISNUMBER(SEARCH(", "&amp;$B130&amp;", ", ", "&amp;INDEX('Form Responses'!$R$1:$R$200,15)&amp;", "))),1,""))</f>
        <v/>
      </c>
      <c r="R130">
        <f>IF(Wizards!$A$16="","",IF(OR(ISNUMBER(SEARCH(", "&amp;$B130&amp;", ", ", "&amp;INDEX('Form Responses'!$I$1:$Q$200,16,$A130)&amp;", ")),ISNUMBER(SEARCH(", "&amp;$B130&amp;", ", ", "&amp;INDEX('Form Responses'!$R$1:$R$200,16)&amp;", "))),1,""))</f>
        <v/>
      </c>
      <c r="S130">
        <f>IF(Wizards!$A$17="","",IF(OR(ISNUMBER(SEARCH(", "&amp;$B130&amp;", ", ", "&amp;INDEX('Form Responses'!$I$1:$Q$200,17,$A130)&amp;", ")),ISNUMBER(SEARCH(", "&amp;$B130&amp;", ", ", "&amp;INDEX('Form Responses'!$R$1:$R$200,17)&amp;", "))),1,""))</f>
        <v/>
      </c>
      <c r="T130">
        <f>IF(Wizards!$A$18="","",IF(OR(ISNUMBER(SEARCH(", "&amp;$B130&amp;", ", ", "&amp;INDEX('Form Responses'!$I$1:$Q$200,18,$A130)&amp;", ")),ISNUMBER(SEARCH(", "&amp;$B130&amp;", ", ", "&amp;INDEX('Form Responses'!$R$1:$R$200,18)&amp;", "))),1,""))</f>
        <v/>
      </c>
      <c r="U130">
        <f>IF(Wizards!$A$19="","",IF(OR(ISNUMBER(SEARCH(", "&amp;$B130&amp;", ", ", "&amp;INDEX('Form Responses'!$I$1:$Q$200,19,$A130)&amp;", ")),ISNUMBER(SEARCH(", "&amp;$B130&amp;", ", ", "&amp;INDEX('Form Responses'!$R$1:$R$200,19)&amp;", "))),1,""))</f>
        <v/>
      </c>
      <c r="V130">
        <f>IF(Wizards!$A$20="","",IF(OR(ISNUMBER(SEARCH(", "&amp;$B130&amp;", ", ", "&amp;INDEX('Form Responses'!$I$1:$Q$200,20,$A130)&amp;", ")),ISNUMBER(SEARCH(", "&amp;$B130&amp;", ", ", "&amp;INDEX('Form Responses'!$R$1:$R$200,20)&amp;", "))),1,""))</f>
        <v/>
      </c>
      <c r="W130">
        <f>IF(Wizards!$A$21="","",IF(OR(ISNUMBER(SEARCH(", "&amp;$B130&amp;", ", ", "&amp;INDEX('Form Responses'!$I$1:$Q$200,21,$A130)&amp;", ")),ISNUMBER(SEARCH(", "&amp;$B130&amp;", ", ", "&amp;INDEX('Form Responses'!$R$1:$R$200,21)&amp;", "))),1,""))</f>
        <v/>
      </c>
      <c r="X130">
        <f>IF(Wizards!$A$22="","",IF(OR(ISNUMBER(SEARCH(", "&amp;$B130&amp;", ", ", "&amp;INDEX('Form Responses'!$I$1:$Q$200,22,$A130)&amp;", ")),ISNUMBER(SEARCH(", "&amp;$B130&amp;", ", ", "&amp;INDEX('Form Responses'!$R$1:$R$200,22)&amp;", "))),1,""))</f>
        <v/>
      </c>
      <c r="Y130">
        <f>IF(Wizards!$A$23="","",IF(OR(ISNUMBER(SEARCH(", "&amp;$B130&amp;", ", ", "&amp;INDEX('Form Responses'!$I$1:$Q$200,23,$A130)&amp;", ")),ISNUMBER(SEARCH(", "&amp;$B130&amp;", ", ", "&amp;INDEX('Form Responses'!$R$1:$R$200,23)&amp;", "))),1,""))</f>
        <v/>
      </c>
      <c r="Z130">
        <f>IF(Wizards!$A$24="","",IF(OR(ISNUMBER(SEARCH(", "&amp;$B130&amp;", ", ", "&amp;INDEX('Form Responses'!$I$1:$Q$200,24,$A130)&amp;", ")),ISNUMBER(SEARCH(", "&amp;$B130&amp;", ", ", "&amp;INDEX('Form Responses'!$R$1:$R$200,24)&amp;", "))),1,""))</f>
        <v/>
      </c>
      <c r="AA130">
        <f>IF(Wizards!$A$25="","",IF(OR(ISNUMBER(SEARCH(", "&amp;$B130&amp;", ", ", "&amp;INDEX('Form Responses'!$I$1:$Q$200,25,$A130)&amp;", ")),ISNUMBER(SEARCH(", "&amp;$B130&amp;", ", ", "&amp;INDEX('Form Responses'!$R$1:$R$200,25)&amp;", "))),1,""))</f>
        <v/>
      </c>
      <c r="AB130">
        <f>IF(D130=1,", "&amp;D$1,"")</f>
        <v/>
      </c>
      <c r="AC130">
        <f>IF(E130=1,", "&amp;E$1,"")</f>
        <v/>
      </c>
      <c r="AD130">
        <f>IF(F130=1,", "&amp;F$1,"")</f>
        <v/>
      </c>
      <c r="AE130">
        <f>IF(G130=1,", "&amp;G$1,"")</f>
        <v/>
      </c>
      <c r="AF130">
        <f>IF(H130=1,", "&amp;H$1,"")</f>
        <v/>
      </c>
      <c r="AG130">
        <f>IF(I130=1,", "&amp;I$1,"")</f>
        <v/>
      </c>
      <c r="AH130">
        <f>IF(J130=1,", "&amp;J$1,"")</f>
        <v/>
      </c>
      <c r="AI130">
        <f>IF(K130=1,", "&amp;K$1,"")</f>
        <v/>
      </c>
      <c r="AJ130">
        <f>IF(L130=1,", "&amp;L$1,"")</f>
        <v/>
      </c>
      <c r="AK130">
        <f>IF(M130=1,", "&amp;M$1,"")</f>
        <v/>
      </c>
      <c r="AL130">
        <f>IF(N130=1,", "&amp;N$1,"")</f>
        <v/>
      </c>
      <c r="AM130">
        <f>IF(O130=1,", "&amp;O$1,"")</f>
        <v/>
      </c>
      <c r="AN130">
        <f>IF(P130=1,", "&amp;P$1,"")</f>
        <v/>
      </c>
      <c r="AO130">
        <f>IF(Q130=1,", "&amp;Q$1,"")</f>
        <v/>
      </c>
      <c r="AP130">
        <f>IF(R130=1,", "&amp;R$1,"")</f>
        <v/>
      </c>
      <c r="AQ130">
        <f>IF(S130=1,", "&amp;S$1,"")</f>
        <v/>
      </c>
      <c r="AR130">
        <f>IF(T130=1,", "&amp;T$1,"")</f>
        <v/>
      </c>
      <c r="AS130">
        <f>IF(U130=1,", "&amp;U$1,"")</f>
        <v/>
      </c>
      <c r="AT130">
        <f>IF(V130=1,", "&amp;V$1,"")</f>
        <v/>
      </c>
      <c r="AU130">
        <f>IF(W130=1,", "&amp;W$1,"")</f>
        <v/>
      </c>
      <c r="AV130">
        <f>IF(X130=1,", "&amp;X$1,"")</f>
        <v/>
      </c>
      <c r="AW130">
        <f>IF(Y130=1,", "&amp;Y$1,"")</f>
        <v/>
      </c>
      <c r="AX130">
        <f>IF(Z130=1,", "&amp;Z$1,"")</f>
        <v/>
      </c>
      <c r="AY130">
        <f>IF(AA130=1,", "&amp;AA$1,"")</f>
        <v/>
      </c>
      <c r="AZ130">
        <f>MID($AB130&amp;$AC130&amp;$AD130&amp;$AE130&amp;$AF130&amp;$AG130&amp;$AH130&amp;$AI130&amp;$AJ130&amp;$AK130&amp;$AL130&amp;$AM130&amp;$AN130&amp;$AO130&amp;$AP130&amp;$AQ130&amp;$AR130&amp;$AS130&amp;$AT130&amp;$AU130&amp;$AV130&amp;$AW130&amp;$AX130&amp;$AY130,3,32767)</f>
        <v/>
      </c>
      <c r="BA130">
        <f>COUNT($D130:$AA130)</f>
        <v/>
      </c>
    </row>
    <row r="131">
      <c r="A131" t="n">
        <v>3</v>
      </c>
      <c r="B131" t="inlineStr">
        <is>
          <t>Leomund's Tiny Hut</t>
        </is>
      </c>
      <c r="C131" t="inlineStr">
        <is>
          <t>Evocation</t>
        </is>
      </c>
      <c r="D131">
        <f>IF(Wizards!$A$2="","",IF(OR(ISNUMBER(SEARCH(", "&amp;$B131&amp;", ", ", "&amp;INDEX('Form Responses'!$I$1:$Q$200,2,$A131)&amp;", ")),ISNUMBER(SEARCH(", "&amp;$B131&amp;", ", ", "&amp;INDEX('Form Responses'!$R$1:$R$200,2)&amp;", "))),1,""))</f>
        <v/>
      </c>
      <c r="E131">
        <f>IF(Wizards!$A$3="","",IF(OR(ISNUMBER(SEARCH(", "&amp;$B131&amp;", ", ", "&amp;INDEX('Form Responses'!$I$1:$Q$200,3,$A131)&amp;", ")),ISNUMBER(SEARCH(", "&amp;$B131&amp;", ", ", "&amp;INDEX('Form Responses'!$R$1:$R$200,3)&amp;", "))),1,""))</f>
        <v/>
      </c>
      <c r="F131">
        <f>IF(Wizards!$A$4="","",IF(OR(ISNUMBER(SEARCH(", "&amp;$B131&amp;", ", ", "&amp;INDEX('Form Responses'!$I$1:$Q$200,4,$A131)&amp;", ")),ISNUMBER(SEARCH(", "&amp;$B131&amp;", ", ", "&amp;INDEX('Form Responses'!$R$1:$R$200,4)&amp;", "))),1,""))</f>
        <v/>
      </c>
      <c r="G131">
        <f>IF(Wizards!$A$5="","",IF(OR(ISNUMBER(SEARCH(", "&amp;$B131&amp;", ", ", "&amp;INDEX('Form Responses'!$I$1:$Q$200,5,$A131)&amp;", ")),ISNUMBER(SEARCH(", "&amp;$B131&amp;", ", ", "&amp;INDEX('Form Responses'!$R$1:$R$200,5)&amp;", "))),1,""))</f>
        <v/>
      </c>
      <c r="H131">
        <f>IF(Wizards!$A$6="","",IF(OR(ISNUMBER(SEARCH(", "&amp;$B131&amp;", ", ", "&amp;INDEX('Form Responses'!$I$1:$Q$200,6,$A131)&amp;", ")),ISNUMBER(SEARCH(", "&amp;$B131&amp;", ", ", "&amp;INDEX('Form Responses'!$R$1:$R$200,6)&amp;", "))),1,""))</f>
        <v/>
      </c>
      <c r="I131">
        <f>IF(Wizards!$A$7="","",IF(OR(ISNUMBER(SEARCH(", "&amp;$B131&amp;", ", ", "&amp;INDEX('Form Responses'!$I$1:$Q$200,7,$A131)&amp;", ")),ISNUMBER(SEARCH(", "&amp;$B131&amp;", ", ", "&amp;INDEX('Form Responses'!$R$1:$R$200,7)&amp;", "))),1,""))</f>
        <v/>
      </c>
      <c r="J131">
        <f>IF(Wizards!$A$8="","",IF(OR(ISNUMBER(SEARCH(", "&amp;$B131&amp;", ", ", "&amp;INDEX('Form Responses'!$I$1:$Q$200,8,$A131)&amp;", ")),ISNUMBER(SEARCH(", "&amp;$B131&amp;", ", ", "&amp;INDEX('Form Responses'!$R$1:$R$200,8)&amp;", "))),1,""))</f>
        <v/>
      </c>
      <c r="K131">
        <f>IF(Wizards!$A$9="","",IF(OR(ISNUMBER(SEARCH(", "&amp;$B131&amp;", ", ", "&amp;INDEX('Form Responses'!$I$1:$Q$200,9,$A131)&amp;", ")),ISNUMBER(SEARCH(", "&amp;$B131&amp;", ", ", "&amp;INDEX('Form Responses'!$R$1:$R$200,9)&amp;", "))),1,""))</f>
        <v/>
      </c>
      <c r="L131">
        <f>IF(Wizards!$A$10="","",IF(OR(ISNUMBER(SEARCH(", "&amp;$B131&amp;", ", ", "&amp;INDEX('Form Responses'!$I$1:$Q$200,10,$A131)&amp;", ")),ISNUMBER(SEARCH(", "&amp;$B131&amp;", ", ", "&amp;INDEX('Form Responses'!$R$1:$R$200,10)&amp;", "))),1,""))</f>
        <v/>
      </c>
      <c r="M131">
        <f>IF(Wizards!$A$11="","",IF(OR(ISNUMBER(SEARCH(", "&amp;$B131&amp;", ", ", "&amp;INDEX('Form Responses'!$I$1:$Q$200,11,$A131)&amp;", ")),ISNUMBER(SEARCH(", "&amp;$B131&amp;", ", ", "&amp;INDEX('Form Responses'!$R$1:$R$200,11)&amp;", "))),1,""))</f>
        <v/>
      </c>
      <c r="N131">
        <f>IF(Wizards!$A$12="","",IF(OR(ISNUMBER(SEARCH(", "&amp;$B131&amp;", ", ", "&amp;INDEX('Form Responses'!$I$1:$Q$200,12,$A131)&amp;", ")),ISNUMBER(SEARCH(", "&amp;$B131&amp;", ", ", "&amp;INDEX('Form Responses'!$R$1:$R$200,12)&amp;", "))),1,""))</f>
        <v/>
      </c>
      <c r="O131">
        <f>IF(Wizards!$A$13="","",IF(OR(ISNUMBER(SEARCH(", "&amp;$B131&amp;", ", ", "&amp;INDEX('Form Responses'!$I$1:$Q$200,13,$A131)&amp;", ")),ISNUMBER(SEARCH(", "&amp;$B131&amp;", ", ", "&amp;INDEX('Form Responses'!$R$1:$R$200,13)&amp;", "))),1,""))</f>
        <v/>
      </c>
      <c r="P131">
        <f>IF(Wizards!$A$14="","",IF(OR(ISNUMBER(SEARCH(", "&amp;$B131&amp;", ", ", "&amp;INDEX('Form Responses'!$I$1:$Q$200,14,$A131)&amp;", ")),ISNUMBER(SEARCH(", "&amp;$B131&amp;", ", ", "&amp;INDEX('Form Responses'!$R$1:$R$200,14)&amp;", "))),1,""))</f>
        <v/>
      </c>
      <c r="Q131">
        <f>IF(Wizards!$A$15="","",IF(OR(ISNUMBER(SEARCH(", "&amp;$B131&amp;", ", ", "&amp;INDEX('Form Responses'!$I$1:$Q$200,15,$A131)&amp;", ")),ISNUMBER(SEARCH(", "&amp;$B131&amp;", ", ", "&amp;INDEX('Form Responses'!$R$1:$R$200,15)&amp;", "))),1,""))</f>
        <v/>
      </c>
      <c r="R131">
        <f>IF(Wizards!$A$16="","",IF(OR(ISNUMBER(SEARCH(", "&amp;$B131&amp;", ", ", "&amp;INDEX('Form Responses'!$I$1:$Q$200,16,$A131)&amp;", ")),ISNUMBER(SEARCH(", "&amp;$B131&amp;", ", ", "&amp;INDEX('Form Responses'!$R$1:$R$200,16)&amp;", "))),1,""))</f>
        <v/>
      </c>
      <c r="S131">
        <f>IF(Wizards!$A$17="","",IF(OR(ISNUMBER(SEARCH(", "&amp;$B131&amp;", ", ", "&amp;INDEX('Form Responses'!$I$1:$Q$200,17,$A131)&amp;", ")),ISNUMBER(SEARCH(", "&amp;$B131&amp;", ", ", "&amp;INDEX('Form Responses'!$R$1:$R$200,17)&amp;", "))),1,""))</f>
        <v/>
      </c>
      <c r="T131">
        <f>IF(Wizards!$A$18="","",IF(OR(ISNUMBER(SEARCH(", "&amp;$B131&amp;", ", ", "&amp;INDEX('Form Responses'!$I$1:$Q$200,18,$A131)&amp;", ")),ISNUMBER(SEARCH(", "&amp;$B131&amp;", ", ", "&amp;INDEX('Form Responses'!$R$1:$R$200,18)&amp;", "))),1,""))</f>
        <v/>
      </c>
      <c r="U131">
        <f>IF(Wizards!$A$19="","",IF(OR(ISNUMBER(SEARCH(", "&amp;$B131&amp;", ", ", "&amp;INDEX('Form Responses'!$I$1:$Q$200,19,$A131)&amp;", ")),ISNUMBER(SEARCH(", "&amp;$B131&amp;", ", ", "&amp;INDEX('Form Responses'!$R$1:$R$200,19)&amp;", "))),1,""))</f>
        <v/>
      </c>
      <c r="V131">
        <f>IF(Wizards!$A$20="","",IF(OR(ISNUMBER(SEARCH(", "&amp;$B131&amp;", ", ", "&amp;INDEX('Form Responses'!$I$1:$Q$200,20,$A131)&amp;", ")),ISNUMBER(SEARCH(", "&amp;$B131&amp;", ", ", "&amp;INDEX('Form Responses'!$R$1:$R$200,20)&amp;", "))),1,""))</f>
        <v/>
      </c>
      <c r="W131">
        <f>IF(Wizards!$A$21="","",IF(OR(ISNUMBER(SEARCH(", "&amp;$B131&amp;", ", ", "&amp;INDEX('Form Responses'!$I$1:$Q$200,21,$A131)&amp;", ")),ISNUMBER(SEARCH(", "&amp;$B131&amp;", ", ", "&amp;INDEX('Form Responses'!$R$1:$R$200,21)&amp;", "))),1,""))</f>
        <v/>
      </c>
      <c r="X131">
        <f>IF(Wizards!$A$22="","",IF(OR(ISNUMBER(SEARCH(", "&amp;$B131&amp;", ", ", "&amp;INDEX('Form Responses'!$I$1:$Q$200,22,$A131)&amp;", ")),ISNUMBER(SEARCH(", "&amp;$B131&amp;", ", ", "&amp;INDEX('Form Responses'!$R$1:$R$200,22)&amp;", "))),1,""))</f>
        <v/>
      </c>
      <c r="Y131">
        <f>IF(Wizards!$A$23="","",IF(OR(ISNUMBER(SEARCH(", "&amp;$B131&amp;", ", ", "&amp;INDEX('Form Responses'!$I$1:$Q$200,23,$A131)&amp;", ")),ISNUMBER(SEARCH(", "&amp;$B131&amp;", ", ", "&amp;INDEX('Form Responses'!$R$1:$R$200,23)&amp;", "))),1,""))</f>
        <v/>
      </c>
      <c r="Z131">
        <f>IF(Wizards!$A$24="","",IF(OR(ISNUMBER(SEARCH(", "&amp;$B131&amp;", ", ", "&amp;INDEX('Form Responses'!$I$1:$Q$200,24,$A131)&amp;", ")),ISNUMBER(SEARCH(", "&amp;$B131&amp;", ", ", "&amp;INDEX('Form Responses'!$R$1:$R$200,24)&amp;", "))),1,""))</f>
        <v/>
      </c>
      <c r="AA131">
        <f>IF(Wizards!$A$25="","",IF(OR(ISNUMBER(SEARCH(", "&amp;$B131&amp;", ", ", "&amp;INDEX('Form Responses'!$I$1:$Q$200,25,$A131)&amp;", ")),ISNUMBER(SEARCH(", "&amp;$B131&amp;", ", ", "&amp;INDEX('Form Responses'!$R$1:$R$200,25)&amp;", "))),1,""))</f>
        <v/>
      </c>
      <c r="AB131">
        <f>IF(D131=1,", "&amp;D$1,"")</f>
        <v/>
      </c>
      <c r="AC131">
        <f>IF(E131=1,", "&amp;E$1,"")</f>
        <v/>
      </c>
      <c r="AD131">
        <f>IF(F131=1,", "&amp;F$1,"")</f>
        <v/>
      </c>
      <c r="AE131">
        <f>IF(G131=1,", "&amp;G$1,"")</f>
        <v/>
      </c>
      <c r="AF131">
        <f>IF(H131=1,", "&amp;H$1,"")</f>
        <v/>
      </c>
      <c r="AG131">
        <f>IF(I131=1,", "&amp;I$1,"")</f>
        <v/>
      </c>
      <c r="AH131">
        <f>IF(J131=1,", "&amp;J$1,"")</f>
        <v/>
      </c>
      <c r="AI131">
        <f>IF(K131=1,", "&amp;K$1,"")</f>
        <v/>
      </c>
      <c r="AJ131">
        <f>IF(L131=1,", "&amp;L$1,"")</f>
        <v/>
      </c>
      <c r="AK131">
        <f>IF(M131=1,", "&amp;M$1,"")</f>
        <v/>
      </c>
      <c r="AL131">
        <f>IF(N131=1,", "&amp;N$1,"")</f>
        <v/>
      </c>
      <c r="AM131">
        <f>IF(O131=1,", "&amp;O$1,"")</f>
        <v/>
      </c>
      <c r="AN131">
        <f>IF(P131=1,", "&amp;P$1,"")</f>
        <v/>
      </c>
      <c r="AO131">
        <f>IF(Q131=1,", "&amp;Q$1,"")</f>
        <v/>
      </c>
      <c r="AP131">
        <f>IF(R131=1,", "&amp;R$1,"")</f>
        <v/>
      </c>
      <c r="AQ131">
        <f>IF(S131=1,", "&amp;S$1,"")</f>
        <v/>
      </c>
      <c r="AR131">
        <f>IF(T131=1,", "&amp;T$1,"")</f>
        <v/>
      </c>
      <c r="AS131">
        <f>IF(U131=1,", "&amp;U$1,"")</f>
        <v/>
      </c>
      <c r="AT131">
        <f>IF(V131=1,", "&amp;V$1,"")</f>
        <v/>
      </c>
      <c r="AU131">
        <f>IF(W131=1,", "&amp;W$1,"")</f>
        <v/>
      </c>
      <c r="AV131">
        <f>IF(X131=1,", "&amp;X$1,"")</f>
        <v/>
      </c>
      <c r="AW131">
        <f>IF(Y131=1,", "&amp;Y$1,"")</f>
        <v/>
      </c>
      <c r="AX131">
        <f>IF(Z131=1,", "&amp;Z$1,"")</f>
        <v/>
      </c>
      <c r="AY131">
        <f>IF(AA131=1,", "&amp;AA$1,"")</f>
        <v/>
      </c>
      <c r="AZ131">
        <f>MID($AB131&amp;$AC131&amp;$AD131&amp;$AE131&amp;$AF131&amp;$AG131&amp;$AH131&amp;$AI131&amp;$AJ131&amp;$AK131&amp;$AL131&amp;$AM131&amp;$AN131&amp;$AO131&amp;$AP131&amp;$AQ131&amp;$AR131&amp;$AS131&amp;$AT131&amp;$AU131&amp;$AV131&amp;$AW131&amp;$AX131&amp;$AY131,3,32767)</f>
        <v/>
      </c>
      <c r="BA131">
        <f>COUNT($D131:$AA131)</f>
        <v/>
      </c>
    </row>
    <row r="132">
      <c r="A132" t="n">
        <v>3</v>
      </c>
      <c r="B132" t="inlineStr">
        <is>
          <t>Life Transference</t>
        </is>
      </c>
      <c r="C132" t="inlineStr">
        <is>
          <t>Necromancy</t>
        </is>
      </c>
      <c r="D132">
        <f>IF(Wizards!$A$2="","",IF(OR(ISNUMBER(SEARCH(", "&amp;$B132&amp;", ", ", "&amp;INDEX('Form Responses'!$I$1:$Q$200,2,$A132)&amp;", ")),ISNUMBER(SEARCH(", "&amp;$B132&amp;", ", ", "&amp;INDEX('Form Responses'!$R$1:$R$200,2)&amp;", "))),1,""))</f>
        <v/>
      </c>
      <c r="E132">
        <f>IF(Wizards!$A$3="","",IF(OR(ISNUMBER(SEARCH(", "&amp;$B132&amp;", ", ", "&amp;INDEX('Form Responses'!$I$1:$Q$200,3,$A132)&amp;", ")),ISNUMBER(SEARCH(", "&amp;$B132&amp;", ", ", "&amp;INDEX('Form Responses'!$R$1:$R$200,3)&amp;", "))),1,""))</f>
        <v/>
      </c>
      <c r="F132">
        <f>IF(Wizards!$A$4="","",IF(OR(ISNUMBER(SEARCH(", "&amp;$B132&amp;", ", ", "&amp;INDEX('Form Responses'!$I$1:$Q$200,4,$A132)&amp;", ")),ISNUMBER(SEARCH(", "&amp;$B132&amp;", ", ", "&amp;INDEX('Form Responses'!$R$1:$R$200,4)&amp;", "))),1,""))</f>
        <v/>
      </c>
      <c r="G132">
        <f>IF(Wizards!$A$5="","",IF(OR(ISNUMBER(SEARCH(", "&amp;$B132&amp;", ", ", "&amp;INDEX('Form Responses'!$I$1:$Q$200,5,$A132)&amp;", ")),ISNUMBER(SEARCH(", "&amp;$B132&amp;", ", ", "&amp;INDEX('Form Responses'!$R$1:$R$200,5)&amp;", "))),1,""))</f>
        <v/>
      </c>
      <c r="H132">
        <f>IF(Wizards!$A$6="","",IF(OR(ISNUMBER(SEARCH(", "&amp;$B132&amp;", ", ", "&amp;INDEX('Form Responses'!$I$1:$Q$200,6,$A132)&amp;", ")),ISNUMBER(SEARCH(", "&amp;$B132&amp;", ", ", "&amp;INDEX('Form Responses'!$R$1:$R$200,6)&amp;", "))),1,""))</f>
        <v/>
      </c>
      <c r="I132">
        <f>IF(Wizards!$A$7="","",IF(OR(ISNUMBER(SEARCH(", "&amp;$B132&amp;", ", ", "&amp;INDEX('Form Responses'!$I$1:$Q$200,7,$A132)&amp;", ")),ISNUMBER(SEARCH(", "&amp;$B132&amp;", ", ", "&amp;INDEX('Form Responses'!$R$1:$R$200,7)&amp;", "))),1,""))</f>
        <v/>
      </c>
      <c r="J132">
        <f>IF(Wizards!$A$8="","",IF(OR(ISNUMBER(SEARCH(", "&amp;$B132&amp;", ", ", "&amp;INDEX('Form Responses'!$I$1:$Q$200,8,$A132)&amp;", ")),ISNUMBER(SEARCH(", "&amp;$B132&amp;", ", ", "&amp;INDEX('Form Responses'!$R$1:$R$200,8)&amp;", "))),1,""))</f>
        <v/>
      </c>
      <c r="K132">
        <f>IF(Wizards!$A$9="","",IF(OR(ISNUMBER(SEARCH(", "&amp;$B132&amp;", ", ", "&amp;INDEX('Form Responses'!$I$1:$Q$200,9,$A132)&amp;", ")),ISNUMBER(SEARCH(", "&amp;$B132&amp;", ", ", "&amp;INDEX('Form Responses'!$R$1:$R$200,9)&amp;", "))),1,""))</f>
        <v/>
      </c>
      <c r="L132">
        <f>IF(Wizards!$A$10="","",IF(OR(ISNUMBER(SEARCH(", "&amp;$B132&amp;", ", ", "&amp;INDEX('Form Responses'!$I$1:$Q$200,10,$A132)&amp;", ")),ISNUMBER(SEARCH(", "&amp;$B132&amp;", ", ", "&amp;INDEX('Form Responses'!$R$1:$R$200,10)&amp;", "))),1,""))</f>
        <v/>
      </c>
      <c r="M132">
        <f>IF(Wizards!$A$11="","",IF(OR(ISNUMBER(SEARCH(", "&amp;$B132&amp;", ", ", "&amp;INDEX('Form Responses'!$I$1:$Q$200,11,$A132)&amp;", ")),ISNUMBER(SEARCH(", "&amp;$B132&amp;", ", ", "&amp;INDEX('Form Responses'!$R$1:$R$200,11)&amp;", "))),1,""))</f>
        <v/>
      </c>
      <c r="N132">
        <f>IF(Wizards!$A$12="","",IF(OR(ISNUMBER(SEARCH(", "&amp;$B132&amp;", ", ", "&amp;INDEX('Form Responses'!$I$1:$Q$200,12,$A132)&amp;", ")),ISNUMBER(SEARCH(", "&amp;$B132&amp;", ", ", "&amp;INDEX('Form Responses'!$R$1:$R$200,12)&amp;", "))),1,""))</f>
        <v/>
      </c>
      <c r="O132">
        <f>IF(Wizards!$A$13="","",IF(OR(ISNUMBER(SEARCH(", "&amp;$B132&amp;", ", ", "&amp;INDEX('Form Responses'!$I$1:$Q$200,13,$A132)&amp;", ")),ISNUMBER(SEARCH(", "&amp;$B132&amp;", ", ", "&amp;INDEX('Form Responses'!$R$1:$R$200,13)&amp;", "))),1,""))</f>
        <v/>
      </c>
      <c r="P132">
        <f>IF(Wizards!$A$14="","",IF(OR(ISNUMBER(SEARCH(", "&amp;$B132&amp;", ", ", "&amp;INDEX('Form Responses'!$I$1:$Q$200,14,$A132)&amp;", ")),ISNUMBER(SEARCH(", "&amp;$B132&amp;", ", ", "&amp;INDEX('Form Responses'!$R$1:$R$200,14)&amp;", "))),1,""))</f>
        <v/>
      </c>
      <c r="Q132">
        <f>IF(Wizards!$A$15="","",IF(OR(ISNUMBER(SEARCH(", "&amp;$B132&amp;", ", ", "&amp;INDEX('Form Responses'!$I$1:$Q$200,15,$A132)&amp;", ")),ISNUMBER(SEARCH(", "&amp;$B132&amp;", ", ", "&amp;INDEX('Form Responses'!$R$1:$R$200,15)&amp;", "))),1,""))</f>
        <v/>
      </c>
      <c r="R132">
        <f>IF(Wizards!$A$16="","",IF(OR(ISNUMBER(SEARCH(", "&amp;$B132&amp;", ", ", "&amp;INDEX('Form Responses'!$I$1:$Q$200,16,$A132)&amp;", ")),ISNUMBER(SEARCH(", "&amp;$B132&amp;", ", ", "&amp;INDEX('Form Responses'!$R$1:$R$200,16)&amp;", "))),1,""))</f>
        <v/>
      </c>
      <c r="S132">
        <f>IF(Wizards!$A$17="","",IF(OR(ISNUMBER(SEARCH(", "&amp;$B132&amp;", ", ", "&amp;INDEX('Form Responses'!$I$1:$Q$200,17,$A132)&amp;", ")),ISNUMBER(SEARCH(", "&amp;$B132&amp;", ", ", "&amp;INDEX('Form Responses'!$R$1:$R$200,17)&amp;", "))),1,""))</f>
        <v/>
      </c>
      <c r="T132">
        <f>IF(Wizards!$A$18="","",IF(OR(ISNUMBER(SEARCH(", "&amp;$B132&amp;", ", ", "&amp;INDEX('Form Responses'!$I$1:$Q$200,18,$A132)&amp;", ")),ISNUMBER(SEARCH(", "&amp;$B132&amp;", ", ", "&amp;INDEX('Form Responses'!$R$1:$R$200,18)&amp;", "))),1,""))</f>
        <v/>
      </c>
      <c r="U132">
        <f>IF(Wizards!$A$19="","",IF(OR(ISNUMBER(SEARCH(", "&amp;$B132&amp;", ", ", "&amp;INDEX('Form Responses'!$I$1:$Q$200,19,$A132)&amp;", ")),ISNUMBER(SEARCH(", "&amp;$B132&amp;", ", ", "&amp;INDEX('Form Responses'!$R$1:$R$200,19)&amp;", "))),1,""))</f>
        <v/>
      </c>
      <c r="V132">
        <f>IF(Wizards!$A$20="","",IF(OR(ISNUMBER(SEARCH(", "&amp;$B132&amp;", ", ", "&amp;INDEX('Form Responses'!$I$1:$Q$200,20,$A132)&amp;", ")),ISNUMBER(SEARCH(", "&amp;$B132&amp;", ", ", "&amp;INDEX('Form Responses'!$R$1:$R$200,20)&amp;", "))),1,""))</f>
        <v/>
      </c>
      <c r="W132">
        <f>IF(Wizards!$A$21="","",IF(OR(ISNUMBER(SEARCH(", "&amp;$B132&amp;", ", ", "&amp;INDEX('Form Responses'!$I$1:$Q$200,21,$A132)&amp;", ")),ISNUMBER(SEARCH(", "&amp;$B132&amp;", ", ", "&amp;INDEX('Form Responses'!$R$1:$R$200,21)&amp;", "))),1,""))</f>
        <v/>
      </c>
      <c r="X132">
        <f>IF(Wizards!$A$22="","",IF(OR(ISNUMBER(SEARCH(", "&amp;$B132&amp;", ", ", "&amp;INDEX('Form Responses'!$I$1:$Q$200,22,$A132)&amp;", ")),ISNUMBER(SEARCH(", "&amp;$B132&amp;", ", ", "&amp;INDEX('Form Responses'!$R$1:$R$200,22)&amp;", "))),1,""))</f>
        <v/>
      </c>
      <c r="Y132">
        <f>IF(Wizards!$A$23="","",IF(OR(ISNUMBER(SEARCH(", "&amp;$B132&amp;", ", ", "&amp;INDEX('Form Responses'!$I$1:$Q$200,23,$A132)&amp;", ")),ISNUMBER(SEARCH(", "&amp;$B132&amp;", ", ", "&amp;INDEX('Form Responses'!$R$1:$R$200,23)&amp;", "))),1,""))</f>
        <v/>
      </c>
      <c r="Z132">
        <f>IF(Wizards!$A$24="","",IF(OR(ISNUMBER(SEARCH(", "&amp;$B132&amp;", ", ", "&amp;INDEX('Form Responses'!$I$1:$Q$200,24,$A132)&amp;", ")),ISNUMBER(SEARCH(", "&amp;$B132&amp;", ", ", "&amp;INDEX('Form Responses'!$R$1:$R$200,24)&amp;", "))),1,""))</f>
        <v/>
      </c>
      <c r="AA132">
        <f>IF(Wizards!$A$25="","",IF(OR(ISNUMBER(SEARCH(", "&amp;$B132&amp;", ", ", "&amp;INDEX('Form Responses'!$I$1:$Q$200,25,$A132)&amp;", ")),ISNUMBER(SEARCH(", "&amp;$B132&amp;", ", ", "&amp;INDEX('Form Responses'!$R$1:$R$200,25)&amp;", "))),1,""))</f>
        <v/>
      </c>
      <c r="AB132">
        <f>IF(D132=1,", "&amp;D$1,"")</f>
        <v/>
      </c>
      <c r="AC132">
        <f>IF(E132=1,", "&amp;E$1,"")</f>
        <v/>
      </c>
      <c r="AD132">
        <f>IF(F132=1,", "&amp;F$1,"")</f>
        <v/>
      </c>
      <c r="AE132">
        <f>IF(G132=1,", "&amp;G$1,"")</f>
        <v/>
      </c>
      <c r="AF132">
        <f>IF(H132=1,", "&amp;H$1,"")</f>
        <v/>
      </c>
      <c r="AG132">
        <f>IF(I132=1,", "&amp;I$1,"")</f>
        <v/>
      </c>
      <c r="AH132">
        <f>IF(J132=1,", "&amp;J$1,"")</f>
        <v/>
      </c>
      <c r="AI132">
        <f>IF(K132=1,", "&amp;K$1,"")</f>
        <v/>
      </c>
      <c r="AJ132">
        <f>IF(L132=1,", "&amp;L$1,"")</f>
        <v/>
      </c>
      <c r="AK132">
        <f>IF(M132=1,", "&amp;M$1,"")</f>
        <v/>
      </c>
      <c r="AL132">
        <f>IF(N132=1,", "&amp;N$1,"")</f>
        <v/>
      </c>
      <c r="AM132">
        <f>IF(O132=1,", "&amp;O$1,"")</f>
        <v/>
      </c>
      <c r="AN132">
        <f>IF(P132=1,", "&amp;P$1,"")</f>
        <v/>
      </c>
      <c r="AO132">
        <f>IF(Q132=1,", "&amp;Q$1,"")</f>
        <v/>
      </c>
      <c r="AP132">
        <f>IF(R132=1,", "&amp;R$1,"")</f>
        <v/>
      </c>
      <c r="AQ132">
        <f>IF(S132=1,", "&amp;S$1,"")</f>
        <v/>
      </c>
      <c r="AR132">
        <f>IF(T132=1,", "&amp;T$1,"")</f>
        <v/>
      </c>
      <c r="AS132">
        <f>IF(U132=1,", "&amp;U$1,"")</f>
        <v/>
      </c>
      <c r="AT132">
        <f>IF(V132=1,", "&amp;V$1,"")</f>
        <v/>
      </c>
      <c r="AU132">
        <f>IF(W132=1,", "&amp;W$1,"")</f>
        <v/>
      </c>
      <c r="AV132">
        <f>IF(X132=1,", "&amp;X$1,"")</f>
        <v/>
      </c>
      <c r="AW132">
        <f>IF(Y132=1,", "&amp;Y$1,"")</f>
        <v/>
      </c>
      <c r="AX132">
        <f>IF(Z132=1,", "&amp;Z$1,"")</f>
        <v/>
      </c>
      <c r="AY132">
        <f>IF(AA132=1,", "&amp;AA$1,"")</f>
        <v/>
      </c>
      <c r="AZ132">
        <f>MID($AB132&amp;$AC132&amp;$AD132&amp;$AE132&amp;$AF132&amp;$AG132&amp;$AH132&amp;$AI132&amp;$AJ132&amp;$AK132&amp;$AL132&amp;$AM132&amp;$AN132&amp;$AO132&amp;$AP132&amp;$AQ132&amp;$AR132&amp;$AS132&amp;$AT132&amp;$AU132&amp;$AV132&amp;$AW132&amp;$AX132&amp;$AY132,3,32767)</f>
        <v/>
      </c>
      <c r="BA132">
        <f>COUNT($D132:$AA132)</f>
        <v/>
      </c>
    </row>
    <row r="133">
      <c r="A133" t="n">
        <v>3</v>
      </c>
      <c r="B133" t="inlineStr">
        <is>
          <t>Lightning Bolt</t>
        </is>
      </c>
      <c r="C133" t="inlineStr">
        <is>
          <t>Evocation</t>
        </is>
      </c>
      <c r="D133">
        <f>IF(Wizards!$A$2="","",IF(OR(ISNUMBER(SEARCH(", "&amp;$B133&amp;", ", ", "&amp;INDEX('Form Responses'!$I$1:$Q$200,2,$A133)&amp;", ")),ISNUMBER(SEARCH(", "&amp;$B133&amp;", ", ", "&amp;INDEX('Form Responses'!$R$1:$R$200,2)&amp;", "))),1,""))</f>
        <v/>
      </c>
      <c r="E133">
        <f>IF(Wizards!$A$3="","",IF(OR(ISNUMBER(SEARCH(", "&amp;$B133&amp;", ", ", "&amp;INDEX('Form Responses'!$I$1:$Q$200,3,$A133)&amp;", ")),ISNUMBER(SEARCH(", "&amp;$B133&amp;", ", ", "&amp;INDEX('Form Responses'!$R$1:$R$200,3)&amp;", "))),1,""))</f>
        <v/>
      </c>
      <c r="F133">
        <f>IF(Wizards!$A$4="","",IF(OR(ISNUMBER(SEARCH(", "&amp;$B133&amp;", ", ", "&amp;INDEX('Form Responses'!$I$1:$Q$200,4,$A133)&amp;", ")),ISNUMBER(SEARCH(", "&amp;$B133&amp;", ", ", "&amp;INDEX('Form Responses'!$R$1:$R$200,4)&amp;", "))),1,""))</f>
        <v/>
      </c>
      <c r="G133">
        <f>IF(Wizards!$A$5="","",IF(OR(ISNUMBER(SEARCH(", "&amp;$B133&amp;", ", ", "&amp;INDEX('Form Responses'!$I$1:$Q$200,5,$A133)&amp;", ")),ISNUMBER(SEARCH(", "&amp;$B133&amp;", ", ", "&amp;INDEX('Form Responses'!$R$1:$R$200,5)&amp;", "))),1,""))</f>
        <v/>
      </c>
      <c r="H133">
        <f>IF(Wizards!$A$6="","",IF(OR(ISNUMBER(SEARCH(", "&amp;$B133&amp;", ", ", "&amp;INDEX('Form Responses'!$I$1:$Q$200,6,$A133)&amp;", ")),ISNUMBER(SEARCH(", "&amp;$B133&amp;", ", ", "&amp;INDEX('Form Responses'!$R$1:$R$200,6)&amp;", "))),1,""))</f>
        <v/>
      </c>
      <c r="I133">
        <f>IF(Wizards!$A$7="","",IF(OR(ISNUMBER(SEARCH(", "&amp;$B133&amp;", ", ", "&amp;INDEX('Form Responses'!$I$1:$Q$200,7,$A133)&amp;", ")),ISNUMBER(SEARCH(", "&amp;$B133&amp;", ", ", "&amp;INDEX('Form Responses'!$R$1:$R$200,7)&amp;", "))),1,""))</f>
        <v/>
      </c>
      <c r="J133">
        <f>IF(Wizards!$A$8="","",IF(OR(ISNUMBER(SEARCH(", "&amp;$B133&amp;", ", ", "&amp;INDEX('Form Responses'!$I$1:$Q$200,8,$A133)&amp;", ")),ISNUMBER(SEARCH(", "&amp;$B133&amp;", ", ", "&amp;INDEX('Form Responses'!$R$1:$R$200,8)&amp;", "))),1,""))</f>
        <v/>
      </c>
      <c r="K133">
        <f>IF(Wizards!$A$9="","",IF(OR(ISNUMBER(SEARCH(", "&amp;$B133&amp;", ", ", "&amp;INDEX('Form Responses'!$I$1:$Q$200,9,$A133)&amp;", ")),ISNUMBER(SEARCH(", "&amp;$B133&amp;", ", ", "&amp;INDEX('Form Responses'!$R$1:$R$200,9)&amp;", "))),1,""))</f>
        <v/>
      </c>
      <c r="L133">
        <f>IF(Wizards!$A$10="","",IF(OR(ISNUMBER(SEARCH(", "&amp;$B133&amp;", ", ", "&amp;INDEX('Form Responses'!$I$1:$Q$200,10,$A133)&amp;", ")),ISNUMBER(SEARCH(", "&amp;$B133&amp;", ", ", "&amp;INDEX('Form Responses'!$R$1:$R$200,10)&amp;", "))),1,""))</f>
        <v/>
      </c>
      <c r="M133">
        <f>IF(Wizards!$A$11="","",IF(OR(ISNUMBER(SEARCH(", "&amp;$B133&amp;", ", ", "&amp;INDEX('Form Responses'!$I$1:$Q$200,11,$A133)&amp;", ")),ISNUMBER(SEARCH(", "&amp;$B133&amp;", ", ", "&amp;INDEX('Form Responses'!$R$1:$R$200,11)&amp;", "))),1,""))</f>
        <v/>
      </c>
      <c r="N133">
        <f>IF(Wizards!$A$12="","",IF(OR(ISNUMBER(SEARCH(", "&amp;$B133&amp;", ", ", "&amp;INDEX('Form Responses'!$I$1:$Q$200,12,$A133)&amp;", ")),ISNUMBER(SEARCH(", "&amp;$B133&amp;", ", ", "&amp;INDEX('Form Responses'!$R$1:$R$200,12)&amp;", "))),1,""))</f>
        <v/>
      </c>
      <c r="O133">
        <f>IF(Wizards!$A$13="","",IF(OR(ISNUMBER(SEARCH(", "&amp;$B133&amp;", ", ", "&amp;INDEX('Form Responses'!$I$1:$Q$200,13,$A133)&amp;", ")),ISNUMBER(SEARCH(", "&amp;$B133&amp;", ", ", "&amp;INDEX('Form Responses'!$R$1:$R$200,13)&amp;", "))),1,""))</f>
        <v/>
      </c>
      <c r="P133">
        <f>IF(Wizards!$A$14="","",IF(OR(ISNUMBER(SEARCH(", "&amp;$B133&amp;", ", ", "&amp;INDEX('Form Responses'!$I$1:$Q$200,14,$A133)&amp;", ")),ISNUMBER(SEARCH(", "&amp;$B133&amp;", ", ", "&amp;INDEX('Form Responses'!$R$1:$R$200,14)&amp;", "))),1,""))</f>
        <v/>
      </c>
      <c r="Q133">
        <f>IF(Wizards!$A$15="","",IF(OR(ISNUMBER(SEARCH(", "&amp;$B133&amp;", ", ", "&amp;INDEX('Form Responses'!$I$1:$Q$200,15,$A133)&amp;", ")),ISNUMBER(SEARCH(", "&amp;$B133&amp;", ", ", "&amp;INDEX('Form Responses'!$R$1:$R$200,15)&amp;", "))),1,""))</f>
        <v/>
      </c>
      <c r="R133">
        <f>IF(Wizards!$A$16="","",IF(OR(ISNUMBER(SEARCH(", "&amp;$B133&amp;", ", ", "&amp;INDEX('Form Responses'!$I$1:$Q$200,16,$A133)&amp;", ")),ISNUMBER(SEARCH(", "&amp;$B133&amp;", ", ", "&amp;INDEX('Form Responses'!$R$1:$R$200,16)&amp;", "))),1,""))</f>
        <v/>
      </c>
      <c r="S133">
        <f>IF(Wizards!$A$17="","",IF(OR(ISNUMBER(SEARCH(", "&amp;$B133&amp;", ", ", "&amp;INDEX('Form Responses'!$I$1:$Q$200,17,$A133)&amp;", ")),ISNUMBER(SEARCH(", "&amp;$B133&amp;", ", ", "&amp;INDEX('Form Responses'!$R$1:$R$200,17)&amp;", "))),1,""))</f>
        <v/>
      </c>
      <c r="T133">
        <f>IF(Wizards!$A$18="","",IF(OR(ISNUMBER(SEARCH(", "&amp;$B133&amp;", ", ", "&amp;INDEX('Form Responses'!$I$1:$Q$200,18,$A133)&amp;", ")),ISNUMBER(SEARCH(", "&amp;$B133&amp;", ", ", "&amp;INDEX('Form Responses'!$R$1:$R$200,18)&amp;", "))),1,""))</f>
        <v/>
      </c>
      <c r="U133">
        <f>IF(Wizards!$A$19="","",IF(OR(ISNUMBER(SEARCH(", "&amp;$B133&amp;", ", ", "&amp;INDEX('Form Responses'!$I$1:$Q$200,19,$A133)&amp;", ")),ISNUMBER(SEARCH(", "&amp;$B133&amp;", ", ", "&amp;INDEX('Form Responses'!$R$1:$R$200,19)&amp;", "))),1,""))</f>
        <v/>
      </c>
      <c r="V133">
        <f>IF(Wizards!$A$20="","",IF(OR(ISNUMBER(SEARCH(", "&amp;$B133&amp;", ", ", "&amp;INDEX('Form Responses'!$I$1:$Q$200,20,$A133)&amp;", ")),ISNUMBER(SEARCH(", "&amp;$B133&amp;", ", ", "&amp;INDEX('Form Responses'!$R$1:$R$200,20)&amp;", "))),1,""))</f>
        <v/>
      </c>
      <c r="W133">
        <f>IF(Wizards!$A$21="","",IF(OR(ISNUMBER(SEARCH(", "&amp;$B133&amp;", ", ", "&amp;INDEX('Form Responses'!$I$1:$Q$200,21,$A133)&amp;", ")),ISNUMBER(SEARCH(", "&amp;$B133&amp;", ", ", "&amp;INDEX('Form Responses'!$R$1:$R$200,21)&amp;", "))),1,""))</f>
        <v/>
      </c>
      <c r="X133">
        <f>IF(Wizards!$A$22="","",IF(OR(ISNUMBER(SEARCH(", "&amp;$B133&amp;", ", ", "&amp;INDEX('Form Responses'!$I$1:$Q$200,22,$A133)&amp;", ")),ISNUMBER(SEARCH(", "&amp;$B133&amp;", ", ", "&amp;INDEX('Form Responses'!$R$1:$R$200,22)&amp;", "))),1,""))</f>
        <v/>
      </c>
      <c r="Y133">
        <f>IF(Wizards!$A$23="","",IF(OR(ISNUMBER(SEARCH(", "&amp;$B133&amp;", ", ", "&amp;INDEX('Form Responses'!$I$1:$Q$200,23,$A133)&amp;", ")),ISNUMBER(SEARCH(", "&amp;$B133&amp;", ", ", "&amp;INDEX('Form Responses'!$R$1:$R$200,23)&amp;", "))),1,""))</f>
        <v/>
      </c>
      <c r="Z133">
        <f>IF(Wizards!$A$24="","",IF(OR(ISNUMBER(SEARCH(", "&amp;$B133&amp;", ", ", "&amp;INDEX('Form Responses'!$I$1:$Q$200,24,$A133)&amp;", ")),ISNUMBER(SEARCH(", "&amp;$B133&amp;", ", ", "&amp;INDEX('Form Responses'!$R$1:$R$200,24)&amp;", "))),1,""))</f>
        <v/>
      </c>
      <c r="AA133">
        <f>IF(Wizards!$A$25="","",IF(OR(ISNUMBER(SEARCH(", "&amp;$B133&amp;", ", ", "&amp;INDEX('Form Responses'!$I$1:$Q$200,25,$A133)&amp;", ")),ISNUMBER(SEARCH(", "&amp;$B133&amp;", ", ", "&amp;INDEX('Form Responses'!$R$1:$R$200,25)&amp;", "))),1,""))</f>
        <v/>
      </c>
      <c r="AB133">
        <f>IF(D133=1,", "&amp;D$1,"")</f>
        <v/>
      </c>
      <c r="AC133">
        <f>IF(E133=1,", "&amp;E$1,"")</f>
        <v/>
      </c>
      <c r="AD133">
        <f>IF(F133=1,", "&amp;F$1,"")</f>
        <v/>
      </c>
      <c r="AE133">
        <f>IF(G133=1,", "&amp;G$1,"")</f>
        <v/>
      </c>
      <c r="AF133">
        <f>IF(H133=1,", "&amp;H$1,"")</f>
        <v/>
      </c>
      <c r="AG133">
        <f>IF(I133=1,", "&amp;I$1,"")</f>
        <v/>
      </c>
      <c r="AH133">
        <f>IF(J133=1,", "&amp;J$1,"")</f>
        <v/>
      </c>
      <c r="AI133">
        <f>IF(K133=1,", "&amp;K$1,"")</f>
        <v/>
      </c>
      <c r="AJ133">
        <f>IF(L133=1,", "&amp;L$1,"")</f>
        <v/>
      </c>
      <c r="AK133">
        <f>IF(M133=1,", "&amp;M$1,"")</f>
        <v/>
      </c>
      <c r="AL133">
        <f>IF(N133=1,", "&amp;N$1,"")</f>
        <v/>
      </c>
      <c r="AM133">
        <f>IF(O133=1,", "&amp;O$1,"")</f>
        <v/>
      </c>
      <c r="AN133">
        <f>IF(P133=1,", "&amp;P$1,"")</f>
        <v/>
      </c>
      <c r="AO133">
        <f>IF(Q133=1,", "&amp;Q$1,"")</f>
        <v/>
      </c>
      <c r="AP133">
        <f>IF(R133=1,", "&amp;R$1,"")</f>
        <v/>
      </c>
      <c r="AQ133">
        <f>IF(S133=1,", "&amp;S$1,"")</f>
        <v/>
      </c>
      <c r="AR133">
        <f>IF(T133=1,", "&amp;T$1,"")</f>
        <v/>
      </c>
      <c r="AS133">
        <f>IF(U133=1,", "&amp;U$1,"")</f>
        <v/>
      </c>
      <c r="AT133">
        <f>IF(V133=1,", "&amp;V$1,"")</f>
        <v/>
      </c>
      <c r="AU133">
        <f>IF(W133=1,", "&amp;W$1,"")</f>
        <v/>
      </c>
      <c r="AV133">
        <f>IF(X133=1,", "&amp;X$1,"")</f>
        <v/>
      </c>
      <c r="AW133">
        <f>IF(Y133=1,", "&amp;Y$1,"")</f>
        <v/>
      </c>
      <c r="AX133">
        <f>IF(Z133=1,", "&amp;Z$1,"")</f>
        <v/>
      </c>
      <c r="AY133">
        <f>IF(AA133=1,", "&amp;AA$1,"")</f>
        <v/>
      </c>
      <c r="AZ133">
        <f>MID($AB133&amp;$AC133&amp;$AD133&amp;$AE133&amp;$AF133&amp;$AG133&amp;$AH133&amp;$AI133&amp;$AJ133&amp;$AK133&amp;$AL133&amp;$AM133&amp;$AN133&amp;$AO133&amp;$AP133&amp;$AQ133&amp;$AR133&amp;$AS133&amp;$AT133&amp;$AU133&amp;$AV133&amp;$AW133&amp;$AX133&amp;$AY133,3,32767)</f>
        <v/>
      </c>
      <c r="BA133">
        <f>COUNT($D133:$AA133)</f>
        <v/>
      </c>
    </row>
    <row r="134">
      <c r="A134" t="n">
        <v>3</v>
      </c>
      <c r="B134" t="inlineStr">
        <is>
          <t>Magic Circle</t>
        </is>
      </c>
      <c r="C134" t="inlineStr">
        <is>
          <t>Abjuration</t>
        </is>
      </c>
      <c r="D134">
        <f>IF(Wizards!$A$2="","",IF(OR(ISNUMBER(SEARCH(", "&amp;$B134&amp;", ", ", "&amp;INDEX('Form Responses'!$I$1:$Q$200,2,$A134)&amp;", ")),ISNUMBER(SEARCH(", "&amp;$B134&amp;", ", ", "&amp;INDEX('Form Responses'!$R$1:$R$200,2)&amp;", "))),1,""))</f>
        <v/>
      </c>
      <c r="E134">
        <f>IF(Wizards!$A$3="","",IF(OR(ISNUMBER(SEARCH(", "&amp;$B134&amp;", ", ", "&amp;INDEX('Form Responses'!$I$1:$Q$200,3,$A134)&amp;", ")),ISNUMBER(SEARCH(", "&amp;$B134&amp;", ", ", "&amp;INDEX('Form Responses'!$R$1:$R$200,3)&amp;", "))),1,""))</f>
        <v/>
      </c>
      <c r="F134">
        <f>IF(Wizards!$A$4="","",IF(OR(ISNUMBER(SEARCH(", "&amp;$B134&amp;", ", ", "&amp;INDEX('Form Responses'!$I$1:$Q$200,4,$A134)&amp;", ")),ISNUMBER(SEARCH(", "&amp;$B134&amp;", ", ", "&amp;INDEX('Form Responses'!$R$1:$R$200,4)&amp;", "))),1,""))</f>
        <v/>
      </c>
      <c r="G134">
        <f>IF(Wizards!$A$5="","",IF(OR(ISNUMBER(SEARCH(", "&amp;$B134&amp;", ", ", "&amp;INDEX('Form Responses'!$I$1:$Q$200,5,$A134)&amp;", ")),ISNUMBER(SEARCH(", "&amp;$B134&amp;", ", ", "&amp;INDEX('Form Responses'!$R$1:$R$200,5)&amp;", "))),1,""))</f>
        <v/>
      </c>
      <c r="H134">
        <f>IF(Wizards!$A$6="","",IF(OR(ISNUMBER(SEARCH(", "&amp;$B134&amp;", ", ", "&amp;INDEX('Form Responses'!$I$1:$Q$200,6,$A134)&amp;", ")),ISNUMBER(SEARCH(", "&amp;$B134&amp;", ", ", "&amp;INDEX('Form Responses'!$R$1:$R$200,6)&amp;", "))),1,""))</f>
        <v/>
      </c>
      <c r="I134">
        <f>IF(Wizards!$A$7="","",IF(OR(ISNUMBER(SEARCH(", "&amp;$B134&amp;", ", ", "&amp;INDEX('Form Responses'!$I$1:$Q$200,7,$A134)&amp;", ")),ISNUMBER(SEARCH(", "&amp;$B134&amp;", ", ", "&amp;INDEX('Form Responses'!$R$1:$R$200,7)&amp;", "))),1,""))</f>
        <v/>
      </c>
      <c r="J134">
        <f>IF(Wizards!$A$8="","",IF(OR(ISNUMBER(SEARCH(", "&amp;$B134&amp;", ", ", "&amp;INDEX('Form Responses'!$I$1:$Q$200,8,$A134)&amp;", ")),ISNUMBER(SEARCH(", "&amp;$B134&amp;", ", ", "&amp;INDEX('Form Responses'!$R$1:$R$200,8)&amp;", "))),1,""))</f>
        <v/>
      </c>
      <c r="K134">
        <f>IF(Wizards!$A$9="","",IF(OR(ISNUMBER(SEARCH(", "&amp;$B134&amp;", ", ", "&amp;INDEX('Form Responses'!$I$1:$Q$200,9,$A134)&amp;", ")),ISNUMBER(SEARCH(", "&amp;$B134&amp;", ", ", "&amp;INDEX('Form Responses'!$R$1:$R$200,9)&amp;", "))),1,""))</f>
        <v/>
      </c>
      <c r="L134">
        <f>IF(Wizards!$A$10="","",IF(OR(ISNUMBER(SEARCH(", "&amp;$B134&amp;", ", ", "&amp;INDEX('Form Responses'!$I$1:$Q$200,10,$A134)&amp;", ")),ISNUMBER(SEARCH(", "&amp;$B134&amp;", ", ", "&amp;INDEX('Form Responses'!$R$1:$R$200,10)&amp;", "))),1,""))</f>
        <v/>
      </c>
      <c r="M134">
        <f>IF(Wizards!$A$11="","",IF(OR(ISNUMBER(SEARCH(", "&amp;$B134&amp;", ", ", "&amp;INDEX('Form Responses'!$I$1:$Q$200,11,$A134)&amp;", ")),ISNUMBER(SEARCH(", "&amp;$B134&amp;", ", ", "&amp;INDEX('Form Responses'!$R$1:$R$200,11)&amp;", "))),1,""))</f>
        <v/>
      </c>
      <c r="N134">
        <f>IF(Wizards!$A$12="","",IF(OR(ISNUMBER(SEARCH(", "&amp;$B134&amp;", ", ", "&amp;INDEX('Form Responses'!$I$1:$Q$200,12,$A134)&amp;", ")),ISNUMBER(SEARCH(", "&amp;$B134&amp;", ", ", "&amp;INDEX('Form Responses'!$R$1:$R$200,12)&amp;", "))),1,""))</f>
        <v/>
      </c>
      <c r="O134">
        <f>IF(Wizards!$A$13="","",IF(OR(ISNUMBER(SEARCH(", "&amp;$B134&amp;", ", ", "&amp;INDEX('Form Responses'!$I$1:$Q$200,13,$A134)&amp;", ")),ISNUMBER(SEARCH(", "&amp;$B134&amp;", ", ", "&amp;INDEX('Form Responses'!$R$1:$R$200,13)&amp;", "))),1,""))</f>
        <v/>
      </c>
      <c r="P134">
        <f>IF(Wizards!$A$14="","",IF(OR(ISNUMBER(SEARCH(", "&amp;$B134&amp;", ", ", "&amp;INDEX('Form Responses'!$I$1:$Q$200,14,$A134)&amp;", ")),ISNUMBER(SEARCH(", "&amp;$B134&amp;", ", ", "&amp;INDEX('Form Responses'!$R$1:$R$200,14)&amp;", "))),1,""))</f>
        <v/>
      </c>
      <c r="Q134">
        <f>IF(Wizards!$A$15="","",IF(OR(ISNUMBER(SEARCH(", "&amp;$B134&amp;", ", ", "&amp;INDEX('Form Responses'!$I$1:$Q$200,15,$A134)&amp;", ")),ISNUMBER(SEARCH(", "&amp;$B134&amp;", ", ", "&amp;INDEX('Form Responses'!$R$1:$R$200,15)&amp;", "))),1,""))</f>
        <v/>
      </c>
      <c r="R134">
        <f>IF(Wizards!$A$16="","",IF(OR(ISNUMBER(SEARCH(", "&amp;$B134&amp;", ", ", "&amp;INDEX('Form Responses'!$I$1:$Q$200,16,$A134)&amp;", ")),ISNUMBER(SEARCH(", "&amp;$B134&amp;", ", ", "&amp;INDEX('Form Responses'!$R$1:$R$200,16)&amp;", "))),1,""))</f>
        <v/>
      </c>
      <c r="S134">
        <f>IF(Wizards!$A$17="","",IF(OR(ISNUMBER(SEARCH(", "&amp;$B134&amp;", ", ", "&amp;INDEX('Form Responses'!$I$1:$Q$200,17,$A134)&amp;", ")),ISNUMBER(SEARCH(", "&amp;$B134&amp;", ", ", "&amp;INDEX('Form Responses'!$R$1:$R$200,17)&amp;", "))),1,""))</f>
        <v/>
      </c>
      <c r="T134">
        <f>IF(Wizards!$A$18="","",IF(OR(ISNUMBER(SEARCH(", "&amp;$B134&amp;", ", ", "&amp;INDEX('Form Responses'!$I$1:$Q$200,18,$A134)&amp;", ")),ISNUMBER(SEARCH(", "&amp;$B134&amp;", ", ", "&amp;INDEX('Form Responses'!$R$1:$R$200,18)&amp;", "))),1,""))</f>
        <v/>
      </c>
      <c r="U134">
        <f>IF(Wizards!$A$19="","",IF(OR(ISNUMBER(SEARCH(", "&amp;$B134&amp;", ", ", "&amp;INDEX('Form Responses'!$I$1:$Q$200,19,$A134)&amp;", ")),ISNUMBER(SEARCH(", "&amp;$B134&amp;", ", ", "&amp;INDEX('Form Responses'!$R$1:$R$200,19)&amp;", "))),1,""))</f>
        <v/>
      </c>
      <c r="V134">
        <f>IF(Wizards!$A$20="","",IF(OR(ISNUMBER(SEARCH(", "&amp;$B134&amp;", ", ", "&amp;INDEX('Form Responses'!$I$1:$Q$200,20,$A134)&amp;", ")),ISNUMBER(SEARCH(", "&amp;$B134&amp;", ", ", "&amp;INDEX('Form Responses'!$R$1:$R$200,20)&amp;", "))),1,""))</f>
        <v/>
      </c>
      <c r="W134">
        <f>IF(Wizards!$A$21="","",IF(OR(ISNUMBER(SEARCH(", "&amp;$B134&amp;", ", ", "&amp;INDEX('Form Responses'!$I$1:$Q$200,21,$A134)&amp;", ")),ISNUMBER(SEARCH(", "&amp;$B134&amp;", ", ", "&amp;INDEX('Form Responses'!$R$1:$R$200,21)&amp;", "))),1,""))</f>
        <v/>
      </c>
      <c r="X134">
        <f>IF(Wizards!$A$22="","",IF(OR(ISNUMBER(SEARCH(", "&amp;$B134&amp;", ", ", "&amp;INDEX('Form Responses'!$I$1:$Q$200,22,$A134)&amp;", ")),ISNUMBER(SEARCH(", "&amp;$B134&amp;", ", ", "&amp;INDEX('Form Responses'!$R$1:$R$200,22)&amp;", "))),1,""))</f>
        <v/>
      </c>
      <c r="Y134">
        <f>IF(Wizards!$A$23="","",IF(OR(ISNUMBER(SEARCH(", "&amp;$B134&amp;", ", ", "&amp;INDEX('Form Responses'!$I$1:$Q$200,23,$A134)&amp;", ")),ISNUMBER(SEARCH(", "&amp;$B134&amp;", ", ", "&amp;INDEX('Form Responses'!$R$1:$R$200,23)&amp;", "))),1,""))</f>
        <v/>
      </c>
      <c r="Z134">
        <f>IF(Wizards!$A$24="","",IF(OR(ISNUMBER(SEARCH(", "&amp;$B134&amp;", ", ", "&amp;INDEX('Form Responses'!$I$1:$Q$200,24,$A134)&amp;", ")),ISNUMBER(SEARCH(", "&amp;$B134&amp;", ", ", "&amp;INDEX('Form Responses'!$R$1:$R$200,24)&amp;", "))),1,""))</f>
        <v/>
      </c>
      <c r="AA134">
        <f>IF(Wizards!$A$25="","",IF(OR(ISNUMBER(SEARCH(", "&amp;$B134&amp;", ", ", "&amp;INDEX('Form Responses'!$I$1:$Q$200,25,$A134)&amp;", ")),ISNUMBER(SEARCH(", "&amp;$B134&amp;", ", ", "&amp;INDEX('Form Responses'!$R$1:$R$200,25)&amp;", "))),1,""))</f>
        <v/>
      </c>
      <c r="AB134">
        <f>IF(D134=1,", "&amp;D$1,"")</f>
        <v/>
      </c>
      <c r="AC134">
        <f>IF(E134=1,", "&amp;E$1,"")</f>
        <v/>
      </c>
      <c r="AD134">
        <f>IF(F134=1,", "&amp;F$1,"")</f>
        <v/>
      </c>
      <c r="AE134">
        <f>IF(G134=1,", "&amp;G$1,"")</f>
        <v/>
      </c>
      <c r="AF134">
        <f>IF(H134=1,", "&amp;H$1,"")</f>
        <v/>
      </c>
      <c r="AG134">
        <f>IF(I134=1,", "&amp;I$1,"")</f>
        <v/>
      </c>
      <c r="AH134">
        <f>IF(J134=1,", "&amp;J$1,"")</f>
        <v/>
      </c>
      <c r="AI134">
        <f>IF(K134=1,", "&amp;K$1,"")</f>
        <v/>
      </c>
      <c r="AJ134">
        <f>IF(L134=1,", "&amp;L$1,"")</f>
        <v/>
      </c>
      <c r="AK134">
        <f>IF(M134=1,", "&amp;M$1,"")</f>
        <v/>
      </c>
      <c r="AL134">
        <f>IF(N134=1,", "&amp;N$1,"")</f>
        <v/>
      </c>
      <c r="AM134">
        <f>IF(O134=1,", "&amp;O$1,"")</f>
        <v/>
      </c>
      <c r="AN134">
        <f>IF(P134=1,", "&amp;P$1,"")</f>
        <v/>
      </c>
      <c r="AO134">
        <f>IF(Q134=1,", "&amp;Q$1,"")</f>
        <v/>
      </c>
      <c r="AP134">
        <f>IF(R134=1,", "&amp;R$1,"")</f>
        <v/>
      </c>
      <c r="AQ134">
        <f>IF(S134=1,", "&amp;S$1,"")</f>
        <v/>
      </c>
      <c r="AR134">
        <f>IF(T134=1,", "&amp;T$1,"")</f>
        <v/>
      </c>
      <c r="AS134">
        <f>IF(U134=1,", "&amp;U$1,"")</f>
        <v/>
      </c>
      <c r="AT134">
        <f>IF(V134=1,", "&amp;V$1,"")</f>
        <v/>
      </c>
      <c r="AU134">
        <f>IF(W134=1,", "&amp;W$1,"")</f>
        <v/>
      </c>
      <c r="AV134">
        <f>IF(X134=1,", "&amp;X$1,"")</f>
        <v/>
      </c>
      <c r="AW134">
        <f>IF(Y134=1,", "&amp;Y$1,"")</f>
        <v/>
      </c>
      <c r="AX134">
        <f>IF(Z134=1,", "&amp;Z$1,"")</f>
        <v/>
      </c>
      <c r="AY134">
        <f>IF(AA134=1,", "&amp;AA$1,"")</f>
        <v/>
      </c>
      <c r="AZ134">
        <f>MID($AB134&amp;$AC134&amp;$AD134&amp;$AE134&amp;$AF134&amp;$AG134&amp;$AH134&amp;$AI134&amp;$AJ134&amp;$AK134&amp;$AL134&amp;$AM134&amp;$AN134&amp;$AO134&amp;$AP134&amp;$AQ134&amp;$AR134&amp;$AS134&amp;$AT134&amp;$AU134&amp;$AV134&amp;$AW134&amp;$AX134&amp;$AY134,3,32767)</f>
        <v/>
      </c>
      <c r="BA134">
        <f>COUNT($D134:$AA134)</f>
        <v/>
      </c>
    </row>
    <row r="135">
      <c r="A135" t="n">
        <v>3</v>
      </c>
      <c r="B135" t="inlineStr">
        <is>
          <t>Major Image</t>
        </is>
      </c>
      <c r="C135" t="inlineStr">
        <is>
          <t>Illusion</t>
        </is>
      </c>
      <c r="D135">
        <f>IF(Wizards!$A$2="","",IF(OR(ISNUMBER(SEARCH(", "&amp;$B135&amp;", ", ", "&amp;INDEX('Form Responses'!$I$1:$Q$200,2,$A135)&amp;", ")),ISNUMBER(SEARCH(", "&amp;$B135&amp;", ", ", "&amp;INDEX('Form Responses'!$R$1:$R$200,2)&amp;", "))),1,""))</f>
        <v/>
      </c>
      <c r="E135">
        <f>IF(Wizards!$A$3="","",IF(OR(ISNUMBER(SEARCH(", "&amp;$B135&amp;", ", ", "&amp;INDEX('Form Responses'!$I$1:$Q$200,3,$A135)&amp;", ")),ISNUMBER(SEARCH(", "&amp;$B135&amp;", ", ", "&amp;INDEX('Form Responses'!$R$1:$R$200,3)&amp;", "))),1,""))</f>
        <v/>
      </c>
      <c r="F135">
        <f>IF(Wizards!$A$4="","",IF(OR(ISNUMBER(SEARCH(", "&amp;$B135&amp;", ", ", "&amp;INDEX('Form Responses'!$I$1:$Q$200,4,$A135)&amp;", ")),ISNUMBER(SEARCH(", "&amp;$B135&amp;", ", ", "&amp;INDEX('Form Responses'!$R$1:$R$200,4)&amp;", "))),1,""))</f>
        <v/>
      </c>
      <c r="G135">
        <f>IF(Wizards!$A$5="","",IF(OR(ISNUMBER(SEARCH(", "&amp;$B135&amp;", ", ", "&amp;INDEX('Form Responses'!$I$1:$Q$200,5,$A135)&amp;", ")),ISNUMBER(SEARCH(", "&amp;$B135&amp;", ", ", "&amp;INDEX('Form Responses'!$R$1:$R$200,5)&amp;", "))),1,""))</f>
        <v/>
      </c>
      <c r="H135">
        <f>IF(Wizards!$A$6="","",IF(OR(ISNUMBER(SEARCH(", "&amp;$B135&amp;", ", ", "&amp;INDEX('Form Responses'!$I$1:$Q$200,6,$A135)&amp;", ")),ISNUMBER(SEARCH(", "&amp;$B135&amp;", ", ", "&amp;INDEX('Form Responses'!$R$1:$R$200,6)&amp;", "))),1,""))</f>
        <v/>
      </c>
      <c r="I135">
        <f>IF(Wizards!$A$7="","",IF(OR(ISNUMBER(SEARCH(", "&amp;$B135&amp;", ", ", "&amp;INDEX('Form Responses'!$I$1:$Q$200,7,$A135)&amp;", ")),ISNUMBER(SEARCH(", "&amp;$B135&amp;", ", ", "&amp;INDEX('Form Responses'!$R$1:$R$200,7)&amp;", "))),1,""))</f>
        <v/>
      </c>
      <c r="J135">
        <f>IF(Wizards!$A$8="","",IF(OR(ISNUMBER(SEARCH(", "&amp;$B135&amp;", ", ", "&amp;INDEX('Form Responses'!$I$1:$Q$200,8,$A135)&amp;", ")),ISNUMBER(SEARCH(", "&amp;$B135&amp;", ", ", "&amp;INDEX('Form Responses'!$R$1:$R$200,8)&amp;", "))),1,""))</f>
        <v/>
      </c>
      <c r="K135">
        <f>IF(Wizards!$A$9="","",IF(OR(ISNUMBER(SEARCH(", "&amp;$B135&amp;", ", ", "&amp;INDEX('Form Responses'!$I$1:$Q$200,9,$A135)&amp;", ")),ISNUMBER(SEARCH(", "&amp;$B135&amp;", ", ", "&amp;INDEX('Form Responses'!$R$1:$R$200,9)&amp;", "))),1,""))</f>
        <v/>
      </c>
      <c r="L135">
        <f>IF(Wizards!$A$10="","",IF(OR(ISNUMBER(SEARCH(", "&amp;$B135&amp;", ", ", "&amp;INDEX('Form Responses'!$I$1:$Q$200,10,$A135)&amp;", ")),ISNUMBER(SEARCH(", "&amp;$B135&amp;", ", ", "&amp;INDEX('Form Responses'!$R$1:$R$200,10)&amp;", "))),1,""))</f>
        <v/>
      </c>
      <c r="M135">
        <f>IF(Wizards!$A$11="","",IF(OR(ISNUMBER(SEARCH(", "&amp;$B135&amp;", ", ", "&amp;INDEX('Form Responses'!$I$1:$Q$200,11,$A135)&amp;", ")),ISNUMBER(SEARCH(", "&amp;$B135&amp;", ", ", "&amp;INDEX('Form Responses'!$R$1:$R$200,11)&amp;", "))),1,""))</f>
        <v/>
      </c>
      <c r="N135">
        <f>IF(Wizards!$A$12="","",IF(OR(ISNUMBER(SEARCH(", "&amp;$B135&amp;", ", ", "&amp;INDEX('Form Responses'!$I$1:$Q$200,12,$A135)&amp;", ")),ISNUMBER(SEARCH(", "&amp;$B135&amp;", ", ", "&amp;INDEX('Form Responses'!$R$1:$R$200,12)&amp;", "))),1,""))</f>
        <v/>
      </c>
      <c r="O135">
        <f>IF(Wizards!$A$13="","",IF(OR(ISNUMBER(SEARCH(", "&amp;$B135&amp;", ", ", "&amp;INDEX('Form Responses'!$I$1:$Q$200,13,$A135)&amp;", ")),ISNUMBER(SEARCH(", "&amp;$B135&amp;", ", ", "&amp;INDEX('Form Responses'!$R$1:$R$200,13)&amp;", "))),1,""))</f>
        <v/>
      </c>
      <c r="P135">
        <f>IF(Wizards!$A$14="","",IF(OR(ISNUMBER(SEARCH(", "&amp;$B135&amp;", ", ", "&amp;INDEX('Form Responses'!$I$1:$Q$200,14,$A135)&amp;", ")),ISNUMBER(SEARCH(", "&amp;$B135&amp;", ", ", "&amp;INDEX('Form Responses'!$R$1:$R$200,14)&amp;", "))),1,""))</f>
        <v/>
      </c>
      <c r="Q135">
        <f>IF(Wizards!$A$15="","",IF(OR(ISNUMBER(SEARCH(", "&amp;$B135&amp;", ", ", "&amp;INDEX('Form Responses'!$I$1:$Q$200,15,$A135)&amp;", ")),ISNUMBER(SEARCH(", "&amp;$B135&amp;", ", ", "&amp;INDEX('Form Responses'!$R$1:$R$200,15)&amp;", "))),1,""))</f>
        <v/>
      </c>
      <c r="R135">
        <f>IF(Wizards!$A$16="","",IF(OR(ISNUMBER(SEARCH(", "&amp;$B135&amp;", ", ", "&amp;INDEX('Form Responses'!$I$1:$Q$200,16,$A135)&amp;", ")),ISNUMBER(SEARCH(", "&amp;$B135&amp;", ", ", "&amp;INDEX('Form Responses'!$R$1:$R$200,16)&amp;", "))),1,""))</f>
        <v/>
      </c>
      <c r="S135">
        <f>IF(Wizards!$A$17="","",IF(OR(ISNUMBER(SEARCH(", "&amp;$B135&amp;", ", ", "&amp;INDEX('Form Responses'!$I$1:$Q$200,17,$A135)&amp;", ")),ISNUMBER(SEARCH(", "&amp;$B135&amp;", ", ", "&amp;INDEX('Form Responses'!$R$1:$R$200,17)&amp;", "))),1,""))</f>
        <v/>
      </c>
      <c r="T135">
        <f>IF(Wizards!$A$18="","",IF(OR(ISNUMBER(SEARCH(", "&amp;$B135&amp;", ", ", "&amp;INDEX('Form Responses'!$I$1:$Q$200,18,$A135)&amp;", ")),ISNUMBER(SEARCH(", "&amp;$B135&amp;", ", ", "&amp;INDEX('Form Responses'!$R$1:$R$200,18)&amp;", "))),1,""))</f>
        <v/>
      </c>
      <c r="U135">
        <f>IF(Wizards!$A$19="","",IF(OR(ISNUMBER(SEARCH(", "&amp;$B135&amp;", ", ", "&amp;INDEX('Form Responses'!$I$1:$Q$200,19,$A135)&amp;", ")),ISNUMBER(SEARCH(", "&amp;$B135&amp;", ", ", "&amp;INDEX('Form Responses'!$R$1:$R$200,19)&amp;", "))),1,""))</f>
        <v/>
      </c>
      <c r="V135">
        <f>IF(Wizards!$A$20="","",IF(OR(ISNUMBER(SEARCH(", "&amp;$B135&amp;", ", ", "&amp;INDEX('Form Responses'!$I$1:$Q$200,20,$A135)&amp;", ")),ISNUMBER(SEARCH(", "&amp;$B135&amp;", ", ", "&amp;INDEX('Form Responses'!$R$1:$R$200,20)&amp;", "))),1,""))</f>
        <v/>
      </c>
      <c r="W135">
        <f>IF(Wizards!$A$21="","",IF(OR(ISNUMBER(SEARCH(", "&amp;$B135&amp;", ", ", "&amp;INDEX('Form Responses'!$I$1:$Q$200,21,$A135)&amp;", ")),ISNUMBER(SEARCH(", "&amp;$B135&amp;", ", ", "&amp;INDEX('Form Responses'!$R$1:$R$200,21)&amp;", "))),1,""))</f>
        <v/>
      </c>
      <c r="X135">
        <f>IF(Wizards!$A$22="","",IF(OR(ISNUMBER(SEARCH(", "&amp;$B135&amp;", ", ", "&amp;INDEX('Form Responses'!$I$1:$Q$200,22,$A135)&amp;", ")),ISNUMBER(SEARCH(", "&amp;$B135&amp;", ", ", "&amp;INDEX('Form Responses'!$R$1:$R$200,22)&amp;", "))),1,""))</f>
        <v/>
      </c>
      <c r="Y135">
        <f>IF(Wizards!$A$23="","",IF(OR(ISNUMBER(SEARCH(", "&amp;$B135&amp;", ", ", "&amp;INDEX('Form Responses'!$I$1:$Q$200,23,$A135)&amp;", ")),ISNUMBER(SEARCH(", "&amp;$B135&amp;", ", ", "&amp;INDEX('Form Responses'!$R$1:$R$200,23)&amp;", "))),1,""))</f>
        <v/>
      </c>
      <c r="Z135">
        <f>IF(Wizards!$A$24="","",IF(OR(ISNUMBER(SEARCH(", "&amp;$B135&amp;", ", ", "&amp;INDEX('Form Responses'!$I$1:$Q$200,24,$A135)&amp;", ")),ISNUMBER(SEARCH(", "&amp;$B135&amp;", ", ", "&amp;INDEX('Form Responses'!$R$1:$R$200,24)&amp;", "))),1,""))</f>
        <v/>
      </c>
      <c r="AA135">
        <f>IF(Wizards!$A$25="","",IF(OR(ISNUMBER(SEARCH(", "&amp;$B135&amp;", ", ", "&amp;INDEX('Form Responses'!$I$1:$Q$200,25,$A135)&amp;", ")),ISNUMBER(SEARCH(", "&amp;$B135&amp;", ", ", "&amp;INDEX('Form Responses'!$R$1:$R$200,25)&amp;", "))),1,""))</f>
        <v/>
      </c>
      <c r="AB135">
        <f>IF(D135=1,", "&amp;D$1,"")</f>
        <v/>
      </c>
      <c r="AC135">
        <f>IF(E135=1,", "&amp;E$1,"")</f>
        <v/>
      </c>
      <c r="AD135">
        <f>IF(F135=1,", "&amp;F$1,"")</f>
        <v/>
      </c>
      <c r="AE135">
        <f>IF(G135=1,", "&amp;G$1,"")</f>
        <v/>
      </c>
      <c r="AF135">
        <f>IF(H135=1,", "&amp;H$1,"")</f>
        <v/>
      </c>
      <c r="AG135">
        <f>IF(I135=1,", "&amp;I$1,"")</f>
        <v/>
      </c>
      <c r="AH135">
        <f>IF(J135=1,", "&amp;J$1,"")</f>
        <v/>
      </c>
      <c r="AI135">
        <f>IF(K135=1,", "&amp;K$1,"")</f>
        <v/>
      </c>
      <c r="AJ135">
        <f>IF(L135=1,", "&amp;L$1,"")</f>
        <v/>
      </c>
      <c r="AK135">
        <f>IF(M135=1,", "&amp;M$1,"")</f>
        <v/>
      </c>
      <c r="AL135">
        <f>IF(N135=1,", "&amp;N$1,"")</f>
        <v/>
      </c>
      <c r="AM135">
        <f>IF(O135=1,", "&amp;O$1,"")</f>
        <v/>
      </c>
      <c r="AN135">
        <f>IF(P135=1,", "&amp;P$1,"")</f>
        <v/>
      </c>
      <c r="AO135">
        <f>IF(Q135=1,", "&amp;Q$1,"")</f>
        <v/>
      </c>
      <c r="AP135">
        <f>IF(R135=1,", "&amp;R$1,"")</f>
        <v/>
      </c>
      <c r="AQ135">
        <f>IF(S135=1,", "&amp;S$1,"")</f>
        <v/>
      </c>
      <c r="AR135">
        <f>IF(T135=1,", "&amp;T$1,"")</f>
        <v/>
      </c>
      <c r="AS135">
        <f>IF(U135=1,", "&amp;U$1,"")</f>
        <v/>
      </c>
      <c r="AT135">
        <f>IF(V135=1,", "&amp;V$1,"")</f>
        <v/>
      </c>
      <c r="AU135">
        <f>IF(W135=1,", "&amp;W$1,"")</f>
        <v/>
      </c>
      <c r="AV135">
        <f>IF(X135=1,", "&amp;X$1,"")</f>
        <v/>
      </c>
      <c r="AW135">
        <f>IF(Y135=1,", "&amp;Y$1,"")</f>
        <v/>
      </c>
      <c r="AX135">
        <f>IF(Z135=1,", "&amp;Z$1,"")</f>
        <v/>
      </c>
      <c r="AY135">
        <f>IF(AA135=1,", "&amp;AA$1,"")</f>
        <v/>
      </c>
      <c r="AZ135">
        <f>MID($AB135&amp;$AC135&amp;$AD135&amp;$AE135&amp;$AF135&amp;$AG135&amp;$AH135&amp;$AI135&amp;$AJ135&amp;$AK135&amp;$AL135&amp;$AM135&amp;$AN135&amp;$AO135&amp;$AP135&amp;$AQ135&amp;$AR135&amp;$AS135&amp;$AT135&amp;$AU135&amp;$AV135&amp;$AW135&amp;$AX135&amp;$AY135,3,32767)</f>
        <v/>
      </c>
      <c r="BA135">
        <f>COUNT($D135:$AA135)</f>
        <v/>
      </c>
    </row>
    <row r="136">
      <c r="A136" t="n">
        <v>3</v>
      </c>
      <c r="B136" t="inlineStr">
        <is>
          <t>Melf's Minute Meteors</t>
        </is>
      </c>
      <c r="C136" t="inlineStr">
        <is>
          <t>Evocation</t>
        </is>
      </c>
      <c r="D136">
        <f>IF(Wizards!$A$2="","",IF(OR(ISNUMBER(SEARCH(", "&amp;$B136&amp;", ", ", "&amp;INDEX('Form Responses'!$I$1:$Q$200,2,$A136)&amp;", ")),ISNUMBER(SEARCH(", "&amp;$B136&amp;", ", ", "&amp;INDEX('Form Responses'!$R$1:$R$200,2)&amp;", "))),1,""))</f>
        <v/>
      </c>
      <c r="E136">
        <f>IF(Wizards!$A$3="","",IF(OR(ISNUMBER(SEARCH(", "&amp;$B136&amp;", ", ", "&amp;INDEX('Form Responses'!$I$1:$Q$200,3,$A136)&amp;", ")),ISNUMBER(SEARCH(", "&amp;$B136&amp;", ", ", "&amp;INDEX('Form Responses'!$R$1:$R$200,3)&amp;", "))),1,""))</f>
        <v/>
      </c>
      <c r="F136">
        <f>IF(Wizards!$A$4="","",IF(OR(ISNUMBER(SEARCH(", "&amp;$B136&amp;", ", ", "&amp;INDEX('Form Responses'!$I$1:$Q$200,4,$A136)&amp;", ")),ISNUMBER(SEARCH(", "&amp;$B136&amp;", ", ", "&amp;INDEX('Form Responses'!$R$1:$R$200,4)&amp;", "))),1,""))</f>
        <v/>
      </c>
      <c r="G136">
        <f>IF(Wizards!$A$5="","",IF(OR(ISNUMBER(SEARCH(", "&amp;$B136&amp;", ", ", "&amp;INDEX('Form Responses'!$I$1:$Q$200,5,$A136)&amp;", ")),ISNUMBER(SEARCH(", "&amp;$B136&amp;", ", ", "&amp;INDEX('Form Responses'!$R$1:$R$200,5)&amp;", "))),1,""))</f>
        <v/>
      </c>
      <c r="H136">
        <f>IF(Wizards!$A$6="","",IF(OR(ISNUMBER(SEARCH(", "&amp;$B136&amp;", ", ", "&amp;INDEX('Form Responses'!$I$1:$Q$200,6,$A136)&amp;", ")),ISNUMBER(SEARCH(", "&amp;$B136&amp;", ", ", "&amp;INDEX('Form Responses'!$R$1:$R$200,6)&amp;", "))),1,""))</f>
        <v/>
      </c>
      <c r="I136">
        <f>IF(Wizards!$A$7="","",IF(OR(ISNUMBER(SEARCH(", "&amp;$B136&amp;", ", ", "&amp;INDEX('Form Responses'!$I$1:$Q$200,7,$A136)&amp;", ")),ISNUMBER(SEARCH(", "&amp;$B136&amp;", ", ", "&amp;INDEX('Form Responses'!$R$1:$R$200,7)&amp;", "))),1,""))</f>
        <v/>
      </c>
      <c r="J136">
        <f>IF(Wizards!$A$8="","",IF(OR(ISNUMBER(SEARCH(", "&amp;$B136&amp;", ", ", "&amp;INDEX('Form Responses'!$I$1:$Q$200,8,$A136)&amp;", ")),ISNUMBER(SEARCH(", "&amp;$B136&amp;", ", ", "&amp;INDEX('Form Responses'!$R$1:$R$200,8)&amp;", "))),1,""))</f>
        <v/>
      </c>
      <c r="K136">
        <f>IF(Wizards!$A$9="","",IF(OR(ISNUMBER(SEARCH(", "&amp;$B136&amp;", ", ", "&amp;INDEX('Form Responses'!$I$1:$Q$200,9,$A136)&amp;", ")),ISNUMBER(SEARCH(", "&amp;$B136&amp;", ", ", "&amp;INDEX('Form Responses'!$R$1:$R$200,9)&amp;", "))),1,""))</f>
        <v/>
      </c>
      <c r="L136">
        <f>IF(Wizards!$A$10="","",IF(OR(ISNUMBER(SEARCH(", "&amp;$B136&amp;", ", ", "&amp;INDEX('Form Responses'!$I$1:$Q$200,10,$A136)&amp;", ")),ISNUMBER(SEARCH(", "&amp;$B136&amp;", ", ", "&amp;INDEX('Form Responses'!$R$1:$R$200,10)&amp;", "))),1,""))</f>
        <v/>
      </c>
      <c r="M136">
        <f>IF(Wizards!$A$11="","",IF(OR(ISNUMBER(SEARCH(", "&amp;$B136&amp;", ", ", "&amp;INDEX('Form Responses'!$I$1:$Q$200,11,$A136)&amp;", ")),ISNUMBER(SEARCH(", "&amp;$B136&amp;", ", ", "&amp;INDEX('Form Responses'!$R$1:$R$200,11)&amp;", "))),1,""))</f>
        <v/>
      </c>
      <c r="N136">
        <f>IF(Wizards!$A$12="","",IF(OR(ISNUMBER(SEARCH(", "&amp;$B136&amp;", ", ", "&amp;INDEX('Form Responses'!$I$1:$Q$200,12,$A136)&amp;", ")),ISNUMBER(SEARCH(", "&amp;$B136&amp;", ", ", "&amp;INDEX('Form Responses'!$R$1:$R$200,12)&amp;", "))),1,""))</f>
        <v/>
      </c>
      <c r="O136">
        <f>IF(Wizards!$A$13="","",IF(OR(ISNUMBER(SEARCH(", "&amp;$B136&amp;", ", ", "&amp;INDEX('Form Responses'!$I$1:$Q$200,13,$A136)&amp;", ")),ISNUMBER(SEARCH(", "&amp;$B136&amp;", ", ", "&amp;INDEX('Form Responses'!$R$1:$R$200,13)&amp;", "))),1,""))</f>
        <v/>
      </c>
      <c r="P136">
        <f>IF(Wizards!$A$14="","",IF(OR(ISNUMBER(SEARCH(", "&amp;$B136&amp;", ", ", "&amp;INDEX('Form Responses'!$I$1:$Q$200,14,$A136)&amp;", ")),ISNUMBER(SEARCH(", "&amp;$B136&amp;", ", ", "&amp;INDEX('Form Responses'!$R$1:$R$200,14)&amp;", "))),1,""))</f>
        <v/>
      </c>
      <c r="Q136">
        <f>IF(Wizards!$A$15="","",IF(OR(ISNUMBER(SEARCH(", "&amp;$B136&amp;", ", ", "&amp;INDEX('Form Responses'!$I$1:$Q$200,15,$A136)&amp;", ")),ISNUMBER(SEARCH(", "&amp;$B136&amp;", ", ", "&amp;INDEX('Form Responses'!$R$1:$R$200,15)&amp;", "))),1,""))</f>
        <v/>
      </c>
      <c r="R136">
        <f>IF(Wizards!$A$16="","",IF(OR(ISNUMBER(SEARCH(", "&amp;$B136&amp;", ", ", "&amp;INDEX('Form Responses'!$I$1:$Q$200,16,$A136)&amp;", ")),ISNUMBER(SEARCH(", "&amp;$B136&amp;", ", ", "&amp;INDEX('Form Responses'!$R$1:$R$200,16)&amp;", "))),1,""))</f>
        <v/>
      </c>
      <c r="S136">
        <f>IF(Wizards!$A$17="","",IF(OR(ISNUMBER(SEARCH(", "&amp;$B136&amp;", ", ", "&amp;INDEX('Form Responses'!$I$1:$Q$200,17,$A136)&amp;", ")),ISNUMBER(SEARCH(", "&amp;$B136&amp;", ", ", "&amp;INDEX('Form Responses'!$R$1:$R$200,17)&amp;", "))),1,""))</f>
        <v/>
      </c>
      <c r="T136">
        <f>IF(Wizards!$A$18="","",IF(OR(ISNUMBER(SEARCH(", "&amp;$B136&amp;", ", ", "&amp;INDEX('Form Responses'!$I$1:$Q$200,18,$A136)&amp;", ")),ISNUMBER(SEARCH(", "&amp;$B136&amp;", ", ", "&amp;INDEX('Form Responses'!$R$1:$R$200,18)&amp;", "))),1,""))</f>
        <v/>
      </c>
      <c r="U136">
        <f>IF(Wizards!$A$19="","",IF(OR(ISNUMBER(SEARCH(", "&amp;$B136&amp;", ", ", "&amp;INDEX('Form Responses'!$I$1:$Q$200,19,$A136)&amp;", ")),ISNUMBER(SEARCH(", "&amp;$B136&amp;", ", ", "&amp;INDEX('Form Responses'!$R$1:$R$200,19)&amp;", "))),1,""))</f>
        <v/>
      </c>
      <c r="V136">
        <f>IF(Wizards!$A$20="","",IF(OR(ISNUMBER(SEARCH(", "&amp;$B136&amp;", ", ", "&amp;INDEX('Form Responses'!$I$1:$Q$200,20,$A136)&amp;", ")),ISNUMBER(SEARCH(", "&amp;$B136&amp;", ", ", "&amp;INDEX('Form Responses'!$R$1:$R$200,20)&amp;", "))),1,""))</f>
        <v/>
      </c>
      <c r="W136">
        <f>IF(Wizards!$A$21="","",IF(OR(ISNUMBER(SEARCH(", "&amp;$B136&amp;", ", ", "&amp;INDEX('Form Responses'!$I$1:$Q$200,21,$A136)&amp;", ")),ISNUMBER(SEARCH(", "&amp;$B136&amp;", ", ", "&amp;INDEX('Form Responses'!$R$1:$R$200,21)&amp;", "))),1,""))</f>
        <v/>
      </c>
      <c r="X136">
        <f>IF(Wizards!$A$22="","",IF(OR(ISNUMBER(SEARCH(", "&amp;$B136&amp;", ", ", "&amp;INDEX('Form Responses'!$I$1:$Q$200,22,$A136)&amp;", ")),ISNUMBER(SEARCH(", "&amp;$B136&amp;", ", ", "&amp;INDEX('Form Responses'!$R$1:$R$200,22)&amp;", "))),1,""))</f>
        <v/>
      </c>
      <c r="Y136">
        <f>IF(Wizards!$A$23="","",IF(OR(ISNUMBER(SEARCH(", "&amp;$B136&amp;", ", ", "&amp;INDEX('Form Responses'!$I$1:$Q$200,23,$A136)&amp;", ")),ISNUMBER(SEARCH(", "&amp;$B136&amp;", ", ", "&amp;INDEX('Form Responses'!$R$1:$R$200,23)&amp;", "))),1,""))</f>
        <v/>
      </c>
      <c r="Z136">
        <f>IF(Wizards!$A$24="","",IF(OR(ISNUMBER(SEARCH(", "&amp;$B136&amp;", ", ", "&amp;INDEX('Form Responses'!$I$1:$Q$200,24,$A136)&amp;", ")),ISNUMBER(SEARCH(", "&amp;$B136&amp;", ", ", "&amp;INDEX('Form Responses'!$R$1:$R$200,24)&amp;", "))),1,""))</f>
        <v/>
      </c>
      <c r="AA136">
        <f>IF(Wizards!$A$25="","",IF(OR(ISNUMBER(SEARCH(", "&amp;$B136&amp;", ", ", "&amp;INDEX('Form Responses'!$I$1:$Q$200,25,$A136)&amp;", ")),ISNUMBER(SEARCH(", "&amp;$B136&amp;", ", ", "&amp;INDEX('Form Responses'!$R$1:$R$200,25)&amp;", "))),1,""))</f>
        <v/>
      </c>
      <c r="AB136">
        <f>IF(D136=1,", "&amp;D$1,"")</f>
        <v/>
      </c>
      <c r="AC136">
        <f>IF(E136=1,", "&amp;E$1,"")</f>
        <v/>
      </c>
      <c r="AD136">
        <f>IF(F136=1,", "&amp;F$1,"")</f>
        <v/>
      </c>
      <c r="AE136">
        <f>IF(G136=1,", "&amp;G$1,"")</f>
        <v/>
      </c>
      <c r="AF136">
        <f>IF(H136=1,", "&amp;H$1,"")</f>
        <v/>
      </c>
      <c r="AG136">
        <f>IF(I136=1,", "&amp;I$1,"")</f>
        <v/>
      </c>
      <c r="AH136">
        <f>IF(J136=1,", "&amp;J$1,"")</f>
        <v/>
      </c>
      <c r="AI136">
        <f>IF(K136=1,", "&amp;K$1,"")</f>
        <v/>
      </c>
      <c r="AJ136">
        <f>IF(L136=1,", "&amp;L$1,"")</f>
        <v/>
      </c>
      <c r="AK136">
        <f>IF(M136=1,", "&amp;M$1,"")</f>
        <v/>
      </c>
      <c r="AL136">
        <f>IF(N136=1,", "&amp;N$1,"")</f>
        <v/>
      </c>
      <c r="AM136">
        <f>IF(O136=1,", "&amp;O$1,"")</f>
        <v/>
      </c>
      <c r="AN136">
        <f>IF(P136=1,", "&amp;P$1,"")</f>
        <v/>
      </c>
      <c r="AO136">
        <f>IF(Q136=1,", "&amp;Q$1,"")</f>
        <v/>
      </c>
      <c r="AP136">
        <f>IF(R136=1,", "&amp;R$1,"")</f>
        <v/>
      </c>
      <c r="AQ136">
        <f>IF(S136=1,", "&amp;S$1,"")</f>
        <v/>
      </c>
      <c r="AR136">
        <f>IF(T136=1,", "&amp;T$1,"")</f>
        <v/>
      </c>
      <c r="AS136">
        <f>IF(U136=1,", "&amp;U$1,"")</f>
        <v/>
      </c>
      <c r="AT136">
        <f>IF(V136=1,", "&amp;V$1,"")</f>
        <v/>
      </c>
      <c r="AU136">
        <f>IF(W136=1,", "&amp;W$1,"")</f>
        <v/>
      </c>
      <c r="AV136">
        <f>IF(X136=1,", "&amp;X$1,"")</f>
        <v/>
      </c>
      <c r="AW136">
        <f>IF(Y136=1,", "&amp;Y$1,"")</f>
        <v/>
      </c>
      <c r="AX136">
        <f>IF(Z136=1,", "&amp;Z$1,"")</f>
        <v/>
      </c>
      <c r="AY136">
        <f>IF(AA136=1,", "&amp;AA$1,"")</f>
        <v/>
      </c>
      <c r="AZ136">
        <f>MID($AB136&amp;$AC136&amp;$AD136&amp;$AE136&amp;$AF136&amp;$AG136&amp;$AH136&amp;$AI136&amp;$AJ136&amp;$AK136&amp;$AL136&amp;$AM136&amp;$AN136&amp;$AO136&amp;$AP136&amp;$AQ136&amp;$AR136&amp;$AS136&amp;$AT136&amp;$AU136&amp;$AV136&amp;$AW136&amp;$AX136&amp;$AY136,3,32767)</f>
        <v/>
      </c>
      <c r="BA136">
        <f>COUNT($D136:$AA136)</f>
        <v/>
      </c>
    </row>
    <row r="137">
      <c r="A137" t="n">
        <v>3</v>
      </c>
      <c r="B137" t="inlineStr">
        <is>
          <t>Nondetection</t>
        </is>
      </c>
      <c r="C137" t="inlineStr">
        <is>
          <t>Abjuration</t>
        </is>
      </c>
      <c r="D137">
        <f>IF(Wizards!$A$2="","",IF(OR(ISNUMBER(SEARCH(", "&amp;$B137&amp;", ", ", "&amp;INDEX('Form Responses'!$I$1:$Q$200,2,$A137)&amp;", ")),ISNUMBER(SEARCH(", "&amp;$B137&amp;", ", ", "&amp;INDEX('Form Responses'!$R$1:$R$200,2)&amp;", "))),1,""))</f>
        <v/>
      </c>
      <c r="E137">
        <f>IF(Wizards!$A$3="","",IF(OR(ISNUMBER(SEARCH(", "&amp;$B137&amp;", ", ", "&amp;INDEX('Form Responses'!$I$1:$Q$200,3,$A137)&amp;", ")),ISNUMBER(SEARCH(", "&amp;$B137&amp;", ", ", "&amp;INDEX('Form Responses'!$R$1:$R$200,3)&amp;", "))),1,""))</f>
        <v/>
      </c>
      <c r="F137">
        <f>IF(Wizards!$A$4="","",IF(OR(ISNUMBER(SEARCH(", "&amp;$B137&amp;", ", ", "&amp;INDEX('Form Responses'!$I$1:$Q$200,4,$A137)&amp;", ")),ISNUMBER(SEARCH(", "&amp;$B137&amp;", ", ", "&amp;INDEX('Form Responses'!$R$1:$R$200,4)&amp;", "))),1,""))</f>
        <v/>
      </c>
      <c r="G137">
        <f>IF(Wizards!$A$5="","",IF(OR(ISNUMBER(SEARCH(", "&amp;$B137&amp;", ", ", "&amp;INDEX('Form Responses'!$I$1:$Q$200,5,$A137)&amp;", ")),ISNUMBER(SEARCH(", "&amp;$B137&amp;", ", ", "&amp;INDEX('Form Responses'!$R$1:$R$200,5)&amp;", "))),1,""))</f>
        <v/>
      </c>
      <c r="H137">
        <f>IF(Wizards!$A$6="","",IF(OR(ISNUMBER(SEARCH(", "&amp;$B137&amp;", ", ", "&amp;INDEX('Form Responses'!$I$1:$Q$200,6,$A137)&amp;", ")),ISNUMBER(SEARCH(", "&amp;$B137&amp;", ", ", "&amp;INDEX('Form Responses'!$R$1:$R$200,6)&amp;", "))),1,""))</f>
        <v/>
      </c>
      <c r="I137">
        <f>IF(Wizards!$A$7="","",IF(OR(ISNUMBER(SEARCH(", "&amp;$B137&amp;", ", ", "&amp;INDEX('Form Responses'!$I$1:$Q$200,7,$A137)&amp;", ")),ISNUMBER(SEARCH(", "&amp;$B137&amp;", ", ", "&amp;INDEX('Form Responses'!$R$1:$R$200,7)&amp;", "))),1,""))</f>
        <v/>
      </c>
      <c r="J137">
        <f>IF(Wizards!$A$8="","",IF(OR(ISNUMBER(SEARCH(", "&amp;$B137&amp;", ", ", "&amp;INDEX('Form Responses'!$I$1:$Q$200,8,$A137)&amp;", ")),ISNUMBER(SEARCH(", "&amp;$B137&amp;", ", ", "&amp;INDEX('Form Responses'!$R$1:$R$200,8)&amp;", "))),1,""))</f>
        <v/>
      </c>
      <c r="K137">
        <f>IF(Wizards!$A$9="","",IF(OR(ISNUMBER(SEARCH(", "&amp;$B137&amp;", ", ", "&amp;INDEX('Form Responses'!$I$1:$Q$200,9,$A137)&amp;", ")),ISNUMBER(SEARCH(", "&amp;$B137&amp;", ", ", "&amp;INDEX('Form Responses'!$R$1:$R$200,9)&amp;", "))),1,""))</f>
        <v/>
      </c>
      <c r="L137">
        <f>IF(Wizards!$A$10="","",IF(OR(ISNUMBER(SEARCH(", "&amp;$B137&amp;", ", ", "&amp;INDEX('Form Responses'!$I$1:$Q$200,10,$A137)&amp;", ")),ISNUMBER(SEARCH(", "&amp;$B137&amp;", ", ", "&amp;INDEX('Form Responses'!$R$1:$R$200,10)&amp;", "))),1,""))</f>
        <v/>
      </c>
      <c r="M137">
        <f>IF(Wizards!$A$11="","",IF(OR(ISNUMBER(SEARCH(", "&amp;$B137&amp;", ", ", "&amp;INDEX('Form Responses'!$I$1:$Q$200,11,$A137)&amp;", ")),ISNUMBER(SEARCH(", "&amp;$B137&amp;", ", ", "&amp;INDEX('Form Responses'!$R$1:$R$200,11)&amp;", "))),1,""))</f>
        <v/>
      </c>
      <c r="N137">
        <f>IF(Wizards!$A$12="","",IF(OR(ISNUMBER(SEARCH(", "&amp;$B137&amp;", ", ", "&amp;INDEX('Form Responses'!$I$1:$Q$200,12,$A137)&amp;", ")),ISNUMBER(SEARCH(", "&amp;$B137&amp;", ", ", "&amp;INDEX('Form Responses'!$R$1:$R$200,12)&amp;", "))),1,""))</f>
        <v/>
      </c>
      <c r="O137">
        <f>IF(Wizards!$A$13="","",IF(OR(ISNUMBER(SEARCH(", "&amp;$B137&amp;", ", ", "&amp;INDEX('Form Responses'!$I$1:$Q$200,13,$A137)&amp;", ")),ISNUMBER(SEARCH(", "&amp;$B137&amp;", ", ", "&amp;INDEX('Form Responses'!$R$1:$R$200,13)&amp;", "))),1,""))</f>
        <v/>
      </c>
      <c r="P137">
        <f>IF(Wizards!$A$14="","",IF(OR(ISNUMBER(SEARCH(", "&amp;$B137&amp;", ", ", "&amp;INDEX('Form Responses'!$I$1:$Q$200,14,$A137)&amp;", ")),ISNUMBER(SEARCH(", "&amp;$B137&amp;", ", ", "&amp;INDEX('Form Responses'!$R$1:$R$200,14)&amp;", "))),1,""))</f>
        <v/>
      </c>
      <c r="Q137">
        <f>IF(Wizards!$A$15="","",IF(OR(ISNUMBER(SEARCH(", "&amp;$B137&amp;", ", ", "&amp;INDEX('Form Responses'!$I$1:$Q$200,15,$A137)&amp;", ")),ISNUMBER(SEARCH(", "&amp;$B137&amp;", ", ", "&amp;INDEX('Form Responses'!$R$1:$R$200,15)&amp;", "))),1,""))</f>
        <v/>
      </c>
      <c r="R137">
        <f>IF(Wizards!$A$16="","",IF(OR(ISNUMBER(SEARCH(", "&amp;$B137&amp;", ", ", "&amp;INDEX('Form Responses'!$I$1:$Q$200,16,$A137)&amp;", ")),ISNUMBER(SEARCH(", "&amp;$B137&amp;", ", ", "&amp;INDEX('Form Responses'!$R$1:$R$200,16)&amp;", "))),1,""))</f>
        <v/>
      </c>
      <c r="S137">
        <f>IF(Wizards!$A$17="","",IF(OR(ISNUMBER(SEARCH(", "&amp;$B137&amp;", ", ", "&amp;INDEX('Form Responses'!$I$1:$Q$200,17,$A137)&amp;", ")),ISNUMBER(SEARCH(", "&amp;$B137&amp;", ", ", "&amp;INDEX('Form Responses'!$R$1:$R$200,17)&amp;", "))),1,""))</f>
        <v/>
      </c>
      <c r="T137">
        <f>IF(Wizards!$A$18="","",IF(OR(ISNUMBER(SEARCH(", "&amp;$B137&amp;", ", ", "&amp;INDEX('Form Responses'!$I$1:$Q$200,18,$A137)&amp;", ")),ISNUMBER(SEARCH(", "&amp;$B137&amp;", ", ", "&amp;INDEX('Form Responses'!$R$1:$R$200,18)&amp;", "))),1,""))</f>
        <v/>
      </c>
      <c r="U137">
        <f>IF(Wizards!$A$19="","",IF(OR(ISNUMBER(SEARCH(", "&amp;$B137&amp;", ", ", "&amp;INDEX('Form Responses'!$I$1:$Q$200,19,$A137)&amp;", ")),ISNUMBER(SEARCH(", "&amp;$B137&amp;", ", ", "&amp;INDEX('Form Responses'!$R$1:$R$200,19)&amp;", "))),1,""))</f>
        <v/>
      </c>
      <c r="V137">
        <f>IF(Wizards!$A$20="","",IF(OR(ISNUMBER(SEARCH(", "&amp;$B137&amp;", ", ", "&amp;INDEX('Form Responses'!$I$1:$Q$200,20,$A137)&amp;", ")),ISNUMBER(SEARCH(", "&amp;$B137&amp;", ", ", "&amp;INDEX('Form Responses'!$R$1:$R$200,20)&amp;", "))),1,""))</f>
        <v/>
      </c>
      <c r="W137">
        <f>IF(Wizards!$A$21="","",IF(OR(ISNUMBER(SEARCH(", "&amp;$B137&amp;", ", ", "&amp;INDEX('Form Responses'!$I$1:$Q$200,21,$A137)&amp;", ")),ISNUMBER(SEARCH(", "&amp;$B137&amp;", ", ", "&amp;INDEX('Form Responses'!$R$1:$R$200,21)&amp;", "))),1,""))</f>
        <v/>
      </c>
      <c r="X137">
        <f>IF(Wizards!$A$22="","",IF(OR(ISNUMBER(SEARCH(", "&amp;$B137&amp;", ", ", "&amp;INDEX('Form Responses'!$I$1:$Q$200,22,$A137)&amp;", ")),ISNUMBER(SEARCH(", "&amp;$B137&amp;", ", ", "&amp;INDEX('Form Responses'!$R$1:$R$200,22)&amp;", "))),1,""))</f>
        <v/>
      </c>
      <c r="Y137">
        <f>IF(Wizards!$A$23="","",IF(OR(ISNUMBER(SEARCH(", "&amp;$B137&amp;", ", ", "&amp;INDEX('Form Responses'!$I$1:$Q$200,23,$A137)&amp;", ")),ISNUMBER(SEARCH(", "&amp;$B137&amp;", ", ", "&amp;INDEX('Form Responses'!$R$1:$R$200,23)&amp;", "))),1,""))</f>
        <v/>
      </c>
      <c r="Z137">
        <f>IF(Wizards!$A$24="","",IF(OR(ISNUMBER(SEARCH(", "&amp;$B137&amp;", ", ", "&amp;INDEX('Form Responses'!$I$1:$Q$200,24,$A137)&amp;", ")),ISNUMBER(SEARCH(", "&amp;$B137&amp;", ", ", "&amp;INDEX('Form Responses'!$R$1:$R$200,24)&amp;", "))),1,""))</f>
        <v/>
      </c>
      <c r="AA137">
        <f>IF(Wizards!$A$25="","",IF(OR(ISNUMBER(SEARCH(", "&amp;$B137&amp;", ", ", "&amp;INDEX('Form Responses'!$I$1:$Q$200,25,$A137)&amp;", ")),ISNUMBER(SEARCH(", "&amp;$B137&amp;", ", ", "&amp;INDEX('Form Responses'!$R$1:$R$200,25)&amp;", "))),1,""))</f>
        <v/>
      </c>
      <c r="AB137">
        <f>IF(D137=1,", "&amp;D$1,"")</f>
        <v/>
      </c>
      <c r="AC137">
        <f>IF(E137=1,", "&amp;E$1,"")</f>
        <v/>
      </c>
      <c r="AD137">
        <f>IF(F137=1,", "&amp;F$1,"")</f>
        <v/>
      </c>
      <c r="AE137">
        <f>IF(G137=1,", "&amp;G$1,"")</f>
        <v/>
      </c>
      <c r="AF137">
        <f>IF(H137=1,", "&amp;H$1,"")</f>
        <v/>
      </c>
      <c r="AG137">
        <f>IF(I137=1,", "&amp;I$1,"")</f>
        <v/>
      </c>
      <c r="AH137">
        <f>IF(J137=1,", "&amp;J$1,"")</f>
        <v/>
      </c>
      <c r="AI137">
        <f>IF(K137=1,", "&amp;K$1,"")</f>
        <v/>
      </c>
      <c r="AJ137">
        <f>IF(L137=1,", "&amp;L$1,"")</f>
        <v/>
      </c>
      <c r="AK137">
        <f>IF(M137=1,", "&amp;M$1,"")</f>
        <v/>
      </c>
      <c r="AL137">
        <f>IF(N137=1,", "&amp;N$1,"")</f>
        <v/>
      </c>
      <c r="AM137">
        <f>IF(O137=1,", "&amp;O$1,"")</f>
        <v/>
      </c>
      <c r="AN137">
        <f>IF(P137=1,", "&amp;P$1,"")</f>
        <v/>
      </c>
      <c r="AO137">
        <f>IF(Q137=1,", "&amp;Q$1,"")</f>
        <v/>
      </c>
      <c r="AP137">
        <f>IF(R137=1,", "&amp;R$1,"")</f>
        <v/>
      </c>
      <c r="AQ137">
        <f>IF(S137=1,", "&amp;S$1,"")</f>
        <v/>
      </c>
      <c r="AR137">
        <f>IF(T137=1,", "&amp;T$1,"")</f>
        <v/>
      </c>
      <c r="AS137">
        <f>IF(U137=1,", "&amp;U$1,"")</f>
        <v/>
      </c>
      <c r="AT137">
        <f>IF(V137=1,", "&amp;V$1,"")</f>
        <v/>
      </c>
      <c r="AU137">
        <f>IF(W137=1,", "&amp;W$1,"")</f>
        <v/>
      </c>
      <c r="AV137">
        <f>IF(X137=1,", "&amp;X$1,"")</f>
        <v/>
      </c>
      <c r="AW137">
        <f>IF(Y137=1,", "&amp;Y$1,"")</f>
        <v/>
      </c>
      <c r="AX137">
        <f>IF(Z137=1,", "&amp;Z$1,"")</f>
        <v/>
      </c>
      <c r="AY137">
        <f>IF(AA137=1,", "&amp;AA$1,"")</f>
        <v/>
      </c>
      <c r="AZ137">
        <f>MID($AB137&amp;$AC137&amp;$AD137&amp;$AE137&amp;$AF137&amp;$AG137&amp;$AH137&amp;$AI137&amp;$AJ137&amp;$AK137&amp;$AL137&amp;$AM137&amp;$AN137&amp;$AO137&amp;$AP137&amp;$AQ137&amp;$AR137&amp;$AS137&amp;$AT137&amp;$AU137&amp;$AV137&amp;$AW137&amp;$AX137&amp;$AY137,3,32767)</f>
        <v/>
      </c>
      <c r="BA137">
        <f>COUNT($D137:$AA137)</f>
        <v/>
      </c>
    </row>
    <row r="138">
      <c r="A138" t="n">
        <v>3</v>
      </c>
      <c r="B138" t="inlineStr">
        <is>
          <t>Phantom Steed</t>
        </is>
      </c>
      <c r="C138" t="inlineStr">
        <is>
          <t>Illusion</t>
        </is>
      </c>
      <c r="D138">
        <f>IF(Wizards!$A$2="","",IF(OR(ISNUMBER(SEARCH(", "&amp;$B138&amp;", ", ", "&amp;INDEX('Form Responses'!$I$1:$Q$200,2,$A138)&amp;", ")),ISNUMBER(SEARCH(", "&amp;$B138&amp;", ", ", "&amp;INDEX('Form Responses'!$R$1:$R$200,2)&amp;", "))),1,""))</f>
        <v/>
      </c>
      <c r="E138">
        <f>IF(Wizards!$A$3="","",IF(OR(ISNUMBER(SEARCH(", "&amp;$B138&amp;", ", ", "&amp;INDEX('Form Responses'!$I$1:$Q$200,3,$A138)&amp;", ")),ISNUMBER(SEARCH(", "&amp;$B138&amp;", ", ", "&amp;INDEX('Form Responses'!$R$1:$R$200,3)&amp;", "))),1,""))</f>
        <v/>
      </c>
      <c r="F138">
        <f>IF(Wizards!$A$4="","",IF(OR(ISNUMBER(SEARCH(", "&amp;$B138&amp;", ", ", "&amp;INDEX('Form Responses'!$I$1:$Q$200,4,$A138)&amp;", ")),ISNUMBER(SEARCH(", "&amp;$B138&amp;", ", ", "&amp;INDEX('Form Responses'!$R$1:$R$200,4)&amp;", "))),1,""))</f>
        <v/>
      </c>
      <c r="G138">
        <f>IF(Wizards!$A$5="","",IF(OR(ISNUMBER(SEARCH(", "&amp;$B138&amp;", ", ", "&amp;INDEX('Form Responses'!$I$1:$Q$200,5,$A138)&amp;", ")),ISNUMBER(SEARCH(", "&amp;$B138&amp;", ", ", "&amp;INDEX('Form Responses'!$R$1:$R$200,5)&amp;", "))),1,""))</f>
        <v/>
      </c>
      <c r="H138">
        <f>IF(Wizards!$A$6="","",IF(OR(ISNUMBER(SEARCH(", "&amp;$B138&amp;", ", ", "&amp;INDEX('Form Responses'!$I$1:$Q$200,6,$A138)&amp;", ")),ISNUMBER(SEARCH(", "&amp;$B138&amp;", ", ", "&amp;INDEX('Form Responses'!$R$1:$R$200,6)&amp;", "))),1,""))</f>
        <v/>
      </c>
      <c r="I138">
        <f>IF(Wizards!$A$7="","",IF(OR(ISNUMBER(SEARCH(", "&amp;$B138&amp;", ", ", "&amp;INDEX('Form Responses'!$I$1:$Q$200,7,$A138)&amp;", ")),ISNUMBER(SEARCH(", "&amp;$B138&amp;", ", ", "&amp;INDEX('Form Responses'!$R$1:$R$200,7)&amp;", "))),1,""))</f>
        <v/>
      </c>
      <c r="J138">
        <f>IF(Wizards!$A$8="","",IF(OR(ISNUMBER(SEARCH(", "&amp;$B138&amp;", ", ", "&amp;INDEX('Form Responses'!$I$1:$Q$200,8,$A138)&amp;", ")),ISNUMBER(SEARCH(", "&amp;$B138&amp;", ", ", "&amp;INDEX('Form Responses'!$R$1:$R$200,8)&amp;", "))),1,""))</f>
        <v/>
      </c>
      <c r="K138">
        <f>IF(Wizards!$A$9="","",IF(OR(ISNUMBER(SEARCH(", "&amp;$B138&amp;", ", ", "&amp;INDEX('Form Responses'!$I$1:$Q$200,9,$A138)&amp;", ")),ISNUMBER(SEARCH(", "&amp;$B138&amp;", ", ", "&amp;INDEX('Form Responses'!$R$1:$R$200,9)&amp;", "))),1,""))</f>
        <v/>
      </c>
      <c r="L138">
        <f>IF(Wizards!$A$10="","",IF(OR(ISNUMBER(SEARCH(", "&amp;$B138&amp;", ", ", "&amp;INDEX('Form Responses'!$I$1:$Q$200,10,$A138)&amp;", ")),ISNUMBER(SEARCH(", "&amp;$B138&amp;", ", ", "&amp;INDEX('Form Responses'!$R$1:$R$200,10)&amp;", "))),1,""))</f>
        <v/>
      </c>
      <c r="M138">
        <f>IF(Wizards!$A$11="","",IF(OR(ISNUMBER(SEARCH(", "&amp;$B138&amp;", ", ", "&amp;INDEX('Form Responses'!$I$1:$Q$200,11,$A138)&amp;", ")),ISNUMBER(SEARCH(", "&amp;$B138&amp;", ", ", "&amp;INDEX('Form Responses'!$R$1:$R$200,11)&amp;", "))),1,""))</f>
        <v/>
      </c>
      <c r="N138">
        <f>IF(Wizards!$A$12="","",IF(OR(ISNUMBER(SEARCH(", "&amp;$B138&amp;", ", ", "&amp;INDEX('Form Responses'!$I$1:$Q$200,12,$A138)&amp;", ")),ISNUMBER(SEARCH(", "&amp;$B138&amp;", ", ", "&amp;INDEX('Form Responses'!$R$1:$R$200,12)&amp;", "))),1,""))</f>
        <v/>
      </c>
      <c r="O138">
        <f>IF(Wizards!$A$13="","",IF(OR(ISNUMBER(SEARCH(", "&amp;$B138&amp;", ", ", "&amp;INDEX('Form Responses'!$I$1:$Q$200,13,$A138)&amp;", ")),ISNUMBER(SEARCH(", "&amp;$B138&amp;", ", ", "&amp;INDEX('Form Responses'!$R$1:$R$200,13)&amp;", "))),1,""))</f>
        <v/>
      </c>
      <c r="P138">
        <f>IF(Wizards!$A$14="","",IF(OR(ISNUMBER(SEARCH(", "&amp;$B138&amp;", ", ", "&amp;INDEX('Form Responses'!$I$1:$Q$200,14,$A138)&amp;", ")),ISNUMBER(SEARCH(", "&amp;$B138&amp;", ", ", "&amp;INDEX('Form Responses'!$R$1:$R$200,14)&amp;", "))),1,""))</f>
        <v/>
      </c>
      <c r="Q138">
        <f>IF(Wizards!$A$15="","",IF(OR(ISNUMBER(SEARCH(", "&amp;$B138&amp;", ", ", "&amp;INDEX('Form Responses'!$I$1:$Q$200,15,$A138)&amp;", ")),ISNUMBER(SEARCH(", "&amp;$B138&amp;", ", ", "&amp;INDEX('Form Responses'!$R$1:$R$200,15)&amp;", "))),1,""))</f>
        <v/>
      </c>
      <c r="R138">
        <f>IF(Wizards!$A$16="","",IF(OR(ISNUMBER(SEARCH(", "&amp;$B138&amp;", ", ", "&amp;INDEX('Form Responses'!$I$1:$Q$200,16,$A138)&amp;", ")),ISNUMBER(SEARCH(", "&amp;$B138&amp;", ", ", "&amp;INDEX('Form Responses'!$R$1:$R$200,16)&amp;", "))),1,""))</f>
        <v/>
      </c>
      <c r="S138">
        <f>IF(Wizards!$A$17="","",IF(OR(ISNUMBER(SEARCH(", "&amp;$B138&amp;", ", ", "&amp;INDEX('Form Responses'!$I$1:$Q$200,17,$A138)&amp;", ")),ISNUMBER(SEARCH(", "&amp;$B138&amp;", ", ", "&amp;INDEX('Form Responses'!$R$1:$R$200,17)&amp;", "))),1,""))</f>
        <v/>
      </c>
      <c r="T138">
        <f>IF(Wizards!$A$18="","",IF(OR(ISNUMBER(SEARCH(", "&amp;$B138&amp;", ", ", "&amp;INDEX('Form Responses'!$I$1:$Q$200,18,$A138)&amp;", ")),ISNUMBER(SEARCH(", "&amp;$B138&amp;", ", ", "&amp;INDEX('Form Responses'!$R$1:$R$200,18)&amp;", "))),1,""))</f>
        <v/>
      </c>
      <c r="U138">
        <f>IF(Wizards!$A$19="","",IF(OR(ISNUMBER(SEARCH(", "&amp;$B138&amp;", ", ", "&amp;INDEX('Form Responses'!$I$1:$Q$200,19,$A138)&amp;", ")),ISNUMBER(SEARCH(", "&amp;$B138&amp;", ", ", "&amp;INDEX('Form Responses'!$R$1:$R$200,19)&amp;", "))),1,""))</f>
        <v/>
      </c>
      <c r="V138">
        <f>IF(Wizards!$A$20="","",IF(OR(ISNUMBER(SEARCH(", "&amp;$B138&amp;", ", ", "&amp;INDEX('Form Responses'!$I$1:$Q$200,20,$A138)&amp;", ")),ISNUMBER(SEARCH(", "&amp;$B138&amp;", ", ", "&amp;INDEX('Form Responses'!$R$1:$R$200,20)&amp;", "))),1,""))</f>
        <v/>
      </c>
      <c r="W138">
        <f>IF(Wizards!$A$21="","",IF(OR(ISNUMBER(SEARCH(", "&amp;$B138&amp;", ", ", "&amp;INDEX('Form Responses'!$I$1:$Q$200,21,$A138)&amp;", ")),ISNUMBER(SEARCH(", "&amp;$B138&amp;", ", ", "&amp;INDEX('Form Responses'!$R$1:$R$200,21)&amp;", "))),1,""))</f>
        <v/>
      </c>
      <c r="X138">
        <f>IF(Wizards!$A$22="","",IF(OR(ISNUMBER(SEARCH(", "&amp;$B138&amp;", ", ", "&amp;INDEX('Form Responses'!$I$1:$Q$200,22,$A138)&amp;", ")),ISNUMBER(SEARCH(", "&amp;$B138&amp;", ", ", "&amp;INDEX('Form Responses'!$R$1:$R$200,22)&amp;", "))),1,""))</f>
        <v/>
      </c>
      <c r="Y138">
        <f>IF(Wizards!$A$23="","",IF(OR(ISNUMBER(SEARCH(", "&amp;$B138&amp;", ", ", "&amp;INDEX('Form Responses'!$I$1:$Q$200,23,$A138)&amp;", ")),ISNUMBER(SEARCH(", "&amp;$B138&amp;", ", ", "&amp;INDEX('Form Responses'!$R$1:$R$200,23)&amp;", "))),1,""))</f>
        <v/>
      </c>
      <c r="Z138">
        <f>IF(Wizards!$A$24="","",IF(OR(ISNUMBER(SEARCH(", "&amp;$B138&amp;", ", ", "&amp;INDEX('Form Responses'!$I$1:$Q$200,24,$A138)&amp;", ")),ISNUMBER(SEARCH(", "&amp;$B138&amp;", ", ", "&amp;INDEX('Form Responses'!$R$1:$R$200,24)&amp;", "))),1,""))</f>
        <v/>
      </c>
      <c r="AA138">
        <f>IF(Wizards!$A$25="","",IF(OR(ISNUMBER(SEARCH(", "&amp;$B138&amp;", ", ", "&amp;INDEX('Form Responses'!$I$1:$Q$200,25,$A138)&amp;", ")),ISNUMBER(SEARCH(", "&amp;$B138&amp;", ", ", "&amp;INDEX('Form Responses'!$R$1:$R$200,25)&amp;", "))),1,""))</f>
        <v/>
      </c>
      <c r="AB138">
        <f>IF(D138=1,", "&amp;D$1,"")</f>
        <v/>
      </c>
      <c r="AC138">
        <f>IF(E138=1,", "&amp;E$1,"")</f>
        <v/>
      </c>
      <c r="AD138">
        <f>IF(F138=1,", "&amp;F$1,"")</f>
        <v/>
      </c>
      <c r="AE138">
        <f>IF(G138=1,", "&amp;G$1,"")</f>
        <v/>
      </c>
      <c r="AF138">
        <f>IF(H138=1,", "&amp;H$1,"")</f>
        <v/>
      </c>
      <c r="AG138">
        <f>IF(I138=1,", "&amp;I$1,"")</f>
        <v/>
      </c>
      <c r="AH138">
        <f>IF(J138=1,", "&amp;J$1,"")</f>
        <v/>
      </c>
      <c r="AI138">
        <f>IF(K138=1,", "&amp;K$1,"")</f>
        <v/>
      </c>
      <c r="AJ138">
        <f>IF(L138=1,", "&amp;L$1,"")</f>
        <v/>
      </c>
      <c r="AK138">
        <f>IF(M138=1,", "&amp;M$1,"")</f>
        <v/>
      </c>
      <c r="AL138">
        <f>IF(N138=1,", "&amp;N$1,"")</f>
        <v/>
      </c>
      <c r="AM138">
        <f>IF(O138=1,", "&amp;O$1,"")</f>
        <v/>
      </c>
      <c r="AN138">
        <f>IF(P138=1,", "&amp;P$1,"")</f>
        <v/>
      </c>
      <c r="AO138">
        <f>IF(Q138=1,", "&amp;Q$1,"")</f>
        <v/>
      </c>
      <c r="AP138">
        <f>IF(R138=1,", "&amp;R$1,"")</f>
        <v/>
      </c>
      <c r="AQ138">
        <f>IF(S138=1,", "&amp;S$1,"")</f>
        <v/>
      </c>
      <c r="AR138">
        <f>IF(T138=1,", "&amp;T$1,"")</f>
        <v/>
      </c>
      <c r="AS138">
        <f>IF(U138=1,", "&amp;U$1,"")</f>
        <v/>
      </c>
      <c r="AT138">
        <f>IF(V138=1,", "&amp;V$1,"")</f>
        <v/>
      </c>
      <c r="AU138">
        <f>IF(W138=1,", "&amp;W$1,"")</f>
        <v/>
      </c>
      <c r="AV138">
        <f>IF(X138=1,", "&amp;X$1,"")</f>
        <v/>
      </c>
      <c r="AW138">
        <f>IF(Y138=1,", "&amp;Y$1,"")</f>
        <v/>
      </c>
      <c r="AX138">
        <f>IF(Z138=1,", "&amp;Z$1,"")</f>
        <v/>
      </c>
      <c r="AY138">
        <f>IF(AA138=1,", "&amp;AA$1,"")</f>
        <v/>
      </c>
      <c r="AZ138">
        <f>MID($AB138&amp;$AC138&amp;$AD138&amp;$AE138&amp;$AF138&amp;$AG138&amp;$AH138&amp;$AI138&amp;$AJ138&amp;$AK138&amp;$AL138&amp;$AM138&amp;$AN138&amp;$AO138&amp;$AP138&amp;$AQ138&amp;$AR138&amp;$AS138&amp;$AT138&amp;$AU138&amp;$AV138&amp;$AW138&amp;$AX138&amp;$AY138,3,32767)</f>
        <v/>
      </c>
      <c r="BA138">
        <f>COUNT($D138:$AA138)</f>
        <v/>
      </c>
    </row>
    <row r="139">
      <c r="A139" t="n">
        <v>3</v>
      </c>
      <c r="B139" t="inlineStr">
        <is>
          <t>Protection from Energy</t>
        </is>
      </c>
      <c r="C139" t="inlineStr">
        <is>
          <t>Abjuration</t>
        </is>
      </c>
      <c r="D139">
        <f>IF(Wizards!$A$2="","",IF(OR(ISNUMBER(SEARCH(", "&amp;$B139&amp;", ", ", "&amp;INDEX('Form Responses'!$I$1:$Q$200,2,$A139)&amp;", ")),ISNUMBER(SEARCH(", "&amp;$B139&amp;", ", ", "&amp;INDEX('Form Responses'!$R$1:$R$200,2)&amp;", "))),1,""))</f>
        <v/>
      </c>
      <c r="E139">
        <f>IF(Wizards!$A$3="","",IF(OR(ISNUMBER(SEARCH(", "&amp;$B139&amp;", ", ", "&amp;INDEX('Form Responses'!$I$1:$Q$200,3,$A139)&amp;", ")),ISNUMBER(SEARCH(", "&amp;$B139&amp;", ", ", "&amp;INDEX('Form Responses'!$R$1:$R$200,3)&amp;", "))),1,""))</f>
        <v/>
      </c>
      <c r="F139">
        <f>IF(Wizards!$A$4="","",IF(OR(ISNUMBER(SEARCH(", "&amp;$B139&amp;", ", ", "&amp;INDEX('Form Responses'!$I$1:$Q$200,4,$A139)&amp;", ")),ISNUMBER(SEARCH(", "&amp;$B139&amp;", ", ", "&amp;INDEX('Form Responses'!$R$1:$R$200,4)&amp;", "))),1,""))</f>
        <v/>
      </c>
      <c r="G139">
        <f>IF(Wizards!$A$5="","",IF(OR(ISNUMBER(SEARCH(", "&amp;$B139&amp;", ", ", "&amp;INDEX('Form Responses'!$I$1:$Q$200,5,$A139)&amp;", ")),ISNUMBER(SEARCH(", "&amp;$B139&amp;", ", ", "&amp;INDEX('Form Responses'!$R$1:$R$200,5)&amp;", "))),1,""))</f>
        <v/>
      </c>
      <c r="H139">
        <f>IF(Wizards!$A$6="","",IF(OR(ISNUMBER(SEARCH(", "&amp;$B139&amp;", ", ", "&amp;INDEX('Form Responses'!$I$1:$Q$200,6,$A139)&amp;", ")),ISNUMBER(SEARCH(", "&amp;$B139&amp;", ", ", "&amp;INDEX('Form Responses'!$R$1:$R$200,6)&amp;", "))),1,""))</f>
        <v/>
      </c>
      <c r="I139">
        <f>IF(Wizards!$A$7="","",IF(OR(ISNUMBER(SEARCH(", "&amp;$B139&amp;", ", ", "&amp;INDEX('Form Responses'!$I$1:$Q$200,7,$A139)&amp;", ")),ISNUMBER(SEARCH(", "&amp;$B139&amp;", ", ", "&amp;INDEX('Form Responses'!$R$1:$R$200,7)&amp;", "))),1,""))</f>
        <v/>
      </c>
      <c r="J139">
        <f>IF(Wizards!$A$8="","",IF(OR(ISNUMBER(SEARCH(", "&amp;$B139&amp;", ", ", "&amp;INDEX('Form Responses'!$I$1:$Q$200,8,$A139)&amp;", ")),ISNUMBER(SEARCH(", "&amp;$B139&amp;", ", ", "&amp;INDEX('Form Responses'!$R$1:$R$200,8)&amp;", "))),1,""))</f>
        <v/>
      </c>
      <c r="K139">
        <f>IF(Wizards!$A$9="","",IF(OR(ISNUMBER(SEARCH(", "&amp;$B139&amp;", ", ", "&amp;INDEX('Form Responses'!$I$1:$Q$200,9,$A139)&amp;", ")),ISNUMBER(SEARCH(", "&amp;$B139&amp;", ", ", "&amp;INDEX('Form Responses'!$R$1:$R$200,9)&amp;", "))),1,""))</f>
        <v/>
      </c>
      <c r="L139">
        <f>IF(Wizards!$A$10="","",IF(OR(ISNUMBER(SEARCH(", "&amp;$B139&amp;", ", ", "&amp;INDEX('Form Responses'!$I$1:$Q$200,10,$A139)&amp;", ")),ISNUMBER(SEARCH(", "&amp;$B139&amp;", ", ", "&amp;INDEX('Form Responses'!$R$1:$R$200,10)&amp;", "))),1,""))</f>
        <v/>
      </c>
      <c r="M139">
        <f>IF(Wizards!$A$11="","",IF(OR(ISNUMBER(SEARCH(", "&amp;$B139&amp;", ", ", "&amp;INDEX('Form Responses'!$I$1:$Q$200,11,$A139)&amp;", ")),ISNUMBER(SEARCH(", "&amp;$B139&amp;", ", ", "&amp;INDEX('Form Responses'!$R$1:$R$200,11)&amp;", "))),1,""))</f>
        <v/>
      </c>
      <c r="N139">
        <f>IF(Wizards!$A$12="","",IF(OR(ISNUMBER(SEARCH(", "&amp;$B139&amp;", ", ", "&amp;INDEX('Form Responses'!$I$1:$Q$200,12,$A139)&amp;", ")),ISNUMBER(SEARCH(", "&amp;$B139&amp;", ", ", "&amp;INDEX('Form Responses'!$R$1:$R$200,12)&amp;", "))),1,""))</f>
        <v/>
      </c>
      <c r="O139">
        <f>IF(Wizards!$A$13="","",IF(OR(ISNUMBER(SEARCH(", "&amp;$B139&amp;", ", ", "&amp;INDEX('Form Responses'!$I$1:$Q$200,13,$A139)&amp;", ")),ISNUMBER(SEARCH(", "&amp;$B139&amp;", ", ", "&amp;INDEX('Form Responses'!$R$1:$R$200,13)&amp;", "))),1,""))</f>
        <v/>
      </c>
      <c r="P139">
        <f>IF(Wizards!$A$14="","",IF(OR(ISNUMBER(SEARCH(", "&amp;$B139&amp;", ", ", "&amp;INDEX('Form Responses'!$I$1:$Q$200,14,$A139)&amp;", ")),ISNUMBER(SEARCH(", "&amp;$B139&amp;", ", ", "&amp;INDEX('Form Responses'!$R$1:$R$200,14)&amp;", "))),1,""))</f>
        <v/>
      </c>
      <c r="Q139">
        <f>IF(Wizards!$A$15="","",IF(OR(ISNUMBER(SEARCH(", "&amp;$B139&amp;", ", ", "&amp;INDEX('Form Responses'!$I$1:$Q$200,15,$A139)&amp;", ")),ISNUMBER(SEARCH(", "&amp;$B139&amp;", ", ", "&amp;INDEX('Form Responses'!$R$1:$R$200,15)&amp;", "))),1,""))</f>
        <v/>
      </c>
      <c r="R139">
        <f>IF(Wizards!$A$16="","",IF(OR(ISNUMBER(SEARCH(", "&amp;$B139&amp;", ", ", "&amp;INDEX('Form Responses'!$I$1:$Q$200,16,$A139)&amp;", ")),ISNUMBER(SEARCH(", "&amp;$B139&amp;", ", ", "&amp;INDEX('Form Responses'!$R$1:$R$200,16)&amp;", "))),1,""))</f>
        <v/>
      </c>
      <c r="S139">
        <f>IF(Wizards!$A$17="","",IF(OR(ISNUMBER(SEARCH(", "&amp;$B139&amp;", ", ", "&amp;INDEX('Form Responses'!$I$1:$Q$200,17,$A139)&amp;", ")),ISNUMBER(SEARCH(", "&amp;$B139&amp;", ", ", "&amp;INDEX('Form Responses'!$R$1:$R$200,17)&amp;", "))),1,""))</f>
        <v/>
      </c>
      <c r="T139">
        <f>IF(Wizards!$A$18="","",IF(OR(ISNUMBER(SEARCH(", "&amp;$B139&amp;", ", ", "&amp;INDEX('Form Responses'!$I$1:$Q$200,18,$A139)&amp;", ")),ISNUMBER(SEARCH(", "&amp;$B139&amp;", ", ", "&amp;INDEX('Form Responses'!$R$1:$R$200,18)&amp;", "))),1,""))</f>
        <v/>
      </c>
      <c r="U139">
        <f>IF(Wizards!$A$19="","",IF(OR(ISNUMBER(SEARCH(", "&amp;$B139&amp;", ", ", "&amp;INDEX('Form Responses'!$I$1:$Q$200,19,$A139)&amp;", ")),ISNUMBER(SEARCH(", "&amp;$B139&amp;", ", ", "&amp;INDEX('Form Responses'!$R$1:$R$200,19)&amp;", "))),1,""))</f>
        <v/>
      </c>
      <c r="V139">
        <f>IF(Wizards!$A$20="","",IF(OR(ISNUMBER(SEARCH(", "&amp;$B139&amp;", ", ", "&amp;INDEX('Form Responses'!$I$1:$Q$200,20,$A139)&amp;", ")),ISNUMBER(SEARCH(", "&amp;$B139&amp;", ", ", "&amp;INDEX('Form Responses'!$R$1:$R$200,20)&amp;", "))),1,""))</f>
        <v/>
      </c>
      <c r="W139">
        <f>IF(Wizards!$A$21="","",IF(OR(ISNUMBER(SEARCH(", "&amp;$B139&amp;", ", ", "&amp;INDEX('Form Responses'!$I$1:$Q$200,21,$A139)&amp;", ")),ISNUMBER(SEARCH(", "&amp;$B139&amp;", ", ", "&amp;INDEX('Form Responses'!$R$1:$R$200,21)&amp;", "))),1,""))</f>
        <v/>
      </c>
      <c r="X139">
        <f>IF(Wizards!$A$22="","",IF(OR(ISNUMBER(SEARCH(", "&amp;$B139&amp;", ", ", "&amp;INDEX('Form Responses'!$I$1:$Q$200,22,$A139)&amp;", ")),ISNUMBER(SEARCH(", "&amp;$B139&amp;", ", ", "&amp;INDEX('Form Responses'!$R$1:$R$200,22)&amp;", "))),1,""))</f>
        <v/>
      </c>
      <c r="Y139">
        <f>IF(Wizards!$A$23="","",IF(OR(ISNUMBER(SEARCH(", "&amp;$B139&amp;", ", ", "&amp;INDEX('Form Responses'!$I$1:$Q$200,23,$A139)&amp;", ")),ISNUMBER(SEARCH(", "&amp;$B139&amp;", ", ", "&amp;INDEX('Form Responses'!$R$1:$R$200,23)&amp;", "))),1,""))</f>
        <v/>
      </c>
      <c r="Z139">
        <f>IF(Wizards!$A$24="","",IF(OR(ISNUMBER(SEARCH(", "&amp;$B139&amp;", ", ", "&amp;INDEX('Form Responses'!$I$1:$Q$200,24,$A139)&amp;", ")),ISNUMBER(SEARCH(", "&amp;$B139&amp;", ", ", "&amp;INDEX('Form Responses'!$R$1:$R$200,24)&amp;", "))),1,""))</f>
        <v/>
      </c>
      <c r="AA139">
        <f>IF(Wizards!$A$25="","",IF(OR(ISNUMBER(SEARCH(", "&amp;$B139&amp;", ", ", "&amp;INDEX('Form Responses'!$I$1:$Q$200,25,$A139)&amp;", ")),ISNUMBER(SEARCH(", "&amp;$B139&amp;", ", ", "&amp;INDEX('Form Responses'!$R$1:$R$200,25)&amp;", "))),1,""))</f>
        <v/>
      </c>
      <c r="AB139">
        <f>IF(D139=1,", "&amp;D$1,"")</f>
        <v/>
      </c>
      <c r="AC139">
        <f>IF(E139=1,", "&amp;E$1,"")</f>
        <v/>
      </c>
      <c r="AD139">
        <f>IF(F139=1,", "&amp;F$1,"")</f>
        <v/>
      </c>
      <c r="AE139">
        <f>IF(G139=1,", "&amp;G$1,"")</f>
        <v/>
      </c>
      <c r="AF139">
        <f>IF(H139=1,", "&amp;H$1,"")</f>
        <v/>
      </c>
      <c r="AG139">
        <f>IF(I139=1,", "&amp;I$1,"")</f>
        <v/>
      </c>
      <c r="AH139">
        <f>IF(J139=1,", "&amp;J$1,"")</f>
        <v/>
      </c>
      <c r="AI139">
        <f>IF(K139=1,", "&amp;K$1,"")</f>
        <v/>
      </c>
      <c r="AJ139">
        <f>IF(L139=1,", "&amp;L$1,"")</f>
        <v/>
      </c>
      <c r="AK139">
        <f>IF(M139=1,", "&amp;M$1,"")</f>
        <v/>
      </c>
      <c r="AL139">
        <f>IF(N139=1,", "&amp;N$1,"")</f>
        <v/>
      </c>
      <c r="AM139">
        <f>IF(O139=1,", "&amp;O$1,"")</f>
        <v/>
      </c>
      <c r="AN139">
        <f>IF(P139=1,", "&amp;P$1,"")</f>
        <v/>
      </c>
      <c r="AO139">
        <f>IF(Q139=1,", "&amp;Q$1,"")</f>
        <v/>
      </c>
      <c r="AP139">
        <f>IF(R139=1,", "&amp;R$1,"")</f>
        <v/>
      </c>
      <c r="AQ139">
        <f>IF(S139=1,", "&amp;S$1,"")</f>
        <v/>
      </c>
      <c r="AR139">
        <f>IF(T139=1,", "&amp;T$1,"")</f>
        <v/>
      </c>
      <c r="AS139">
        <f>IF(U139=1,", "&amp;U$1,"")</f>
        <v/>
      </c>
      <c r="AT139">
        <f>IF(V139=1,", "&amp;V$1,"")</f>
        <v/>
      </c>
      <c r="AU139">
        <f>IF(W139=1,", "&amp;W$1,"")</f>
        <v/>
      </c>
      <c r="AV139">
        <f>IF(X139=1,", "&amp;X$1,"")</f>
        <v/>
      </c>
      <c r="AW139">
        <f>IF(Y139=1,", "&amp;Y$1,"")</f>
        <v/>
      </c>
      <c r="AX139">
        <f>IF(Z139=1,", "&amp;Z$1,"")</f>
        <v/>
      </c>
      <c r="AY139">
        <f>IF(AA139=1,", "&amp;AA$1,"")</f>
        <v/>
      </c>
      <c r="AZ139">
        <f>MID($AB139&amp;$AC139&amp;$AD139&amp;$AE139&amp;$AF139&amp;$AG139&amp;$AH139&amp;$AI139&amp;$AJ139&amp;$AK139&amp;$AL139&amp;$AM139&amp;$AN139&amp;$AO139&amp;$AP139&amp;$AQ139&amp;$AR139&amp;$AS139&amp;$AT139&amp;$AU139&amp;$AV139&amp;$AW139&amp;$AX139&amp;$AY139,3,32767)</f>
        <v/>
      </c>
      <c r="BA139">
        <f>COUNT($D139:$AA139)</f>
        <v/>
      </c>
    </row>
    <row r="140">
      <c r="A140" t="n">
        <v>3</v>
      </c>
      <c r="B140" t="inlineStr">
        <is>
          <t>Remove Curse</t>
        </is>
      </c>
      <c r="C140" t="inlineStr">
        <is>
          <t>Abjuration</t>
        </is>
      </c>
      <c r="D140">
        <f>IF(Wizards!$A$2="","",IF(OR(ISNUMBER(SEARCH(", "&amp;$B140&amp;", ", ", "&amp;INDEX('Form Responses'!$I$1:$Q$200,2,$A140)&amp;", ")),ISNUMBER(SEARCH(", "&amp;$B140&amp;", ", ", "&amp;INDEX('Form Responses'!$R$1:$R$200,2)&amp;", "))),1,""))</f>
        <v/>
      </c>
      <c r="E140">
        <f>IF(Wizards!$A$3="","",IF(OR(ISNUMBER(SEARCH(", "&amp;$B140&amp;", ", ", "&amp;INDEX('Form Responses'!$I$1:$Q$200,3,$A140)&amp;", ")),ISNUMBER(SEARCH(", "&amp;$B140&amp;", ", ", "&amp;INDEX('Form Responses'!$R$1:$R$200,3)&amp;", "))),1,""))</f>
        <v/>
      </c>
      <c r="F140">
        <f>IF(Wizards!$A$4="","",IF(OR(ISNUMBER(SEARCH(", "&amp;$B140&amp;", ", ", "&amp;INDEX('Form Responses'!$I$1:$Q$200,4,$A140)&amp;", ")),ISNUMBER(SEARCH(", "&amp;$B140&amp;", ", ", "&amp;INDEX('Form Responses'!$R$1:$R$200,4)&amp;", "))),1,""))</f>
        <v/>
      </c>
      <c r="G140">
        <f>IF(Wizards!$A$5="","",IF(OR(ISNUMBER(SEARCH(", "&amp;$B140&amp;", ", ", "&amp;INDEX('Form Responses'!$I$1:$Q$200,5,$A140)&amp;", ")),ISNUMBER(SEARCH(", "&amp;$B140&amp;", ", ", "&amp;INDEX('Form Responses'!$R$1:$R$200,5)&amp;", "))),1,""))</f>
        <v/>
      </c>
      <c r="H140">
        <f>IF(Wizards!$A$6="","",IF(OR(ISNUMBER(SEARCH(", "&amp;$B140&amp;", ", ", "&amp;INDEX('Form Responses'!$I$1:$Q$200,6,$A140)&amp;", ")),ISNUMBER(SEARCH(", "&amp;$B140&amp;", ", ", "&amp;INDEX('Form Responses'!$R$1:$R$200,6)&amp;", "))),1,""))</f>
        <v/>
      </c>
      <c r="I140">
        <f>IF(Wizards!$A$7="","",IF(OR(ISNUMBER(SEARCH(", "&amp;$B140&amp;", ", ", "&amp;INDEX('Form Responses'!$I$1:$Q$200,7,$A140)&amp;", ")),ISNUMBER(SEARCH(", "&amp;$B140&amp;", ", ", "&amp;INDEX('Form Responses'!$R$1:$R$200,7)&amp;", "))),1,""))</f>
        <v/>
      </c>
      <c r="J140">
        <f>IF(Wizards!$A$8="","",IF(OR(ISNUMBER(SEARCH(", "&amp;$B140&amp;", ", ", "&amp;INDEX('Form Responses'!$I$1:$Q$200,8,$A140)&amp;", ")),ISNUMBER(SEARCH(", "&amp;$B140&amp;", ", ", "&amp;INDEX('Form Responses'!$R$1:$R$200,8)&amp;", "))),1,""))</f>
        <v/>
      </c>
      <c r="K140">
        <f>IF(Wizards!$A$9="","",IF(OR(ISNUMBER(SEARCH(", "&amp;$B140&amp;", ", ", "&amp;INDEX('Form Responses'!$I$1:$Q$200,9,$A140)&amp;", ")),ISNUMBER(SEARCH(", "&amp;$B140&amp;", ", ", "&amp;INDEX('Form Responses'!$R$1:$R$200,9)&amp;", "))),1,""))</f>
        <v/>
      </c>
      <c r="L140">
        <f>IF(Wizards!$A$10="","",IF(OR(ISNUMBER(SEARCH(", "&amp;$B140&amp;", ", ", "&amp;INDEX('Form Responses'!$I$1:$Q$200,10,$A140)&amp;", ")),ISNUMBER(SEARCH(", "&amp;$B140&amp;", ", ", "&amp;INDEX('Form Responses'!$R$1:$R$200,10)&amp;", "))),1,""))</f>
        <v/>
      </c>
      <c r="M140">
        <f>IF(Wizards!$A$11="","",IF(OR(ISNUMBER(SEARCH(", "&amp;$B140&amp;", ", ", "&amp;INDEX('Form Responses'!$I$1:$Q$200,11,$A140)&amp;", ")),ISNUMBER(SEARCH(", "&amp;$B140&amp;", ", ", "&amp;INDEX('Form Responses'!$R$1:$R$200,11)&amp;", "))),1,""))</f>
        <v/>
      </c>
      <c r="N140">
        <f>IF(Wizards!$A$12="","",IF(OR(ISNUMBER(SEARCH(", "&amp;$B140&amp;", ", ", "&amp;INDEX('Form Responses'!$I$1:$Q$200,12,$A140)&amp;", ")),ISNUMBER(SEARCH(", "&amp;$B140&amp;", ", ", "&amp;INDEX('Form Responses'!$R$1:$R$200,12)&amp;", "))),1,""))</f>
        <v/>
      </c>
      <c r="O140">
        <f>IF(Wizards!$A$13="","",IF(OR(ISNUMBER(SEARCH(", "&amp;$B140&amp;", ", ", "&amp;INDEX('Form Responses'!$I$1:$Q$200,13,$A140)&amp;", ")),ISNUMBER(SEARCH(", "&amp;$B140&amp;", ", ", "&amp;INDEX('Form Responses'!$R$1:$R$200,13)&amp;", "))),1,""))</f>
        <v/>
      </c>
      <c r="P140">
        <f>IF(Wizards!$A$14="","",IF(OR(ISNUMBER(SEARCH(", "&amp;$B140&amp;", ", ", "&amp;INDEX('Form Responses'!$I$1:$Q$200,14,$A140)&amp;", ")),ISNUMBER(SEARCH(", "&amp;$B140&amp;", ", ", "&amp;INDEX('Form Responses'!$R$1:$R$200,14)&amp;", "))),1,""))</f>
        <v/>
      </c>
      <c r="Q140">
        <f>IF(Wizards!$A$15="","",IF(OR(ISNUMBER(SEARCH(", "&amp;$B140&amp;", ", ", "&amp;INDEX('Form Responses'!$I$1:$Q$200,15,$A140)&amp;", ")),ISNUMBER(SEARCH(", "&amp;$B140&amp;", ", ", "&amp;INDEX('Form Responses'!$R$1:$R$200,15)&amp;", "))),1,""))</f>
        <v/>
      </c>
      <c r="R140">
        <f>IF(Wizards!$A$16="","",IF(OR(ISNUMBER(SEARCH(", "&amp;$B140&amp;", ", ", "&amp;INDEX('Form Responses'!$I$1:$Q$200,16,$A140)&amp;", ")),ISNUMBER(SEARCH(", "&amp;$B140&amp;", ", ", "&amp;INDEX('Form Responses'!$R$1:$R$200,16)&amp;", "))),1,""))</f>
        <v/>
      </c>
      <c r="S140">
        <f>IF(Wizards!$A$17="","",IF(OR(ISNUMBER(SEARCH(", "&amp;$B140&amp;", ", ", "&amp;INDEX('Form Responses'!$I$1:$Q$200,17,$A140)&amp;", ")),ISNUMBER(SEARCH(", "&amp;$B140&amp;", ", ", "&amp;INDEX('Form Responses'!$R$1:$R$200,17)&amp;", "))),1,""))</f>
        <v/>
      </c>
      <c r="T140">
        <f>IF(Wizards!$A$18="","",IF(OR(ISNUMBER(SEARCH(", "&amp;$B140&amp;", ", ", "&amp;INDEX('Form Responses'!$I$1:$Q$200,18,$A140)&amp;", ")),ISNUMBER(SEARCH(", "&amp;$B140&amp;", ", ", "&amp;INDEX('Form Responses'!$R$1:$R$200,18)&amp;", "))),1,""))</f>
        <v/>
      </c>
      <c r="U140">
        <f>IF(Wizards!$A$19="","",IF(OR(ISNUMBER(SEARCH(", "&amp;$B140&amp;", ", ", "&amp;INDEX('Form Responses'!$I$1:$Q$200,19,$A140)&amp;", ")),ISNUMBER(SEARCH(", "&amp;$B140&amp;", ", ", "&amp;INDEX('Form Responses'!$R$1:$R$200,19)&amp;", "))),1,""))</f>
        <v/>
      </c>
      <c r="V140">
        <f>IF(Wizards!$A$20="","",IF(OR(ISNUMBER(SEARCH(", "&amp;$B140&amp;", ", ", "&amp;INDEX('Form Responses'!$I$1:$Q$200,20,$A140)&amp;", ")),ISNUMBER(SEARCH(", "&amp;$B140&amp;", ", ", "&amp;INDEX('Form Responses'!$R$1:$R$200,20)&amp;", "))),1,""))</f>
        <v/>
      </c>
      <c r="W140">
        <f>IF(Wizards!$A$21="","",IF(OR(ISNUMBER(SEARCH(", "&amp;$B140&amp;", ", ", "&amp;INDEX('Form Responses'!$I$1:$Q$200,21,$A140)&amp;", ")),ISNUMBER(SEARCH(", "&amp;$B140&amp;", ", ", "&amp;INDEX('Form Responses'!$R$1:$R$200,21)&amp;", "))),1,""))</f>
        <v/>
      </c>
      <c r="X140">
        <f>IF(Wizards!$A$22="","",IF(OR(ISNUMBER(SEARCH(", "&amp;$B140&amp;", ", ", "&amp;INDEX('Form Responses'!$I$1:$Q$200,22,$A140)&amp;", ")),ISNUMBER(SEARCH(", "&amp;$B140&amp;", ", ", "&amp;INDEX('Form Responses'!$R$1:$R$200,22)&amp;", "))),1,""))</f>
        <v/>
      </c>
      <c r="Y140">
        <f>IF(Wizards!$A$23="","",IF(OR(ISNUMBER(SEARCH(", "&amp;$B140&amp;", ", ", "&amp;INDEX('Form Responses'!$I$1:$Q$200,23,$A140)&amp;", ")),ISNUMBER(SEARCH(", "&amp;$B140&amp;", ", ", "&amp;INDEX('Form Responses'!$R$1:$R$200,23)&amp;", "))),1,""))</f>
        <v/>
      </c>
      <c r="Z140">
        <f>IF(Wizards!$A$24="","",IF(OR(ISNUMBER(SEARCH(", "&amp;$B140&amp;", ", ", "&amp;INDEX('Form Responses'!$I$1:$Q$200,24,$A140)&amp;", ")),ISNUMBER(SEARCH(", "&amp;$B140&amp;", ", ", "&amp;INDEX('Form Responses'!$R$1:$R$200,24)&amp;", "))),1,""))</f>
        <v/>
      </c>
      <c r="AA140">
        <f>IF(Wizards!$A$25="","",IF(OR(ISNUMBER(SEARCH(", "&amp;$B140&amp;", ", ", "&amp;INDEX('Form Responses'!$I$1:$Q$200,25,$A140)&amp;", ")),ISNUMBER(SEARCH(", "&amp;$B140&amp;", ", ", "&amp;INDEX('Form Responses'!$R$1:$R$200,25)&amp;", "))),1,""))</f>
        <v/>
      </c>
      <c r="AB140">
        <f>IF(D140=1,", "&amp;D$1,"")</f>
        <v/>
      </c>
      <c r="AC140">
        <f>IF(E140=1,", "&amp;E$1,"")</f>
        <v/>
      </c>
      <c r="AD140">
        <f>IF(F140=1,", "&amp;F$1,"")</f>
        <v/>
      </c>
      <c r="AE140">
        <f>IF(G140=1,", "&amp;G$1,"")</f>
        <v/>
      </c>
      <c r="AF140">
        <f>IF(H140=1,", "&amp;H$1,"")</f>
        <v/>
      </c>
      <c r="AG140">
        <f>IF(I140=1,", "&amp;I$1,"")</f>
        <v/>
      </c>
      <c r="AH140">
        <f>IF(J140=1,", "&amp;J$1,"")</f>
        <v/>
      </c>
      <c r="AI140">
        <f>IF(K140=1,", "&amp;K$1,"")</f>
        <v/>
      </c>
      <c r="AJ140">
        <f>IF(L140=1,", "&amp;L$1,"")</f>
        <v/>
      </c>
      <c r="AK140">
        <f>IF(M140=1,", "&amp;M$1,"")</f>
        <v/>
      </c>
      <c r="AL140">
        <f>IF(N140=1,", "&amp;N$1,"")</f>
        <v/>
      </c>
      <c r="AM140">
        <f>IF(O140=1,", "&amp;O$1,"")</f>
        <v/>
      </c>
      <c r="AN140">
        <f>IF(P140=1,", "&amp;P$1,"")</f>
        <v/>
      </c>
      <c r="AO140">
        <f>IF(Q140=1,", "&amp;Q$1,"")</f>
        <v/>
      </c>
      <c r="AP140">
        <f>IF(R140=1,", "&amp;R$1,"")</f>
        <v/>
      </c>
      <c r="AQ140">
        <f>IF(S140=1,", "&amp;S$1,"")</f>
        <v/>
      </c>
      <c r="AR140">
        <f>IF(T140=1,", "&amp;T$1,"")</f>
        <v/>
      </c>
      <c r="AS140">
        <f>IF(U140=1,", "&amp;U$1,"")</f>
        <v/>
      </c>
      <c r="AT140">
        <f>IF(V140=1,", "&amp;V$1,"")</f>
        <v/>
      </c>
      <c r="AU140">
        <f>IF(W140=1,", "&amp;W$1,"")</f>
        <v/>
      </c>
      <c r="AV140">
        <f>IF(X140=1,", "&amp;X$1,"")</f>
        <v/>
      </c>
      <c r="AW140">
        <f>IF(Y140=1,", "&amp;Y$1,"")</f>
        <v/>
      </c>
      <c r="AX140">
        <f>IF(Z140=1,", "&amp;Z$1,"")</f>
        <v/>
      </c>
      <c r="AY140">
        <f>IF(AA140=1,", "&amp;AA$1,"")</f>
        <v/>
      </c>
      <c r="AZ140">
        <f>MID($AB140&amp;$AC140&amp;$AD140&amp;$AE140&amp;$AF140&amp;$AG140&amp;$AH140&amp;$AI140&amp;$AJ140&amp;$AK140&amp;$AL140&amp;$AM140&amp;$AN140&amp;$AO140&amp;$AP140&amp;$AQ140&amp;$AR140&amp;$AS140&amp;$AT140&amp;$AU140&amp;$AV140&amp;$AW140&amp;$AX140&amp;$AY140,3,32767)</f>
        <v/>
      </c>
      <c r="BA140">
        <f>COUNT($D140:$AA140)</f>
        <v/>
      </c>
    </row>
    <row r="141">
      <c r="A141" t="n">
        <v>3</v>
      </c>
      <c r="B141" t="inlineStr">
        <is>
          <t>Sending</t>
        </is>
      </c>
      <c r="C141" t="inlineStr">
        <is>
          <t>Divination</t>
        </is>
      </c>
      <c r="D141">
        <f>IF(Wizards!$A$2="","",IF(OR(ISNUMBER(SEARCH(", "&amp;$B141&amp;", ", ", "&amp;INDEX('Form Responses'!$I$1:$Q$200,2,$A141)&amp;", ")),ISNUMBER(SEARCH(", "&amp;$B141&amp;", ", ", "&amp;INDEX('Form Responses'!$R$1:$R$200,2)&amp;", "))),1,""))</f>
        <v/>
      </c>
      <c r="E141">
        <f>IF(Wizards!$A$3="","",IF(OR(ISNUMBER(SEARCH(", "&amp;$B141&amp;", ", ", "&amp;INDEX('Form Responses'!$I$1:$Q$200,3,$A141)&amp;", ")),ISNUMBER(SEARCH(", "&amp;$B141&amp;", ", ", "&amp;INDEX('Form Responses'!$R$1:$R$200,3)&amp;", "))),1,""))</f>
        <v/>
      </c>
      <c r="F141">
        <f>IF(Wizards!$A$4="","",IF(OR(ISNUMBER(SEARCH(", "&amp;$B141&amp;", ", ", "&amp;INDEX('Form Responses'!$I$1:$Q$200,4,$A141)&amp;", ")),ISNUMBER(SEARCH(", "&amp;$B141&amp;", ", ", "&amp;INDEX('Form Responses'!$R$1:$R$200,4)&amp;", "))),1,""))</f>
        <v/>
      </c>
      <c r="G141">
        <f>IF(Wizards!$A$5="","",IF(OR(ISNUMBER(SEARCH(", "&amp;$B141&amp;", ", ", "&amp;INDEX('Form Responses'!$I$1:$Q$200,5,$A141)&amp;", ")),ISNUMBER(SEARCH(", "&amp;$B141&amp;", ", ", "&amp;INDEX('Form Responses'!$R$1:$R$200,5)&amp;", "))),1,""))</f>
        <v/>
      </c>
      <c r="H141">
        <f>IF(Wizards!$A$6="","",IF(OR(ISNUMBER(SEARCH(", "&amp;$B141&amp;", ", ", "&amp;INDEX('Form Responses'!$I$1:$Q$200,6,$A141)&amp;", ")),ISNUMBER(SEARCH(", "&amp;$B141&amp;", ", ", "&amp;INDEX('Form Responses'!$R$1:$R$200,6)&amp;", "))),1,""))</f>
        <v/>
      </c>
      <c r="I141">
        <f>IF(Wizards!$A$7="","",IF(OR(ISNUMBER(SEARCH(", "&amp;$B141&amp;", ", ", "&amp;INDEX('Form Responses'!$I$1:$Q$200,7,$A141)&amp;", ")),ISNUMBER(SEARCH(", "&amp;$B141&amp;", ", ", "&amp;INDEX('Form Responses'!$R$1:$R$200,7)&amp;", "))),1,""))</f>
        <v/>
      </c>
      <c r="J141">
        <f>IF(Wizards!$A$8="","",IF(OR(ISNUMBER(SEARCH(", "&amp;$B141&amp;", ", ", "&amp;INDEX('Form Responses'!$I$1:$Q$200,8,$A141)&amp;", ")),ISNUMBER(SEARCH(", "&amp;$B141&amp;", ", ", "&amp;INDEX('Form Responses'!$R$1:$R$200,8)&amp;", "))),1,""))</f>
        <v/>
      </c>
      <c r="K141">
        <f>IF(Wizards!$A$9="","",IF(OR(ISNUMBER(SEARCH(", "&amp;$B141&amp;", ", ", "&amp;INDEX('Form Responses'!$I$1:$Q$200,9,$A141)&amp;", ")),ISNUMBER(SEARCH(", "&amp;$B141&amp;", ", ", "&amp;INDEX('Form Responses'!$R$1:$R$200,9)&amp;", "))),1,""))</f>
        <v/>
      </c>
      <c r="L141">
        <f>IF(Wizards!$A$10="","",IF(OR(ISNUMBER(SEARCH(", "&amp;$B141&amp;", ", ", "&amp;INDEX('Form Responses'!$I$1:$Q$200,10,$A141)&amp;", ")),ISNUMBER(SEARCH(", "&amp;$B141&amp;", ", ", "&amp;INDEX('Form Responses'!$R$1:$R$200,10)&amp;", "))),1,""))</f>
        <v/>
      </c>
      <c r="M141">
        <f>IF(Wizards!$A$11="","",IF(OR(ISNUMBER(SEARCH(", "&amp;$B141&amp;", ", ", "&amp;INDEX('Form Responses'!$I$1:$Q$200,11,$A141)&amp;", ")),ISNUMBER(SEARCH(", "&amp;$B141&amp;", ", ", "&amp;INDEX('Form Responses'!$R$1:$R$200,11)&amp;", "))),1,""))</f>
        <v/>
      </c>
      <c r="N141">
        <f>IF(Wizards!$A$12="","",IF(OR(ISNUMBER(SEARCH(", "&amp;$B141&amp;", ", ", "&amp;INDEX('Form Responses'!$I$1:$Q$200,12,$A141)&amp;", ")),ISNUMBER(SEARCH(", "&amp;$B141&amp;", ", ", "&amp;INDEX('Form Responses'!$R$1:$R$200,12)&amp;", "))),1,""))</f>
        <v/>
      </c>
      <c r="O141">
        <f>IF(Wizards!$A$13="","",IF(OR(ISNUMBER(SEARCH(", "&amp;$B141&amp;", ", ", "&amp;INDEX('Form Responses'!$I$1:$Q$200,13,$A141)&amp;", ")),ISNUMBER(SEARCH(", "&amp;$B141&amp;", ", ", "&amp;INDEX('Form Responses'!$R$1:$R$200,13)&amp;", "))),1,""))</f>
        <v/>
      </c>
      <c r="P141">
        <f>IF(Wizards!$A$14="","",IF(OR(ISNUMBER(SEARCH(", "&amp;$B141&amp;", ", ", "&amp;INDEX('Form Responses'!$I$1:$Q$200,14,$A141)&amp;", ")),ISNUMBER(SEARCH(", "&amp;$B141&amp;", ", ", "&amp;INDEX('Form Responses'!$R$1:$R$200,14)&amp;", "))),1,""))</f>
        <v/>
      </c>
      <c r="Q141">
        <f>IF(Wizards!$A$15="","",IF(OR(ISNUMBER(SEARCH(", "&amp;$B141&amp;", ", ", "&amp;INDEX('Form Responses'!$I$1:$Q$200,15,$A141)&amp;", ")),ISNUMBER(SEARCH(", "&amp;$B141&amp;", ", ", "&amp;INDEX('Form Responses'!$R$1:$R$200,15)&amp;", "))),1,""))</f>
        <v/>
      </c>
      <c r="R141">
        <f>IF(Wizards!$A$16="","",IF(OR(ISNUMBER(SEARCH(", "&amp;$B141&amp;", ", ", "&amp;INDEX('Form Responses'!$I$1:$Q$200,16,$A141)&amp;", ")),ISNUMBER(SEARCH(", "&amp;$B141&amp;", ", ", "&amp;INDEX('Form Responses'!$R$1:$R$200,16)&amp;", "))),1,""))</f>
        <v/>
      </c>
      <c r="S141">
        <f>IF(Wizards!$A$17="","",IF(OR(ISNUMBER(SEARCH(", "&amp;$B141&amp;", ", ", "&amp;INDEX('Form Responses'!$I$1:$Q$200,17,$A141)&amp;", ")),ISNUMBER(SEARCH(", "&amp;$B141&amp;", ", ", "&amp;INDEX('Form Responses'!$R$1:$R$200,17)&amp;", "))),1,""))</f>
        <v/>
      </c>
      <c r="T141">
        <f>IF(Wizards!$A$18="","",IF(OR(ISNUMBER(SEARCH(", "&amp;$B141&amp;", ", ", "&amp;INDEX('Form Responses'!$I$1:$Q$200,18,$A141)&amp;", ")),ISNUMBER(SEARCH(", "&amp;$B141&amp;", ", ", "&amp;INDEX('Form Responses'!$R$1:$R$200,18)&amp;", "))),1,""))</f>
        <v/>
      </c>
      <c r="U141">
        <f>IF(Wizards!$A$19="","",IF(OR(ISNUMBER(SEARCH(", "&amp;$B141&amp;", ", ", "&amp;INDEX('Form Responses'!$I$1:$Q$200,19,$A141)&amp;", ")),ISNUMBER(SEARCH(", "&amp;$B141&amp;", ", ", "&amp;INDEX('Form Responses'!$R$1:$R$200,19)&amp;", "))),1,""))</f>
        <v/>
      </c>
      <c r="V141">
        <f>IF(Wizards!$A$20="","",IF(OR(ISNUMBER(SEARCH(", "&amp;$B141&amp;", ", ", "&amp;INDEX('Form Responses'!$I$1:$Q$200,20,$A141)&amp;", ")),ISNUMBER(SEARCH(", "&amp;$B141&amp;", ", ", "&amp;INDEX('Form Responses'!$R$1:$R$200,20)&amp;", "))),1,""))</f>
        <v/>
      </c>
      <c r="W141">
        <f>IF(Wizards!$A$21="","",IF(OR(ISNUMBER(SEARCH(", "&amp;$B141&amp;", ", ", "&amp;INDEX('Form Responses'!$I$1:$Q$200,21,$A141)&amp;", ")),ISNUMBER(SEARCH(", "&amp;$B141&amp;", ", ", "&amp;INDEX('Form Responses'!$R$1:$R$200,21)&amp;", "))),1,""))</f>
        <v/>
      </c>
      <c r="X141">
        <f>IF(Wizards!$A$22="","",IF(OR(ISNUMBER(SEARCH(", "&amp;$B141&amp;", ", ", "&amp;INDEX('Form Responses'!$I$1:$Q$200,22,$A141)&amp;", ")),ISNUMBER(SEARCH(", "&amp;$B141&amp;", ", ", "&amp;INDEX('Form Responses'!$R$1:$R$200,22)&amp;", "))),1,""))</f>
        <v/>
      </c>
      <c r="Y141">
        <f>IF(Wizards!$A$23="","",IF(OR(ISNUMBER(SEARCH(", "&amp;$B141&amp;", ", ", "&amp;INDEX('Form Responses'!$I$1:$Q$200,23,$A141)&amp;", ")),ISNUMBER(SEARCH(", "&amp;$B141&amp;", ", ", "&amp;INDEX('Form Responses'!$R$1:$R$200,23)&amp;", "))),1,""))</f>
        <v/>
      </c>
      <c r="Z141">
        <f>IF(Wizards!$A$24="","",IF(OR(ISNUMBER(SEARCH(", "&amp;$B141&amp;", ", ", "&amp;INDEX('Form Responses'!$I$1:$Q$200,24,$A141)&amp;", ")),ISNUMBER(SEARCH(", "&amp;$B141&amp;", ", ", "&amp;INDEX('Form Responses'!$R$1:$R$200,24)&amp;", "))),1,""))</f>
        <v/>
      </c>
      <c r="AA141">
        <f>IF(Wizards!$A$25="","",IF(OR(ISNUMBER(SEARCH(", "&amp;$B141&amp;", ", ", "&amp;INDEX('Form Responses'!$I$1:$Q$200,25,$A141)&amp;", ")),ISNUMBER(SEARCH(", "&amp;$B141&amp;", ", ", "&amp;INDEX('Form Responses'!$R$1:$R$200,25)&amp;", "))),1,""))</f>
        <v/>
      </c>
      <c r="AB141">
        <f>IF(D141=1,", "&amp;D$1,"")</f>
        <v/>
      </c>
      <c r="AC141">
        <f>IF(E141=1,", "&amp;E$1,"")</f>
        <v/>
      </c>
      <c r="AD141">
        <f>IF(F141=1,", "&amp;F$1,"")</f>
        <v/>
      </c>
      <c r="AE141">
        <f>IF(G141=1,", "&amp;G$1,"")</f>
        <v/>
      </c>
      <c r="AF141">
        <f>IF(H141=1,", "&amp;H$1,"")</f>
        <v/>
      </c>
      <c r="AG141">
        <f>IF(I141=1,", "&amp;I$1,"")</f>
        <v/>
      </c>
      <c r="AH141">
        <f>IF(J141=1,", "&amp;J$1,"")</f>
        <v/>
      </c>
      <c r="AI141">
        <f>IF(K141=1,", "&amp;K$1,"")</f>
        <v/>
      </c>
      <c r="AJ141">
        <f>IF(L141=1,", "&amp;L$1,"")</f>
        <v/>
      </c>
      <c r="AK141">
        <f>IF(M141=1,", "&amp;M$1,"")</f>
        <v/>
      </c>
      <c r="AL141">
        <f>IF(N141=1,", "&amp;N$1,"")</f>
        <v/>
      </c>
      <c r="AM141">
        <f>IF(O141=1,", "&amp;O$1,"")</f>
        <v/>
      </c>
      <c r="AN141">
        <f>IF(P141=1,", "&amp;P$1,"")</f>
        <v/>
      </c>
      <c r="AO141">
        <f>IF(Q141=1,", "&amp;Q$1,"")</f>
        <v/>
      </c>
      <c r="AP141">
        <f>IF(R141=1,", "&amp;R$1,"")</f>
        <v/>
      </c>
      <c r="AQ141">
        <f>IF(S141=1,", "&amp;S$1,"")</f>
        <v/>
      </c>
      <c r="AR141">
        <f>IF(T141=1,", "&amp;T$1,"")</f>
        <v/>
      </c>
      <c r="AS141">
        <f>IF(U141=1,", "&amp;U$1,"")</f>
        <v/>
      </c>
      <c r="AT141">
        <f>IF(V141=1,", "&amp;V$1,"")</f>
        <v/>
      </c>
      <c r="AU141">
        <f>IF(W141=1,", "&amp;W$1,"")</f>
        <v/>
      </c>
      <c r="AV141">
        <f>IF(X141=1,", "&amp;X$1,"")</f>
        <v/>
      </c>
      <c r="AW141">
        <f>IF(Y141=1,", "&amp;Y$1,"")</f>
        <v/>
      </c>
      <c r="AX141">
        <f>IF(Z141=1,", "&amp;Z$1,"")</f>
        <v/>
      </c>
      <c r="AY141">
        <f>IF(AA141=1,", "&amp;AA$1,"")</f>
        <v/>
      </c>
      <c r="AZ141">
        <f>MID($AB141&amp;$AC141&amp;$AD141&amp;$AE141&amp;$AF141&amp;$AG141&amp;$AH141&amp;$AI141&amp;$AJ141&amp;$AK141&amp;$AL141&amp;$AM141&amp;$AN141&amp;$AO141&amp;$AP141&amp;$AQ141&amp;$AR141&amp;$AS141&amp;$AT141&amp;$AU141&amp;$AV141&amp;$AW141&amp;$AX141&amp;$AY141,3,32767)</f>
        <v/>
      </c>
      <c r="BA141">
        <f>COUNT($D141:$AA141)</f>
        <v/>
      </c>
    </row>
    <row r="142">
      <c r="A142" t="n">
        <v>3</v>
      </c>
      <c r="B142" t="inlineStr">
        <is>
          <t>Sleet Storm</t>
        </is>
      </c>
      <c r="C142" t="inlineStr">
        <is>
          <t>Conjuration</t>
        </is>
      </c>
      <c r="D142">
        <f>IF(Wizards!$A$2="","",IF(OR(ISNUMBER(SEARCH(", "&amp;$B142&amp;", ", ", "&amp;INDEX('Form Responses'!$I$1:$Q$200,2,$A142)&amp;", ")),ISNUMBER(SEARCH(", "&amp;$B142&amp;", ", ", "&amp;INDEX('Form Responses'!$R$1:$R$200,2)&amp;", "))),1,""))</f>
        <v/>
      </c>
      <c r="E142">
        <f>IF(Wizards!$A$3="","",IF(OR(ISNUMBER(SEARCH(", "&amp;$B142&amp;", ", ", "&amp;INDEX('Form Responses'!$I$1:$Q$200,3,$A142)&amp;", ")),ISNUMBER(SEARCH(", "&amp;$B142&amp;", ", ", "&amp;INDEX('Form Responses'!$R$1:$R$200,3)&amp;", "))),1,""))</f>
        <v/>
      </c>
      <c r="F142">
        <f>IF(Wizards!$A$4="","",IF(OR(ISNUMBER(SEARCH(", "&amp;$B142&amp;", ", ", "&amp;INDEX('Form Responses'!$I$1:$Q$200,4,$A142)&amp;", ")),ISNUMBER(SEARCH(", "&amp;$B142&amp;", ", ", "&amp;INDEX('Form Responses'!$R$1:$R$200,4)&amp;", "))),1,""))</f>
        <v/>
      </c>
      <c r="G142">
        <f>IF(Wizards!$A$5="","",IF(OR(ISNUMBER(SEARCH(", "&amp;$B142&amp;", ", ", "&amp;INDEX('Form Responses'!$I$1:$Q$200,5,$A142)&amp;", ")),ISNUMBER(SEARCH(", "&amp;$B142&amp;", ", ", "&amp;INDEX('Form Responses'!$R$1:$R$200,5)&amp;", "))),1,""))</f>
        <v/>
      </c>
      <c r="H142">
        <f>IF(Wizards!$A$6="","",IF(OR(ISNUMBER(SEARCH(", "&amp;$B142&amp;", ", ", "&amp;INDEX('Form Responses'!$I$1:$Q$200,6,$A142)&amp;", ")),ISNUMBER(SEARCH(", "&amp;$B142&amp;", ", ", "&amp;INDEX('Form Responses'!$R$1:$R$200,6)&amp;", "))),1,""))</f>
        <v/>
      </c>
      <c r="I142">
        <f>IF(Wizards!$A$7="","",IF(OR(ISNUMBER(SEARCH(", "&amp;$B142&amp;", ", ", "&amp;INDEX('Form Responses'!$I$1:$Q$200,7,$A142)&amp;", ")),ISNUMBER(SEARCH(", "&amp;$B142&amp;", ", ", "&amp;INDEX('Form Responses'!$R$1:$R$200,7)&amp;", "))),1,""))</f>
        <v/>
      </c>
      <c r="J142">
        <f>IF(Wizards!$A$8="","",IF(OR(ISNUMBER(SEARCH(", "&amp;$B142&amp;", ", ", "&amp;INDEX('Form Responses'!$I$1:$Q$200,8,$A142)&amp;", ")),ISNUMBER(SEARCH(", "&amp;$B142&amp;", ", ", "&amp;INDEX('Form Responses'!$R$1:$R$200,8)&amp;", "))),1,""))</f>
        <v/>
      </c>
      <c r="K142">
        <f>IF(Wizards!$A$9="","",IF(OR(ISNUMBER(SEARCH(", "&amp;$B142&amp;", ", ", "&amp;INDEX('Form Responses'!$I$1:$Q$200,9,$A142)&amp;", ")),ISNUMBER(SEARCH(", "&amp;$B142&amp;", ", ", "&amp;INDEX('Form Responses'!$R$1:$R$200,9)&amp;", "))),1,""))</f>
        <v/>
      </c>
      <c r="L142">
        <f>IF(Wizards!$A$10="","",IF(OR(ISNUMBER(SEARCH(", "&amp;$B142&amp;", ", ", "&amp;INDEX('Form Responses'!$I$1:$Q$200,10,$A142)&amp;", ")),ISNUMBER(SEARCH(", "&amp;$B142&amp;", ", ", "&amp;INDEX('Form Responses'!$R$1:$R$200,10)&amp;", "))),1,""))</f>
        <v/>
      </c>
      <c r="M142">
        <f>IF(Wizards!$A$11="","",IF(OR(ISNUMBER(SEARCH(", "&amp;$B142&amp;", ", ", "&amp;INDEX('Form Responses'!$I$1:$Q$200,11,$A142)&amp;", ")),ISNUMBER(SEARCH(", "&amp;$B142&amp;", ", ", "&amp;INDEX('Form Responses'!$R$1:$R$200,11)&amp;", "))),1,""))</f>
        <v/>
      </c>
      <c r="N142">
        <f>IF(Wizards!$A$12="","",IF(OR(ISNUMBER(SEARCH(", "&amp;$B142&amp;", ", ", "&amp;INDEX('Form Responses'!$I$1:$Q$200,12,$A142)&amp;", ")),ISNUMBER(SEARCH(", "&amp;$B142&amp;", ", ", "&amp;INDEX('Form Responses'!$R$1:$R$200,12)&amp;", "))),1,""))</f>
        <v/>
      </c>
      <c r="O142">
        <f>IF(Wizards!$A$13="","",IF(OR(ISNUMBER(SEARCH(", "&amp;$B142&amp;", ", ", "&amp;INDEX('Form Responses'!$I$1:$Q$200,13,$A142)&amp;", ")),ISNUMBER(SEARCH(", "&amp;$B142&amp;", ", ", "&amp;INDEX('Form Responses'!$R$1:$R$200,13)&amp;", "))),1,""))</f>
        <v/>
      </c>
      <c r="P142">
        <f>IF(Wizards!$A$14="","",IF(OR(ISNUMBER(SEARCH(", "&amp;$B142&amp;", ", ", "&amp;INDEX('Form Responses'!$I$1:$Q$200,14,$A142)&amp;", ")),ISNUMBER(SEARCH(", "&amp;$B142&amp;", ", ", "&amp;INDEX('Form Responses'!$R$1:$R$200,14)&amp;", "))),1,""))</f>
        <v/>
      </c>
      <c r="Q142">
        <f>IF(Wizards!$A$15="","",IF(OR(ISNUMBER(SEARCH(", "&amp;$B142&amp;", ", ", "&amp;INDEX('Form Responses'!$I$1:$Q$200,15,$A142)&amp;", ")),ISNUMBER(SEARCH(", "&amp;$B142&amp;", ", ", "&amp;INDEX('Form Responses'!$R$1:$R$200,15)&amp;", "))),1,""))</f>
        <v/>
      </c>
      <c r="R142">
        <f>IF(Wizards!$A$16="","",IF(OR(ISNUMBER(SEARCH(", "&amp;$B142&amp;", ", ", "&amp;INDEX('Form Responses'!$I$1:$Q$200,16,$A142)&amp;", ")),ISNUMBER(SEARCH(", "&amp;$B142&amp;", ", ", "&amp;INDEX('Form Responses'!$R$1:$R$200,16)&amp;", "))),1,""))</f>
        <v/>
      </c>
      <c r="S142">
        <f>IF(Wizards!$A$17="","",IF(OR(ISNUMBER(SEARCH(", "&amp;$B142&amp;", ", ", "&amp;INDEX('Form Responses'!$I$1:$Q$200,17,$A142)&amp;", ")),ISNUMBER(SEARCH(", "&amp;$B142&amp;", ", ", "&amp;INDEX('Form Responses'!$R$1:$R$200,17)&amp;", "))),1,""))</f>
        <v/>
      </c>
      <c r="T142">
        <f>IF(Wizards!$A$18="","",IF(OR(ISNUMBER(SEARCH(", "&amp;$B142&amp;", ", ", "&amp;INDEX('Form Responses'!$I$1:$Q$200,18,$A142)&amp;", ")),ISNUMBER(SEARCH(", "&amp;$B142&amp;", ", ", "&amp;INDEX('Form Responses'!$R$1:$R$200,18)&amp;", "))),1,""))</f>
        <v/>
      </c>
      <c r="U142">
        <f>IF(Wizards!$A$19="","",IF(OR(ISNUMBER(SEARCH(", "&amp;$B142&amp;", ", ", "&amp;INDEX('Form Responses'!$I$1:$Q$200,19,$A142)&amp;", ")),ISNUMBER(SEARCH(", "&amp;$B142&amp;", ", ", "&amp;INDEX('Form Responses'!$R$1:$R$200,19)&amp;", "))),1,""))</f>
        <v/>
      </c>
      <c r="V142">
        <f>IF(Wizards!$A$20="","",IF(OR(ISNUMBER(SEARCH(", "&amp;$B142&amp;", ", ", "&amp;INDEX('Form Responses'!$I$1:$Q$200,20,$A142)&amp;", ")),ISNUMBER(SEARCH(", "&amp;$B142&amp;", ", ", "&amp;INDEX('Form Responses'!$R$1:$R$200,20)&amp;", "))),1,""))</f>
        <v/>
      </c>
      <c r="W142">
        <f>IF(Wizards!$A$21="","",IF(OR(ISNUMBER(SEARCH(", "&amp;$B142&amp;", ", ", "&amp;INDEX('Form Responses'!$I$1:$Q$200,21,$A142)&amp;", ")),ISNUMBER(SEARCH(", "&amp;$B142&amp;", ", ", "&amp;INDEX('Form Responses'!$R$1:$R$200,21)&amp;", "))),1,""))</f>
        <v/>
      </c>
      <c r="X142">
        <f>IF(Wizards!$A$22="","",IF(OR(ISNUMBER(SEARCH(", "&amp;$B142&amp;", ", ", "&amp;INDEX('Form Responses'!$I$1:$Q$200,22,$A142)&amp;", ")),ISNUMBER(SEARCH(", "&amp;$B142&amp;", ", ", "&amp;INDEX('Form Responses'!$R$1:$R$200,22)&amp;", "))),1,""))</f>
        <v/>
      </c>
      <c r="Y142">
        <f>IF(Wizards!$A$23="","",IF(OR(ISNUMBER(SEARCH(", "&amp;$B142&amp;", ", ", "&amp;INDEX('Form Responses'!$I$1:$Q$200,23,$A142)&amp;", ")),ISNUMBER(SEARCH(", "&amp;$B142&amp;", ", ", "&amp;INDEX('Form Responses'!$R$1:$R$200,23)&amp;", "))),1,""))</f>
        <v/>
      </c>
      <c r="Z142">
        <f>IF(Wizards!$A$24="","",IF(OR(ISNUMBER(SEARCH(", "&amp;$B142&amp;", ", ", "&amp;INDEX('Form Responses'!$I$1:$Q$200,24,$A142)&amp;", ")),ISNUMBER(SEARCH(", "&amp;$B142&amp;", ", ", "&amp;INDEX('Form Responses'!$R$1:$R$200,24)&amp;", "))),1,""))</f>
        <v/>
      </c>
      <c r="AA142">
        <f>IF(Wizards!$A$25="","",IF(OR(ISNUMBER(SEARCH(", "&amp;$B142&amp;", ", ", "&amp;INDEX('Form Responses'!$I$1:$Q$200,25,$A142)&amp;", ")),ISNUMBER(SEARCH(", "&amp;$B142&amp;", ", ", "&amp;INDEX('Form Responses'!$R$1:$R$200,25)&amp;", "))),1,""))</f>
        <v/>
      </c>
      <c r="AB142">
        <f>IF(D142=1,", "&amp;D$1,"")</f>
        <v/>
      </c>
      <c r="AC142">
        <f>IF(E142=1,", "&amp;E$1,"")</f>
        <v/>
      </c>
      <c r="AD142">
        <f>IF(F142=1,", "&amp;F$1,"")</f>
        <v/>
      </c>
      <c r="AE142">
        <f>IF(G142=1,", "&amp;G$1,"")</f>
        <v/>
      </c>
      <c r="AF142">
        <f>IF(H142=1,", "&amp;H$1,"")</f>
        <v/>
      </c>
      <c r="AG142">
        <f>IF(I142=1,", "&amp;I$1,"")</f>
        <v/>
      </c>
      <c r="AH142">
        <f>IF(J142=1,", "&amp;J$1,"")</f>
        <v/>
      </c>
      <c r="AI142">
        <f>IF(K142=1,", "&amp;K$1,"")</f>
        <v/>
      </c>
      <c r="AJ142">
        <f>IF(L142=1,", "&amp;L$1,"")</f>
        <v/>
      </c>
      <c r="AK142">
        <f>IF(M142=1,", "&amp;M$1,"")</f>
        <v/>
      </c>
      <c r="AL142">
        <f>IF(N142=1,", "&amp;N$1,"")</f>
        <v/>
      </c>
      <c r="AM142">
        <f>IF(O142=1,", "&amp;O$1,"")</f>
        <v/>
      </c>
      <c r="AN142">
        <f>IF(P142=1,", "&amp;P$1,"")</f>
        <v/>
      </c>
      <c r="AO142">
        <f>IF(Q142=1,", "&amp;Q$1,"")</f>
        <v/>
      </c>
      <c r="AP142">
        <f>IF(R142=1,", "&amp;R$1,"")</f>
        <v/>
      </c>
      <c r="AQ142">
        <f>IF(S142=1,", "&amp;S$1,"")</f>
        <v/>
      </c>
      <c r="AR142">
        <f>IF(T142=1,", "&amp;T$1,"")</f>
        <v/>
      </c>
      <c r="AS142">
        <f>IF(U142=1,", "&amp;U$1,"")</f>
        <v/>
      </c>
      <c r="AT142">
        <f>IF(V142=1,", "&amp;V$1,"")</f>
        <v/>
      </c>
      <c r="AU142">
        <f>IF(W142=1,", "&amp;W$1,"")</f>
        <v/>
      </c>
      <c r="AV142">
        <f>IF(X142=1,", "&amp;X$1,"")</f>
        <v/>
      </c>
      <c r="AW142">
        <f>IF(Y142=1,", "&amp;Y$1,"")</f>
        <v/>
      </c>
      <c r="AX142">
        <f>IF(Z142=1,", "&amp;Z$1,"")</f>
        <v/>
      </c>
      <c r="AY142">
        <f>IF(AA142=1,", "&amp;AA$1,"")</f>
        <v/>
      </c>
      <c r="AZ142">
        <f>MID($AB142&amp;$AC142&amp;$AD142&amp;$AE142&amp;$AF142&amp;$AG142&amp;$AH142&amp;$AI142&amp;$AJ142&amp;$AK142&amp;$AL142&amp;$AM142&amp;$AN142&amp;$AO142&amp;$AP142&amp;$AQ142&amp;$AR142&amp;$AS142&amp;$AT142&amp;$AU142&amp;$AV142&amp;$AW142&amp;$AX142&amp;$AY142,3,32767)</f>
        <v/>
      </c>
      <c r="BA142">
        <f>COUNT($D142:$AA142)</f>
        <v/>
      </c>
    </row>
    <row r="143">
      <c r="A143" t="n">
        <v>3</v>
      </c>
      <c r="B143" t="inlineStr">
        <is>
          <t>Slow</t>
        </is>
      </c>
      <c r="C143" t="inlineStr">
        <is>
          <t>Transmutation</t>
        </is>
      </c>
      <c r="D143">
        <f>IF(Wizards!$A$2="","",IF(OR(ISNUMBER(SEARCH(", "&amp;$B143&amp;", ", ", "&amp;INDEX('Form Responses'!$I$1:$Q$200,2,$A143)&amp;", ")),ISNUMBER(SEARCH(", "&amp;$B143&amp;", ", ", "&amp;INDEX('Form Responses'!$R$1:$R$200,2)&amp;", "))),1,""))</f>
        <v/>
      </c>
      <c r="E143">
        <f>IF(Wizards!$A$3="","",IF(OR(ISNUMBER(SEARCH(", "&amp;$B143&amp;", ", ", "&amp;INDEX('Form Responses'!$I$1:$Q$200,3,$A143)&amp;", ")),ISNUMBER(SEARCH(", "&amp;$B143&amp;", ", ", "&amp;INDEX('Form Responses'!$R$1:$R$200,3)&amp;", "))),1,""))</f>
        <v/>
      </c>
      <c r="F143">
        <f>IF(Wizards!$A$4="","",IF(OR(ISNUMBER(SEARCH(", "&amp;$B143&amp;", ", ", "&amp;INDEX('Form Responses'!$I$1:$Q$200,4,$A143)&amp;", ")),ISNUMBER(SEARCH(", "&amp;$B143&amp;", ", ", "&amp;INDEX('Form Responses'!$R$1:$R$200,4)&amp;", "))),1,""))</f>
        <v/>
      </c>
      <c r="G143">
        <f>IF(Wizards!$A$5="","",IF(OR(ISNUMBER(SEARCH(", "&amp;$B143&amp;", ", ", "&amp;INDEX('Form Responses'!$I$1:$Q$200,5,$A143)&amp;", ")),ISNUMBER(SEARCH(", "&amp;$B143&amp;", ", ", "&amp;INDEX('Form Responses'!$R$1:$R$200,5)&amp;", "))),1,""))</f>
        <v/>
      </c>
      <c r="H143">
        <f>IF(Wizards!$A$6="","",IF(OR(ISNUMBER(SEARCH(", "&amp;$B143&amp;", ", ", "&amp;INDEX('Form Responses'!$I$1:$Q$200,6,$A143)&amp;", ")),ISNUMBER(SEARCH(", "&amp;$B143&amp;", ", ", "&amp;INDEX('Form Responses'!$R$1:$R$200,6)&amp;", "))),1,""))</f>
        <v/>
      </c>
      <c r="I143">
        <f>IF(Wizards!$A$7="","",IF(OR(ISNUMBER(SEARCH(", "&amp;$B143&amp;", ", ", "&amp;INDEX('Form Responses'!$I$1:$Q$200,7,$A143)&amp;", ")),ISNUMBER(SEARCH(", "&amp;$B143&amp;", ", ", "&amp;INDEX('Form Responses'!$R$1:$R$200,7)&amp;", "))),1,""))</f>
        <v/>
      </c>
      <c r="J143">
        <f>IF(Wizards!$A$8="","",IF(OR(ISNUMBER(SEARCH(", "&amp;$B143&amp;", ", ", "&amp;INDEX('Form Responses'!$I$1:$Q$200,8,$A143)&amp;", ")),ISNUMBER(SEARCH(", "&amp;$B143&amp;", ", ", "&amp;INDEX('Form Responses'!$R$1:$R$200,8)&amp;", "))),1,""))</f>
        <v/>
      </c>
      <c r="K143">
        <f>IF(Wizards!$A$9="","",IF(OR(ISNUMBER(SEARCH(", "&amp;$B143&amp;", ", ", "&amp;INDEX('Form Responses'!$I$1:$Q$200,9,$A143)&amp;", ")),ISNUMBER(SEARCH(", "&amp;$B143&amp;", ", ", "&amp;INDEX('Form Responses'!$R$1:$R$200,9)&amp;", "))),1,""))</f>
        <v/>
      </c>
      <c r="L143">
        <f>IF(Wizards!$A$10="","",IF(OR(ISNUMBER(SEARCH(", "&amp;$B143&amp;", ", ", "&amp;INDEX('Form Responses'!$I$1:$Q$200,10,$A143)&amp;", ")),ISNUMBER(SEARCH(", "&amp;$B143&amp;", ", ", "&amp;INDEX('Form Responses'!$R$1:$R$200,10)&amp;", "))),1,""))</f>
        <v/>
      </c>
      <c r="M143">
        <f>IF(Wizards!$A$11="","",IF(OR(ISNUMBER(SEARCH(", "&amp;$B143&amp;", ", ", "&amp;INDEX('Form Responses'!$I$1:$Q$200,11,$A143)&amp;", ")),ISNUMBER(SEARCH(", "&amp;$B143&amp;", ", ", "&amp;INDEX('Form Responses'!$R$1:$R$200,11)&amp;", "))),1,""))</f>
        <v/>
      </c>
      <c r="N143">
        <f>IF(Wizards!$A$12="","",IF(OR(ISNUMBER(SEARCH(", "&amp;$B143&amp;", ", ", "&amp;INDEX('Form Responses'!$I$1:$Q$200,12,$A143)&amp;", ")),ISNUMBER(SEARCH(", "&amp;$B143&amp;", ", ", "&amp;INDEX('Form Responses'!$R$1:$R$200,12)&amp;", "))),1,""))</f>
        <v/>
      </c>
      <c r="O143">
        <f>IF(Wizards!$A$13="","",IF(OR(ISNUMBER(SEARCH(", "&amp;$B143&amp;", ", ", "&amp;INDEX('Form Responses'!$I$1:$Q$200,13,$A143)&amp;", ")),ISNUMBER(SEARCH(", "&amp;$B143&amp;", ", ", "&amp;INDEX('Form Responses'!$R$1:$R$200,13)&amp;", "))),1,""))</f>
        <v/>
      </c>
      <c r="P143">
        <f>IF(Wizards!$A$14="","",IF(OR(ISNUMBER(SEARCH(", "&amp;$B143&amp;", ", ", "&amp;INDEX('Form Responses'!$I$1:$Q$200,14,$A143)&amp;", ")),ISNUMBER(SEARCH(", "&amp;$B143&amp;", ", ", "&amp;INDEX('Form Responses'!$R$1:$R$200,14)&amp;", "))),1,""))</f>
        <v/>
      </c>
      <c r="Q143">
        <f>IF(Wizards!$A$15="","",IF(OR(ISNUMBER(SEARCH(", "&amp;$B143&amp;", ", ", "&amp;INDEX('Form Responses'!$I$1:$Q$200,15,$A143)&amp;", ")),ISNUMBER(SEARCH(", "&amp;$B143&amp;", ", ", "&amp;INDEX('Form Responses'!$R$1:$R$200,15)&amp;", "))),1,""))</f>
        <v/>
      </c>
      <c r="R143">
        <f>IF(Wizards!$A$16="","",IF(OR(ISNUMBER(SEARCH(", "&amp;$B143&amp;", ", ", "&amp;INDEX('Form Responses'!$I$1:$Q$200,16,$A143)&amp;", ")),ISNUMBER(SEARCH(", "&amp;$B143&amp;", ", ", "&amp;INDEX('Form Responses'!$R$1:$R$200,16)&amp;", "))),1,""))</f>
        <v/>
      </c>
      <c r="S143">
        <f>IF(Wizards!$A$17="","",IF(OR(ISNUMBER(SEARCH(", "&amp;$B143&amp;", ", ", "&amp;INDEX('Form Responses'!$I$1:$Q$200,17,$A143)&amp;", ")),ISNUMBER(SEARCH(", "&amp;$B143&amp;", ", ", "&amp;INDEX('Form Responses'!$R$1:$R$200,17)&amp;", "))),1,""))</f>
        <v/>
      </c>
      <c r="T143">
        <f>IF(Wizards!$A$18="","",IF(OR(ISNUMBER(SEARCH(", "&amp;$B143&amp;", ", ", "&amp;INDEX('Form Responses'!$I$1:$Q$200,18,$A143)&amp;", ")),ISNUMBER(SEARCH(", "&amp;$B143&amp;", ", ", "&amp;INDEX('Form Responses'!$R$1:$R$200,18)&amp;", "))),1,""))</f>
        <v/>
      </c>
      <c r="U143">
        <f>IF(Wizards!$A$19="","",IF(OR(ISNUMBER(SEARCH(", "&amp;$B143&amp;", ", ", "&amp;INDEX('Form Responses'!$I$1:$Q$200,19,$A143)&amp;", ")),ISNUMBER(SEARCH(", "&amp;$B143&amp;", ", ", "&amp;INDEX('Form Responses'!$R$1:$R$200,19)&amp;", "))),1,""))</f>
        <v/>
      </c>
      <c r="V143">
        <f>IF(Wizards!$A$20="","",IF(OR(ISNUMBER(SEARCH(", "&amp;$B143&amp;", ", ", "&amp;INDEX('Form Responses'!$I$1:$Q$200,20,$A143)&amp;", ")),ISNUMBER(SEARCH(", "&amp;$B143&amp;", ", ", "&amp;INDEX('Form Responses'!$R$1:$R$200,20)&amp;", "))),1,""))</f>
        <v/>
      </c>
      <c r="W143">
        <f>IF(Wizards!$A$21="","",IF(OR(ISNUMBER(SEARCH(", "&amp;$B143&amp;", ", ", "&amp;INDEX('Form Responses'!$I$1:$Q$200,21,$A143)&amp;", ")),ISNUMBER(SEARCH(", "&amp;$B143&amp;", ", ", "&amp;INDEX('Form Responses'!$R$1:$R$200,21)&amp;", "))),1,""))</f>
        <v/>
      </c>
      <c r="X143">
        <f>IF(Wizards!$A$22="","",IF(OR(ISNUMBER(SEARCH(", "&amp;$B143&amp;", ", ", "&amp;INDEX('Form Responses'!$I$1:$Q$200,22,$A143)&amp;", ")),ISNUMBER(SEARCH(", "&amp;$B143&amp;", ", ", "&amp;INDEX('Form Responses'!$R$1:$R$200,22)&amp;", "))),1,""))</f>
        <v/>
      </c>
      <c r="Y143">
        <f>IF(Wizards!$A$23="","",IF(OR(ISNUMBER(SEARCH(", "&amp;$B143&amp;", ", ", "&amp;INDEX('Form Responses'!$I$1:$Q$200,23,$A143)&amp;", ")),ISNUMBER(SEARCH(", "&amp;$B143&amp;", ", ", "&amp;INDEX('Form Responses'!$R$1:$R$200,23)&amp;", "))),1,""))</f>
        <v/>
      </c>
      <c r="Z143">
        <f>IF(Wizards!$A$24="","",IF(OR(ISNUMBER(SEARCH(", "&amp;$B143&amp;", ", ", "&amp;INDEX('Form Responses'!$I$1:$Q$200,24,$A143)&amp;", ")),ISNUMBER(SEARCH(", "&amp;$B143&amp;", ", ", "&amp;INDEX('Form Responses'!$R$1:$R$200,24)&amp;", "))),1,""))</f>
        <v/>
      </c>
      <c r="AA143">
        <f>IF(Wizards!$A$25="","",IF(OR(ISNUMBER(SEARCH(", "&amp;$B143&amp;", ", ", "&amp;INDEX('Form Responses'!$I$1:$Q$200,25,$A143)&amp;", ")),ISNUMBER(SEARCH(", "&amp;$B143&amp;", ", ", "&amp;INDEX('Form Responses'!$R$1:$R$200,25)&amp;", "))),1,""))</f>
        <v/>
      </c>
      <c r="AB143">
        <f>IF(D143=1,", "&amp;D$1,"")</f>
        <v/>
      </c>
      <c r="AC143">
        <f>IF(E143=1,", "&amp;E$1,"")</f>
        <v/>
      </c>
      <c r="AD143">
        <f>IF(F143=1,", "&amp;F$1,"")</f>
        <v/>
      </c>
      <c r="AE143">
        <f>IF(G143=1,", "&amp;G$1,"")</f>
        <v/>
      </c>
      <c r="AF143">
        <f>IF(H143=1,", "&amp;H$1,"")</f>
        <v/>
      </c>
      <c r="AG143">
        <f>IF(I143=1,", "&amp;I$1,"")</f>
        <v/>
      </c>
      <c r="AH143">
        <f>IF(J143=1,", "&amp;J$1,"")</f>
        <v/>
      </c>
      <c r="AI143">
        <f>IF(K143=1,", "&amp;K$1,"")</f>
        <v/>
      </c>
      <c r="AJ143">
        <f>IF(L143=1,", "&amp;L$1,"")</f>
        <v/>
      </c>
      <c r="AK143">
        <f>IF(M143=1,", "&amp;M$1,"")</f>
        <v/>
      </c>
      <c r="AL143">
        <f>IF(N143=1,", "&amp;N$1,"")</f>
        <v/>
      </c>
      <c r="AM143">
        <f>IF(O143=1,", "&amp;O$1,"")</f>
        <v/>
      </c>
      <c r="AN143">
        <f>IF(P143=1,", "&amp;P$1,"")</f>
        <v/>
      </c>
      <c r="AO143">
        <f>IF(Q143=1,", "&amp;Q$1,"")</f>
        <v/>
      </c>
      <c r="AP143">
        <f>IF(R143=1,", "&amp;R$1,"")</f>
        <v/>
      </c>
      <c r="AQ143">
        <f>IF(S143=1,", "&amp;S$1,"")</f>
        <v/>
      </c>
      <c r="AR143">
        <f>IF(T143=1,", "&amp;T$1,"")</f>
        <v/>
      </c>
      <c r="AS143">
        <f>IF(U143=1,", "&amp;U$1,"")</f>
        <v/>
      </c>
      <c r="AT143">
        <f>IF(V143=1,", "&amp;V$1,"")</f>
        <v/>
      </c>
      <c r="AU143">
        <f>IF(W143=1,", "&amp;W$1,"")</f>
        <v/>
      </c>
      <c r="AV143">
        <f>IF(X143=1,", "&amp;X$1,"")</f>
        <v/>
      </c>
      <c r="AW143">
        <f>IF(Y143=1,", "&amp;Y$1,"")</f>
        <v/>
      </c>
      <c r="AX143">
        <f>IF(Z143=1,", "&amp;Z$1,"")</f>
        <v/>
      </c>
      <c r="AY143">
        <f>IF(AA143=1,", "&amp;AA$1,"")</f>
        <v/>
      </c>
      <c r="AZ143">
        <f>MID($AB143&amp;$AC143&amp;$AD143&amp;$AE143&amp;$AF143&amp;$AG143&amp;$AH143&amp;$AI143&amp;$AJ143&amp;$AK143&amp;$AL143&amp;$AM143&amp;$AN143&amp;$AO143&amp;$AP143&amp;$AQ143&amp;$AR143&amp;$AS143&amp;$AT143&amp;$AU143&amp;$AV143&amp;$AW143&amp;$AX143&amp;$AY143,3,32767)</f>
        <v/>
      </c>
      <c r="BA143">
        <f>COUNT($D143:$AA143)</f>
        <v/>
      </c>
    </row>
    <row r="144">
      <c r="A144" t="n">
        <v>3</v>
      </c>
      <c r="B144" t="inlineStr">
        <is>
          <t>Speak with Dead</t>
        </is>
      </c>
      <c r="C144" t="inlineStr">
        <is>
          <t>Necromancy</t>
        </is>
      </c>
      <c r="D144">
        <f>IF(Wizards!$A$2="","",IF(OR(ISNUMBER(SEARCH(", "&amp;$B144&amp;", ", ", "&amp;INDEX('Form Responses'!$I$1:$Q$200,2,$A144)&amp;", ")),ISNUMBER(SEARCH(", "&amp;$B144&amp;", ", ", "&amp;INDEX('Form Responses'!$R$1:$R$200,2)&amp;", "))),1,""))</f>
        <v/>
      </c>
      <c r="E144">
        <f>IF(Wizards!$A$3="","",IF(OR(ISNUMBER(SEARCH(", "&amp;$B144&amp;", ", ", "&amp;INDEX('Form Responses'!$I$1:$Q$200,3,$A144)&amp;", ")),ISNUMBER(SEARCH(", "&amp;$B144&amp;", ", ", "&amp;INDEX('Form Responses'!$R$1:$R$200,3)&amp;", "))),1,""))</f>
        <v/>
      </c>
      <c r="F144">
        <f>IF(Wizards!$A$4="","",IF(OR(ISNUMBER(SEARCH(", "&amp;$B144&amp;", ", ", "&amp;INDEX('Form Responses'!$I$1:$Q$200,4,$A144)&amp;", ")),ISNUMBER(SEARCH(", "&amp;$B144&amp;", ", ", "&amp;INDEX('Form Responses'!$R$1:$R$200,4)&amp;", "))),1,""))</f>
        <v/>
      </c>
      <c r="G144">
        <f>IF(Wizards!$A$5="","",IF(OR(ISNUMBER(SEARCH(", "&amp;$B144&amp;", ", ", "&amp;INDEX('Form Responses'!$I$1:$Q$200,5,$A144)&amp;", ")),ISNUMBER(SEARCH(", "&amp;$B144&amp;", ", ", "&amp;INDEX('Form Responses'!$R$1:$R$200,5)&amp;", "))),1,""))</f>
        <v/>
      </c>
      <c r="H144">
        <f>IF(Wizards!$A$6="","",IF(OR(ISNUMBER(SEARCH(", "&amp;$B144&amp;", ", ", "&amp;INDEX('Form Responses'!$I$1:$Q$200,6,$A144)&amp;", ")),ISNUMBER(SEARCH(", "&amp;$B144&amp;", ", ", "&amp;INDEX('Form Responses'!$R$1:$R$200,6)&amp;", "))),1,""))</f>
        <v/>
      </c>
      <c r="I144">
        <f>IF(Wizards!$A$7="","",IF(OR(ISNUMBER(SEARCH(", "&amp;$B144&amp;", ", ", "&amp;INDEX('Form Responses'!$I$1:$Q$200,7,$A144)&amp;", ")),ISNUMBER(SEARCH(", "&amp;$B144&amp;", ", ", "&amp;INDEX('Form Responses'!$R$1:$R$200,7)&amp;", "))),1,""))</f>
        <v/>
      </c>
      <c r="J144">
        <f>IF(Wizards!$A$8="","",IF(OR(ISNUMBER(SEARCH(", "&amp;$B144&amp;", ", ", "&amp;INDEX('Form Responses'!$I$1:$Q$200,8,$A144)&amp;", ")),ISNUMBER(SEARCH(", "&amp;$B144&amp;", ", ", "&amp;INDEX('Form Responses'!$R$1:$R$200,8)&amp;", "))),1,""))</f>
        <v/>
      </c>
      <c r="K144">
        <f>IF(Wizards!$A$9="","",IF(OR(ISNUMBER(SEARCH(", "&amp;$B144&amp;", ", ", "&amp;INDEX('Form Responses'!$I$1:$Q$200,9,$A144)&amp;", ")),ISNUMBER(SEARCH(", "&amp;$B144&amp;", ", ", "&amp;INDEX('Form Responses'!$R$1:$R$200,9)&amp;", "))),1,""))</f>
        <v/>
      </c>
      <c r="L144">
        <f>IF(Wizards!$A$10="","",IF(OR(ISNUMBER(SEARCH(", "&amp;$B144&amp;", ", ", "&amp;INDEX('Form Responses'!$I$1:$Q$200,10,$A144)&amp;", ")),ISNUMBER(SEARCH(", "&amp;$B144&amp;", ", ", "&amp;INDEX('Form Responses'!$R$1:$R$200,10)&amp;", "))),1,""))</f>
        <v/>
      </c>
      <c r="M144">
        <f>IF(Wizards!$A$11="","",IF(OR(ISNUMBER(SEARCH(", "&amp;$B144&amp;", ", ", "&amp;INDEX('Form Responses'!$I$1:$Q$200,11,$A144)&amp;", ")),ISNUMBER(SEARCH(", "&amp;$B144&amp;", ", ", "&amp;INDEX('Form Responses'!$R$1:$R$200,11)&amp;", "))),1,""))</f>
        <v/>
      </c>
      <c r="N144">
        <f>IF(Wizards!$A$12="","",IF(OR(ISNUMBER(SEARCH(", "&amp;$B144&amp;", ", ", "&amp;INDEX('Form Responses'!$I$1:$Q$200,12,$A144)&amp;", ")),ISNUMBER(SEARCH(", "&amp;$B144&amp;", ", ", "&amp;INDEX('Form Responses'!$R$1:$R$200,12)&amp;", "))),1,""))</f>
        <v/>
      </c>
      <c r="O144">
        <f>IF(Wizards!$A$13="","",IF(OR(ISNUMBER(SEARCH(", "&amp;$B144&amp;", ", ", "&amp;INDEX('Form Responses'!$I$1:$Q$200,13,$A144)&amp;", ")),ISNUMBER(SEARCH(", "&amp;$B144&amp;", ", ", "&amp;INDEX('Form Responses'!$R$1:$R$200,13)&amp;", "))),1,""))</f>
        <v/>
      </c>
      <c r="P144">
        <f>IF(Wizards!$A$14="","",IF(OR(ISNUMBER(SEARCH(", "&amp;$B144&amp;", ", ", "&amp;INDEX('Form Responses'!$I$1:$Q$200,14,$A144)&amp;", ")),ISNUMBER(SEARCH(", "&amp;$B144&amp;", ", ", "&amp;INDEX('Form Responses'!$R$1:$R$200,14)&amp;", "))),1,""))</f>
        <v/>
      </c>
      <c r="Q144">
        <f>IF(Wizards!$A$15="","",IF(OR(ISNUMBER(SEARCH(", "&amp;$B144&amp;", ", ", "&amp;INDEX('Form Responses'!$I$1:$Q$200,15,$A144)&amp;", ")),ISNUMBER(SEARCH(", "&amp;$B144&amp;", ", ", "&amp;INDEX('Form Responses'!$R$1:$R$200,15)&amp;", "))),1,""))</f>
        <v/>
      </c>
      <c r="R144">
        <f>IF(Wizards!$A$16="","",IF(OR(ISNUMBER(SEARCH(", "&amp;$B144&amp;", ", ", "&amp;INDEX('Form Responses'!$I$1:$Q$200,16,$A144)&amp;", ")),ISNUMBER(SEARCH(", "&amp;$B144&amp;", ", ", "&amp;INDEX('Form Responses'!$R$1:$R$200,16)&amp;", "))),1,""))</f>
        <v/>
      </c>
      <c r="S144">
        <f>IF(Wizards!$A$17="","",IF(OR(ISNUMBER(SEARCH(", "&amp;$B144&amp;", ", ", "&amp;INDEX('Form Responses'!$I$1:$Q$200,17,$A144)&amp;", ")),ISNUMBER(SEARCH(", "&amp;$B144&amp;", ", ", "&amp;INDEX('Form Responses'!$R$1:$R$200,17)&amp;", "))),1,""))</f>
        <v/>
      </c>
      <c r="T144">
        <f>IF(Wizards!$A$18="","",IF(OR(ISNUMBER(SEARCH(", "&amp;$B144&amp;", ", ", "&amp;INDEX('Form Responses'!$I$1:$Q$200,18,$A144)&amp;", ")),ISNUMBER(SEARCH(", "&amp;$B144&amp;", ", ", "&amp;INDEX('Form Responses'!$R$1:$R$200,18)&amp;", "))),1,""))</f>
        <v/>
      </c>
      <c r="U144">
        <f>IF(Wizards!$A$19="","",IF(OR(ISNUMBER(SEARCH(", "&amp;$B144&amp;", ", ", "&amp;INDEX('Form Responses'!$I$1:$Q$200,19,$A144)&amp;", ")),ISNUMBER(SEARCH(", "&amp;$B144&amp;", ", ", "&amp;INDEX('Form Responses'!$R$1:$R$200,19)&amp;", "))),1,""))</f>
        <v/>
      </c>
      <c r="V144">
        <f>IF(Wizards!$A$20="","",IF(OR(ISNUMBER(SEARCH(", "&amp;$B144&amp;", ", ", "&amp;INDEX('Form Responses'!$I$1:$Q$200,20,$A144)&amp;", ")),ISNUMBER(SEARCH(", "&amp;$B144&amp;", ", ", "&amp;INDEX('Form Responses'!$R$1:$R$200,20)&amp;", "))),1,""))</f>
        <v/>
      </c>
      <c r="W144">
        <f>IF(Wizards!$A$21="","",IF(OR(ISNUMBER(SEARCH(", "&amp;$B144&amp;", ", ", "&amp;INDEX('Form Responses'!$I$1:$Q$200,21,$A144)&amp;", ")),ISNUMBER(SEARCH(", "&amp;$B144&amp;", ", ", "&amp;INDEX('Form Responses'!$R$1:$R$200,21)&amp;", "))),1,""))</f>
        <v/>
      </c>
      <c r="X144">
        <f>IF(Wizards!$A$22="","",IF(OR(ISNUMBER(SEARCH(", "&amp;$B144&amp;", ", ", "&amp;INDEX('Form Responses'!$I$1:$Q$200,22,$A144)&amp;", ")),ISNUMBER(SEARCH(", "&amp;$B144&amp;", ", ", "&amp;INDEX('Form Responses'!$R$1:$R$200,22)&amp;", "))),1,""))</f>
        <v/>
      </c>
      <c r="Y144">
        <f>IF(Wizards!$A$23="","",IF(OR(ISNUMBER(SEARCH(", "&amp;$B144&amp;", ", ", "&amp;INDEX('Form Responses'!$I$1:$Q$200,23,$A144)&amp;", ")),ISNUMBER(SEARCH(", "&amp;$B144&amp;", ", ", "&amp;INDEX('Form Responses'!$R$1:$R$200,23)&amp;", "))),1,""))</f>
        <v/>
      </c>
      <c r="Z144">
        <f>IF(Wizards!$A$24="","",IF(OR(ISNUMBER(SEARCH(", "&amp;$B144&amp;", ", ", "&amp;INDEX('Form Responses'!$I$1:$Q$200,24,$A144)&amp;", ")),ISNUMBER(SEARCH(", "&amp;$B144&amp;", ", ", "&amp;INDEX('Form Responses'!$R$1:$R$200,24)&amp;", "))),1,""))</f>
        <v/>
      </c>
      <c r="AA144">
        <f>IF(Wizards!$A$25="","",IF(OR(ISNUMBER(SEARCH(", "&amp;$B144&amp;", ", ", "&amp;INDEX('Form Responses'!$I$1:$Q$200,25,$A144)&amp;", ")),ISNUMBER(SEARCH(", "&amp;$B144&amp;", ", ", "&amp;INDEX('Form Responses'!$R$1:$R$200,25)&amp;", "))),1,""))</f>
        <v/>
      </c>
      <c r="AB144">
        <f>IF(D144=1,", "&amp;D$1,"")</f>
        <v/>
      </c>
      <c r="AC144">
        <f>IF(E144=1,", "&amp;E$1,"")</f>
        <v/>
      </c>
      <c r="AD144">
        <f>IF(F144=1,", "&amp;F$1,"")</f>
        <v/>
      </c>
      <c r="AE144">
        <f>IF(G144=1,", "&amp;G$1,"")</f>
        <v/>
      </c>
      <c r="AF144">
        <f>IF(H144=1,", "&amp;H$1,"")</f>
        <v/>
      </c>
      <c r="AG144">
        <f>IF(I144=1,", "&amp;I$1,"")</f>
        <v/>
      </c>
      <c r="AH144">
        <f>IF(J144=1,", "&amp;J$1,"")</f>
        <v/>
      </c>
      <c r="AI144">
        <f>IF(K144=1,", "&amp;K$1,"")</f>
        <v/>
      </c>
      <c r="AJ144">
        <f>IF(L144=1,", "&amp;L$1,"")</f>
        <v/>
      </c>
      <c r="AK144">
        <f>IF(M144=1,", "&amp;M$1,"")</f>
        <v/>
      </c>
      <c r="AL144">
        <f>IF(N144=1,", "&amp;N$1,"")</f>
        <v/>
      </c>
      <c r="AM144">
        <f>IF(O144=1,", "&amp;O$1,"")</f>
        <v/>
      </c>
      <c r="AN144">
        <f>IF(P144=1,", "&amp;P$1,"")</f>
        <v/>
      </c>
      <c r="AO144">
        <f>IF(Q144=1,", "&amp;Q$1,"")</f>
        <v/>
      </c>
      <c r="AP144">
        <f>IF(R144=1,", "&amp;R$1,"")</f>
        <v/>
      </c>
      <c r="AQ144">
        <f>IF(S144=1,", "&amp;S$1,"")</f>
        <v/>
      </c>
      <c r="AR144">
        <f>IF(T144=1,", "&amp;T$1,"")</f>
        <v/>
      </c>
      <c r="AS144">
        <f>IF(U144=1,", "&amp;U$1,"")</f>
        <v/>
      </c>
      <c r="AT144">
        <f>IF(V144=1,", "&amp;V$1,"")</f>
        <v/>
      </c>
      <c r="AU144">
        <f>IF(W144=1,", "&amp;W$1,"")</f>
        <v/>
      </c>
      <c r="AV144">
        <f>IF(X144=1,", "&amp;X$1,"")</f>
        <v/>
      </c>
      <c r="AW144">
        <f>IF(Y144=1,", "&amp;Y$1,"")</f>
        <v/>
      </c>
      <c r="AX144">
        <f>IF(Z144=1,", "&amp;Z$1,"")</f>
        <v/>
      </c>
      <c r="AY144">
        <f>IF(AA144=1,", "&amp;AA$1,"")</f>
        <v/>
      </c>
      <c r="AZ144">
        <f>MID($AB144&amp;$AC144&amp;$AD144&amp;$AE144&amp;$AF144&amp;$AG144&amp;$AH144&amp;$AI144&amp;$AJ144&amp;$AK144&amp;$AL144&amp;$AM144&amp;$AN144&amp;$AO144&amp;$AP144&amp;$AQ144&amp;$AR144&amp;$AS144&amp;$AT144&amp;$AU144&amp;$AV144&amp;$AW144&amp;$AX144&amp;$AY144,3,32767)</f>
        <v/>
      </c>
      <c r="BA144">
        <f>COUNT($D144:$AA144)</f>
        <v/>
      </c>
    </row>
    <row r="145">
      <c r="A145" t="n">
        <v>3</v>
      </c>
      <c r="B145" t="inlineStr">
        <is>
          <t>Spirit Shroud</t>
        </is>
      </c>
      <c r="C145" t="inlineStr">
        <is>
          <t>Necromancy</t>
        </is>
      </c>
      <c r="D145">
        <f>IF(Wizards!$A$2="","",IF(OR(ISNUMBER(SEARCH(", "&amp;$B145&amp;", ", ", "&amp;INDEX('Form Responses'!$I$1:$Q$200,2,$A145)&amp;", ")),ISNUMBER(SEARCH(", "&amp;$B145&amp;", ", ", "&amp;INDEX('Form Responses'!$R$1:$R$200,2)&amp;", "))),1,""))</f>
        <v/>
      </c>
      <c r="E145">
        <f>IF(Wizards!$A$3="","",IF(OR(ISNUMBER(SEARCH(", "&amp;$B145&amp;", ", ", "&amp;INDEX('Form Responses'!$I$1:$Q$200,3,$A145)&amp;", ")),ISNUMBER(SEARCH(", "&amp;$B145&amp;", ", ", "&amp;INDEX('Form Responses'!$R$1:$R$200,3)&amp;", "))),1,""))</f>
        <v/>
      </c>
      <c r="F145">
        <f>IF(Wizards!$A$4="","",IF(OR(ISNUMBER(SEARCH(", "&amp;$B145&amp;", ", ", "&amp;INDEX('Form Responses'!$I$1:$Q$200,4,$A145)&amp;", ")),ISNUMBER(SEARCH(", "&amp;$B145&amp;", ", ", "&amp;INDEX('Form Responses'!$R$1:$R$200,4)&amp;", "))),1,""))</f>
        <v/>
      </c>
      <c r="G145">
        <f>IF(Wizards!$A$5="","",IF(OR(ISNUMBER(SEARCH(", "&amp;$B145&amp;", ", ", "&amp;INDEX('Form Responses'!$I$1:$Q$200,5,$A145)&amp;", ")),ISNUMBER(SEARCH(", "&amp;$B145&amp;", ", ", "&amp;INDEX('Form Responses'!$R$1:$R$200,5)&amp;", "))),1,""))</f>
        <v/>
      </c>
      <c r="H145">
        <f>IF(Wizards!$A$6="","",IF(OR(ISNUMBER(SEARCH(", "&amp;$B145&amp;", ", ", "&amp;INDEX('Form Responses'!$I$1:$Q$200,6,$A145)&amp;", ")),ISNUMBER(SEARCH(", "&amp;$B145&amp;", ", ", "&amp;INDEX('Form Responses'!$R$1:$R$200,6)&amp;", "))),1,""))</f>
        <v/>
      </c>
      <c r="I145">
        <f>IF(Wizards!$A$7="","",IF(OR(ISNUMBER(SEARCH(", "&amp;$B145&amp;", ", ", "&amp;INDEX('Form Responses'!$I$1:$Q$200,7,$A145)&amp;", ")),ISNUMBER(SEARCH(", "&amp;$B145&amp;", ", ", "&amp;INDEX('Form Responses'!$R$1:$R$200,7)&amp;", "))),1,""))</f>
        <v/>
      </c>
      <c r="J145">
        <f>IF(Wizards!$A$8="","",IF(OR(ISNUMBER(SEARCH(", "&amp;$B145&amp;", ", ", "&amp;INDEX('Form Responses'!$I$1:$Q$200,8,$A145)&amp;", ")),ISNUMBER(SEARCH(", "&amp;$B145&amp;", ", ", "&amp;INDEX('Form Responses'!$R$1:$R$200,8)&amp;", "))),1,""))</f>
        <v/>
      </c>
      <c r="K145">
        <f>IF(Wizards!$A$9="","",IF(OR(ISNUMBER(SEARCH(", "&amp;$B145&amp;", ", ", "&amp;INDEX('Form Responses'!$I$1:$Q$200,9,$A145)&amp;", ")),ISNUMBER(SEARCH(", "&amp;$B145&amp;", ", ", "&amp;INDEX('Form Responses'!$R$1:$R$200,9)&amp;", "))),1,""))</f>
        <v/>
      </c>
      <c r="L145">
        <f>IF(Wizards!$A$10="","",IF(OR(ISNUMBER(SEARCH(", "&amp;$B145&amp;", ", ", "&amp;INDEX('Form Responses'!$I$1:$Q$200,10,$A145)&amp;", ")),ISNUMBER(SEARCH(", "&amp;$B145&amp;", ", ", "&amp;INDEX('Form Responses'!$R$1:$R$200,10)&amp;", "))),1,""))</f>
        <v/>
      </c>
      <c r="M145">
        <f>IF(Wizards!$A$11="","",IF(OR(ISNUMBER(SEARCH(", "&amp;$B145&amp;", ", ", "&amp;INDEX('Form Responses'!$I$1:$Q$200,11,$A145)&amp;", ")),ISNUMBER(SEARCH(", "&amp;$B145&amp;", ", ", "&amp;INDEX('Form Responses'!$R$1:$R$200,11)&amp;", "))),1,""))</f>
        <v/>
      </c>
      <c r="N145">
        <f>IF(Wizards!$A$12="","",IF(OR(ISNUMBER(SEARCH(", "&amp;$B145&amp;", ", ", "&amp;INDEX('Form Responses'!$I$1:$Q$200,12,$A145)&amp;", ")),ISNUMBER(SEARCH(", "&amp;$B145&amp;", ", ", "&amp;INDEX('Form Responses'!$R$1:$R$200,12)&amp;", "))),1,""))</f>
        <v/>
      </c>
      <c r="O145">
        <f>IF(Wizards!$A$13="","",IF(OR(ISNUMBER(SEARCH(", "&amp;$B145&amp;", ", ", "&amp;INDEX('Form Responses'!$I$1:$Q$200,13,$A145)&amp;", ")),ISNUMBER(SEARCH(", "&amp;$B145&amp;", ", ", "&amp;INDEX('Form Responses'!$R$1:$R$200,13)&amp;", "))),1,""))</f>
        <v/>
      </c>
      <c r="P145">
        <f>IF(Wizards!$A$14="","",IF(OR(ISNUMBER(SEARCH(", "&amp;$B145&amp;", ", ", "&amp;INDEX('Form Responses'!$I$1:$Q$200,14,$A145)&amp;", ")),ISNUMBER(SEARCH(", "&amp;$B145&amp;", ", ", "&amp;INDEX('Form Responses'!$R$1:$R$200,14)&amp;", "))),1,""))</f>
        <v/>
      </c>
      <c r="Q145">
        <f>IF(Wizards!$A$15="","",IF(OR(ISNUMBER(SEARCH(", "&amp;$B145&amp;", ", ", "&amp;INDEX('Form Responses'!$I$1:$Q$200,15,$A145)&amp;", ")),ISNUMBER(SEARCH(", "&amp;$B145&amp;", ", ", "&amp;INDEX('Form Responses'!$R$1:$R$200,15)&amp;", "))),1,""))</f>
        <v/>
      </c>
      <c r="R145">
        <f>IF(Wizards!$A$16="","",IF(OR(ISNUMBER(SEARCH(", "&amp;$B145&amp;", ", ", "&amp;INDEX('Form Responses'!$I$1:$Q$200,16,$A145)&amp;", ")),ISNUMBER(SEARCH(", "&amp;$B145&amp;", ", ", "&amp;INDEX('Form Responses'!$R$1:$R$200,16)&amp;", "))),1,""))</f>
        <v/>
      </c>
      <c r="S145">
        <f>IF(Wizards!$A$17="","",IF(OR(ISNUMBER(SEARCH(", "&amp;$B145&amp;", ", ", "&amp;INDEX('Form Responses'!$I$1:$Q$200,17,$A145)&amp;", ")),ISNUMBER(SEARCH(", "&amp;$B145&amp;", ", ", "&amp;INDEX('Form Responses'!$R$1:$R$200,17)&amp;", "))),1,""))</f>
        <v/>
      </c>
      <c r="T145">
        <f>IF(Wizards!$A$18="","",IF(OR(ISNUMBER(SEARCH(", "&amp;$B145&amp;", ", ", "&amp;INDEX('Form Responses'!$I$1:$Q$200,18,$A145)&amp;", ")),ISNUMBER(SEARCH(", "&amp;$B145&amp;", ", ", "&amp;INDEX('Form Responses'!$R$1:$R$200,18)&amp;", "))),1,""))</f>
        <v/>
      </c>
      <c r="U145">
        <f>IF(Wizards!$A$19="","",IF(OR(ISNUMBER(SEARCH(", "&amp;$B145&amp;", ", ", "&amp;INDEX('Form Responses'!$I$1:$Q$200,19,$A145)&amp;", ")),ISNUMBER(SEARCH(", "&amp;$B145&amp;", ", ", "&amp;INDEX('Form Responses'!$R$1:$R$200,19)&amp;", "))),1,""))</f>
        <v/>
      </c>
      <c r="V145">
        <f>IF(Wizards!$A$20="","",IF(OR(ISNUMBER(SEARCH(", "&amp;$B145&amp;", ", ", "&amp;INDEX('Form Responses'!$I$1:$Q$200,20,$A145)&amp;", ")),ISNUMBER(SEARCH(", "&amp;$B145&amp;", ", ", "&amp;INDEX('Form Responses'!$R$1:$R$200,20)&amp;", "))),1,""))</f>
        <v/>
      </c>
      <c r="W145">
        <f>IF(Wizards!$A$21="","",IF(OR(ISNUMBER(SEARCH(", "&amp;$B145&amp;", ", ", "&amp;INDEX('Form Responses'!$I$1:$Q$200,21,$A145)&amp;", ")),ISNUMBER(SEARCH(", "&amp;$B145&amp;", ", ", "&amp;INDEX('Form Responses'!$R$1:$R$200,21)&amp;", "))),1,""))</f>
        <v/>
      </c>
      <c r="X145">
        <f>IF(Wizards!$A$22="","",IF(OR(ISNUMBER(SEARCH(", "&amp;$B145&amp;", ", ", "&amp;INDEX('Form Responses'!$I$1:$Q$200,22,$A145)&amp;", ")),ISNUMBER(SEARCH(", "&amp;$B145&amp;", ", ", "&amp;INDEX('Form Responses'!$R$1:$R$200,22)&amp;", "))),1,""))</f>
        <v/>
      </c>
      <c r="Y145">
        <f>IF(Wizards!$A$23="","",IF(OR(ISNUMBER(SEARCH(", "&amp;$B145&amp;", ", ", "&amp;INDEX('Form Responses'!$I$1:$Q$200,23,$A145)&amp;", ")),ISNUMBER(SEARCH(", "&amp;$B145&amp;", ", ", "&amp;INDEX('Form Responses'!$R$1:$R$200,23)&amp;", "))),1,""))</f>
        <v/>
      </c>
      <c r="Z145">
        <f>IF(Wizards!$A$24="","",IF(OR(ISNUMBER(SEARCH(", "&amp;$B145&amp;", ", ", "&amp;INDEX('Form Responses'!$I$1:$Q$200,24,$A145)&amp;", ")),ISNUMBER(SEARCH(", "&amp;$B145&amp;", ", ", "&amp;INDEX('Form Responses'!$R$1:$R$200,24)&amp;", "))),1,""))</f>
        <v/>
      </c>
      <c r="AA145">
        <f>IF(Wizards!$A$25="","",IF(OR(ISNUMBER(SEARCH(", "&amp;$B145&amp;", ", ", "&amp;INDEX('Form Responses'!$I$1:$Q$200,25,$A145)&amp;", ")),ISNUMBER(SEARCH(", "&amp;$B145&amp;", ", ", "&amp;INDEX('Form Responses'!$R$1:$R$200,25)&amp;", "))),1,""))</f>
        <v/>
      </c>
      <c r="AB145">
        <f>IF(D145=1,", "&amp;D$1,"")</f>
        <v/>
      </c>
      <c r="AC145">
        <f>IF(E145=1,", "&amp;E$1,"")</f>
        <v/>
      </c>
      <c r="AD145">
        <f>IF(F145=1,", "&amp;F$1,"")</f>
        <v/>
      </c>
      <c r="AE145">
        <f>IF(G145=1,", "&amp;G$1,"")</f>
        <v/>
      </c>
      <c r="AF145">
        <f>IF(H145=1,", "&amp;H$1,"")</f>
        <v/>
      </c>
      <c r="AG145">
        <f>IF(I145=1,", "&amp;I$1,"")</f>
        <v/>
      </c>
      <c r="AH145">
        <f>IF(J145=1,", "&amp;J$1,"")</f>
        <v/>
      </c>
      <c r="AI145">
        <f>IF(K145=1,", "&amp;K$1,"")</f>
        <v/>
      </c>
      <c r="AJ145">
        <f>IF(L145=1,", "&amp;L$1,"")</f>
        <v/>
      </c>
      <c r="AK145">
        <f>IF(M145=1,", "&amp;M$1,"")</f>
        <v/>
      </c>
      <c r="AL145">
        <f>IF(N145=1,", "&amp;N$1,"")</f>
        <v/>
      </c>
      <c r="AM145">
        <f>IF(O145=1,", "&amp;O$1,"")</f>
        <v/>
      </c>
      <c r="AN145">
        <f>IF(P145=1,", "&amp;P$1,"")</f>
        <v/>
      </c>
      <c r="AO145">
        <f>IF(Q145=1,", "&amp;Q$1,"")</f>
        <v/>
      </c>
      <c r="AP145">
        <f>IF(R145=1,", "&amp;R$1,"")</f>
        <v/>
      </c>
      <c r="AQ145">
        <f>IF(S145=1,", "&amp;S$1,"")</f>
        <v/>
      </c>
      <c r="AR145">
        <f>IF(T145=1,", "&amp;T$1,"")</f>
        <v/>
      </c>
      <c r="AS145">
        <f>IF(U145=1,", "&amp;U$1,"")</f>
        <v/>
      </c>
      <c r="AT145">
        <f>IF(V145=1,", "&amp;V$1,"")</f>
        <v/>
      </c>
      <c r="AU145">
        <f>IF(W145=1,", "&amp;W$1,"")</f>
        <v/>
      </c>
      <c r="AV145">
        <f>IF(X145=1,", "&amp;X$1,"")</f>
        <v/>
      </c>
      <c r="AW145">
        <f>IF(Y145=1,", "&amp;Y$1,"")</f>
        <v/>
      </c>
      <c r="AX145">
        <f>IF(Z145=1,", "&amp;Z$1,"")</f>
        <v/>
      </c>
      <c r="AY145">
        <f>IF(AA145=1,", "&amp;AA$1,"")</f>
        <v/>
      </c>
      <c r="AZ145">
        <f>MID($AB145&amp;$AC145&amp;$AD145&amp;$AE145&amp;$AF145&amp;$AG145&amp;$AH145&amp;$AI145&amp;$AJ145&amp;$AK145&amp;$AL145&amp;$AM145&amp;$AN145&amp;$AO145&amp;$AP145&amp;$AQ145&amp;$AR145&amp;$AS145&amp;$AT145&amp;$AU145&amp;$AV145&amp;$AW145&amp;$AX145&amp;$AY145,3,32767)</f>
        <v/>
      </c>
      <c r="BA145">
        <f>COUNT($D145:$AA145)</f>
        <v/>
      </c>
    </row>
    <row r="146">
      <c r="A146" t="n">
        <v>3</v>
      </c>
      <c r="B146" t="inlineStr">
        <is>
          <t>Stinking Cloud</t>
        </is>
      </c>
      <c r="C146" t="inlineStr">
        <is>
          <t>Conjuration</t>
        </is>
      </c>
      <c r="D146">
        <f>IF(Wizards!$A$2="","",IF(OR(ISNUMBER(SEARCH(", "&amp;$B146&amp;", ", ", "&amp;INDEX('Form Responses'!$I$1:$Q$200,2,$A146)&amp;", ")),ISNUMBER(SEARCH(", "&amp;$B146&amp;", ", ", "&amp;INDEX('Form Responses'!$R$1:$R$200,2)&amp;", "))),1,""))</f>
        <v/>
      </c>
      <c r="E146">
        <f>IF(Wizards!$A$3="","",IF(OR(ISNUMBER(SEARCH(", "&amp;$B146&amp;", ", ", "&amp;INDEX('Form Responses'!$I$1:$Q$200,3,$A146)&amp;", ")),ISNUMBER(SEARCH(", "&amp;$B146&amp;", ", ", "&amp;INDEX('Form Responses'!$R$1:$R$200,3)&amp;", "))),1,""))</f>
        <v/>
      </c>
      <c r="F146">
        <f>IF(Wizards!$A$4="","",IF(OR(ISNUMBER(SEARCH(", "&amp;$B146&amp;", ", ", "&amp;INDEX('Form Responses'!$I$1:$Q$200,4,$A146)&amp;", ")),ISNUMBER(SEARCH(", "&amp;$B146&amp;", ", ", "&amp;INDEX('Form Responses'!$R$1:$R$200,4)&amp;", "))),1,""))</f>
        <v/>
      </c>
      <c r="G146">
        <f>IF(Wizards!$A$5="","",IF(OR(ISNUMBER(SEARCH(", "&amp;$B146&amp;", ", ", "&amp;INDEX('Form Responses'!$I$1:$Q$200,5,$A146)&amp;", ")),ISNUMBER(SEARCH(", "&amp;$B146&amp;", ", ", "&amp;INDEX('Form Responses'!$R$1:$R$200,5)&amp;", "))),1,""))</f>
        <v/>
      </c>
      <c r="H146">
        <f>IF(Wizards!$A$6="","",IF(OR(ISNUMBER(SEARCH(", "&amp;$B146&amp;", ", ", "&amp;INDEX('Form Responses'!$I$1:$Q$200,6,$A146)&amp;", ")),ISNUMBER(SEARCH(", "&amp;$B146&amp;", ", ", "&amp;INDEX('Form Responses'!$R$1:$R$200,6)&amp;", "))),1,""))</f>
        <v/>
      </c>
      <c r="I146">
        <f>IF(Wizards!$A$7="","",IF(OR(ISNUMBER(SEARCH(", "&amp;$B146&amp;", ", ", "&amp;INDEX('Form Responses'!$I$1:$Q$200,7,$A146)&amp;", ")),ISNUMBER(SEARCH(", "&amp;$B146&amp;", ", ", "&amp;INDEX('Form Responses'!$R$1:$R$200,7)&amp;", "))),1,""))</f>
        <v/>
      </c>
      <c r="J146">
        <f>IF(Wizards!$A$8="","",IF(OR(ISNUMBER(SEARCH(", "&amp;$B146&amp;", ", ", "&amp;INDEX('Form Responses'!$I$1:$Q$200,8,$A146)&amp;", ")),ISNUMBER(SEARCH(", "&amp;$B146&amp;", ", ", "&amp;INDEX('Form Responses'!$R$1:$R$200,8)&amp;", "))),1,""))</f>
        <v/>
      </c>
      <c r="K146">
        <f>IF(Wizards!$A$9="","",IF(OR(ISNUMBER(SEARCH(", "&amp;$B146&amp;", ", ", "&amp;INDEX('Form Responses'!$I$1:$Q$200,9,$A146)&amp;", ")),ISNUMBER(SEARCH(", "&amp;$B146&amp;", ", ", "&amp;INDEX('Form Responses'!$R$1:$R$200,9)&amp;", "))),1,""))</f>
        <v/>
      </c>
      <c r="L146">
        <f>IF(Wizards!$A$10="","",IF(OR(ISNUMBER(SEARCH(", "&amp;$B146&amp;", ", ", "&amp;INDEX('Form Responses'!$I$1:$Q$200,10,$A146)&amp;", ")),ISNUMBER(SEARCH(", "&amp;$B146&amp;", ", ", "&amp;INDEX('Form Responses'!$R$1:$R$200,10)&amp;", "))),1,""))</f>
        <v/>
      </c>
      <c r="M146">
        <f>IF(Wizards!$A$11="","",IF(OR(ISNUMBER(SEARCH(", "&amp;$B146&amp;", ", ", "&amp;INDEX('Form Responses'!$I$1:$Q$200,11,$A146)&amp;", ")),ISNUMBER(SEARCH(", "&amp;$B146&amp;", ", ", "&amp;INDEX('Form Responses'!$R$1:$R$200,11)&amp;", "))),1,""))</f>
        <v/>
      </c>
      <c r="N146">
        <f>IF(Wizards!$A$12="","",IF(OR(ISNUMBER(SEARCH(", "&amp;$B146&amp;", ", ", "&amp;INDEX('Form Responses'!$I$1:$Q$200,12,$A146)&amp;", ")),ISNUMBER(SEARCH(", "&amp;$B146&amp;", ", ", "&amp;INDEX('Form Responses'!$R$1:$R$200,12)&amp;", "))),1,""))</f>
        <v/>
      </c>
      <c r="O146">
        <f>IF(Wizards!$A$13="","",IF(OR(ISNUMBER(SEARCH(", "&amp;$B146&amp;", ", ", "&amp;INDEX('Form Responses'!$I$1:$Q$200,13,$A146)&amp;", ")),ISNUMBER(SEARCH(", "&amp;$B146&amp;", ", ", "&amp;INDEX('Form Responses'!$R$1:$R$200,13)&amp;", "))),1,""))</f>
        <v/>
      </c>
      <c r="P146">
        <f>IF(Wizards!$A$14="","",IF(OR(ISNUMBER(SEARCH(", "&amp;$B146&amp;", ", ", "&amp;INDEX('Form Responses'!$I$1:$Q$200,14,$A146)&amp;", ")),ISNUMBER(SEARCH(", "&amp;$B146&amp;", ", ", "&amp;INDEX('Form Responses'!$R$1:$R$200,14)&amp;", "))),1,""))</f>
        <v/>
      </c>
      <c r="Q146">
        <f>IF(Wizards!$A$15="","",IF(OR(ISNUMBER(SEARCH(", "&amp;$B146&amp;", ", ", "&amp;INDEX('Form Responses'!$I$1:$Q$200,15,$A146)&amp;", ")),ISNUMBER(SEARCH(", "&amp;$B146&amp;", ", ", "&amp;INDEX('Form Responses'!$R$1:$R$200,15)&amp;", "))),1,""))</f>
        <v/>
      </c>
      <c r="R146">
        <f>IF(Wizards!$A$16="","",IF(OR(ISNUMBER(SEARCH(", "&amp;$B146&amp;", ", ", "&amp;INDEX('Form Responses'!$I$1:$Q$200,16,$A146)&amp;", ")),ISNUMBER(SEARCH(", "&amp;$B146&amp;", ", ", "&amp;INDEX('Form Responses'!$R$1:$R$200,16)&amp;", "))),1,""))</f>
        <v/>
      </c>
      <c r="S146">
        <f>IF(Wizards!$A$17="","",IF(OR(ISNUMBER(SEARCH(", "&amp;$B146&amp;", ", ", "&amp;INDEX('Form Responses'!$I$1:$Q$200,17,$A146)&amp;", ")),ISNUMBER(SEARCH(", "&amp;$B146&amp;", ", ", "&amp;INDEX('Form Responses'!$R$1:$R$200,17)&amp;", "))),1,""))</f>
        <v/>
      </c>
      <c r="T146">
        <f>IF(Wizards!$A$18="","",IF(OR(ISNUMBER(SEARCH(", "&amp;$B146&amp;", ", ", "&amp;INDEX('Form Responses'!$I$1:$Q$200,18,$A146)&amp;", ")),ISNUMBER(SEARCH(", "&amp;$B146&amp;", ", ", "&amp;INDEX('Form Responses'!$R$1:$R$200,18)&amp;", "))),1,""))</f>
        <v/>
      </c>
      <c r="U146">
        <f>IF(Wizards!$A$19="","",IF(OR(ISNUMBER(SEARCH(", "&amp;$B146&amp;", ", ", "&amp;INDEX('Form Responses'!$I$1:$Q$200,19,$A146)&amp;", ")),ISNUMBER(SEARCH(", "&amp;$B146&amp;", ", ", "&amp;INDEX('Form Responses'!$R$1:$R$200,19)&amp;", "))),1,""))</f>
        <v/>
      </c>
      <c r="V146">
        <f>IF(Wizards!$A$20="","",IF(OR(ISNUMBER(SEARCH(", "&amp;$B146&amp;", ", ", "&amp;INDEX('Form Responses'!$I$1:$Q$200,20,$A146)&amp;", ")),ISNUMBER(SEARCH(", "&amp;$B146&amp;", ", ", "&amp;INDEX('Form Responses'!$R$1:$R$200,20)&amp;", "))),1,""))</f>
        <v/>
      </c>
      <c r="W146">
        <f>IF(Wizards!$A$21="","",IF(OR(ISNUMBER(SEARCH(", "&amp;$B146&amp;", ", ", "&amp;INDEX('Form Responses'!$I$1:$Q$200,21,$A146)&amp;", ")),ISNUMBER(SEARCH(", "&amp;$B146&amp;", ", ", "&amp;INDEX('Form Responses'!$R$1:$R$200,21)&amp;", "))),1,""))</f>
        <v/>
      </c>
      <c r="X146">
        <f>IF(Wizards!$A$22="","",IF(OR(ISNUMBER(SEARCH(", "&amp;$B146&amp;", ", ", "&amp;INDEX('Form Responses'!$I$1:$Q$200,22,$A146)&amp;", ")),ISNUMBER(SEARCH(", "&amp;$B146&amp;", ", ", "&amp;INDEX('Form Responses'!$R$1:$R$200,22)&amp;", "))),1,""))</f>
        <v/>
      </c>
      <c r="Y146">
        <f>IF(Wizards!$A$23="","",IF(OR(ISNUMBER(SEARCH(", "&amp;$B146&amp;", ", ", "&amp;INDEX('Form Responses'!$I$1:$Q$200,23,$A146)&amp;", ")),ISNUMBER(SEARCH(", "&amp;$B146&amp;", ", ", "&amp;INDEX('Form Responses'!$R$1:$R$200,23)&amp;", "))),1,""))</f>
        <v/>
      </c>
      <c r="Z146">
        <f>IF(Wizards!$A$24="","",IF(OR(ISNUMBER(SEARCH(", "&amp;$B146&amp;", ", ", "&amp;INDEX('Form Responses'!$I$1:$Q$200,24,$A146)&amp;", ")),ISNUMBER(SEARCH(", "&amp;$B146&amp;", ", ", "&amp;INDEX('Form Responses'!$R$1:$R$200,24)&amp;", "))),1,""))</f>
        <v/>
      </c>
      <c r="AA146">
        <f>IF(Wizards!$A$25="","",IF(OR(ISNUMBER(SEARCH(", "&amp;$B146&amp;", ", ", "&amp;INDEX('Form Responses'!$I$1:$Q$200,25,$A146)&amp;", ")),ISNUMBER(SEARCH(", "&amp;$B146&amp;", ", ", "&amp;INDEX('Form Responses'!$R$1:$R$200,25)&amp;", "))),1,""))</f>
        <v/>
      </c>
      <c r="AB146">
        <f>IF(D146=1,", "&amp;D$1,"")</f>
        <v/>
      </c>
      <c r="AC146">
        <f>IF(E146=1,", "&amp;E$1,"")</f>
        <v/>
      </c>
      <c r="AD146">
        <f>IF(F146=1,", "&amp;F$1,"")</f>
        <v/>
      </c>
      <c r="AE146">
        <f>IF(G146=1,", "&amp;G$1,"")</f>
        <v/>
      </c>
      <c r="AF146">
        <f>IF(H146=1,", "&amp;H$1,"")</f>
        <v/>
      </c>
      <c r="AG146">
        <f>IF(I146=1,", "&amp;I$1,"")</f>
        <v/>
      </c>
      <c r="AH146">
        <f>IF(J146=1,", "&amp;J$1,"")</f>
        <v/>
      </c>
      <c r="AI146">
        <f>IF(K146=1,", "&amp;K$1,"")</f>
        <v/>
      </c>
      <c r="AJ146">
        <f>IF(L146=1,", "&amp;L$1,"")</f>
        <v/>
      </c>
      <c r="AK146">
        <f>IF(M146=1,", "&amp;M$1,"")</f>
        <v/>
      </c>
      <c r="AL146">
        <f>IF(N146=1,", "&amp;N$1,"")</f>
        <v/>
      </c>
      <c r="AM146">
        <f>IF(O146=1,", "&amp;O$1,"")</f>
        <v/>
      </c>
      <c r="AN146">
        <f>IF(P146=1,", "&amp;P$1,"")</f>
        <v/>
      </c>
      <c r="AO146">
        <f>IF(Q146=1,", "&amp;Q$1,"")</f>
        <v/>
      </c>
      <c r="AP146">
        <f>IF(R146=1,", "&amp;R$1,"")</f>
        <v/>
      </c>
      <c r="AQ146">
        <f>IF(S146=1,", "&amp;S$1,"")</f>
        <v/>
      </c>
      <c r="AR146">
        <f>IF(T146=1,", "&amp;T$1,"")</f>
        <v/>
      </c>
      <c r="AS146">
        <f>IF(U146=1,", "&amp;U$1,"")</f>
        <v/>
      </c>
      <c r="AT146">
        <f>IF(V146=1,", "&amp;V$1,"")</f>
        <v/>
      </c>
      <c r="AU146">
        <f>IF(W146=1,", "&amp;W$1,"")</f>
        <v/>
      </c>
      <c r="AV146">
        <f>IF(X146=1,", "&amp;X$1,"")</f>
        <v/>
      </c>
      <c r="AW146">
        <f>IF(Y146=1,", "&amp;Y$1,"")</f>
        <v/>
      </c>
      <c r="AX146">
        <f>IF(Z146=1,", "&amp;Z$1,"")</f>
        <v/>
      </c>
      <c r="AY146">
        <f>IF(AA146=1,", "&amp;AA$1,"")</f>
        <v/>
      </c>
      <c r="AZ146">
        <f>MID($AB146&amp;$AC146&amp;$AD146&amp;$AE146&amp;$AF146&amp;$AG146&amp;$AH146&amp;$AI146&amp;$AJ146&amp;$AK146&amp;$AL146&amp;$AM146&amp;$AN146&amp;$AO146&amp;$AP146&amp;$AQ146&amp;$AR146&amp;$AS146&amp;$AT146&amp;$AU146&amp;$AV146&amp;$AW146&amp;$AX146&amp;$AY146,3,32767)</f>
        <v/>
      </c>
      <c r="BA146">
        <f>COUNT($D146:$AA146)</f>
        <v/>
      </c>
    </row>
    <row r="147">
      <c r="A147" t="n">
        <v>3</v>
      </c>
      <c r="B147" t="inlineStr">
        <is>
          <t>Summon Fey</t>
        </is>
      </c>
      <c r="C147" t="inlineStr">
        <is>
          <t>Conjuration</t>
        </is>
      </c>
      <c r="D147">
        <f>IF(Wizards!$A$2="","",IF(OR(ISNUMBER(SEARCH(", "&amp;$B147&amp;", ", ", "&amp;INDEX('Form Responses'!$I$1:$Q$200,2,$A147)&amp;", ")),ISNUMBER(SEARCH(", "&amp;$B147&amp;", ", ", "&amp;INDEX('Form Responses'!$R$1:$R$200,2)&amp;", "))),1,""))</f>
        <v/>
      </c>
      <c r="E147">
        <f>IF(Wizards!$A$3="","",IF(OR(ISNUMBER(SEARCH(", "&amp;$B147&amp;", ", ", "&amp;INDEX('Form Responses'!$I$1:$Q$200,3,$A147)&amp;", ")),ISNUMBER(SEARCH(", "&amp;$B147&amp;", ", ", "&amp;INDEX('Form Responses'!$R$1:$R$200,3)&amp;", "))),1,""))</f>
        <v/>
      </c>
      <c r="F147">
        <f>IF(Wizards!$A$4="","",IF(OR(ISNUMBER(SEARCH(", "&amp;$B147&amp;", ", ", "&amp;INDEX('Form Responses'!$I$1:$Q$200,4,$A147)&amp;", ")),ISNUMBER(SEARCH(", "&amp;$B147&amp;", ", ", "&amp;INDEX('Form Responses'!$R$1:$R$200,4)&amp;", "))),1,""))</f>
        <v/>
      </c>
      <c r="G147">
        <f>IF(Wizards!$A$5="","",IF(OR(ISNUMBER(SEARCH(", "&amp;$B147&amp;", ", ", "&amp;INDEX('Form Responses'!$I$1:$Q$200,5,$A147)&amp;", ")),ISNUMBER(SEARCH(", "&amp;$B147&amp;", ", ", "&amp;INDEX('Form Responses'!$R$1:$R$200,5)&amp;", "))),1,""))</f>
        <v/>
      </c>
      <c r="H147">
        <f>IF(Wizards!$A$6="","",IF(OR(ISNUMBER(SEARCH(", "&amp;$B147&amp;", ", ", "&amp;INDEX('Form Responses'!$I$1:$Q$200,6,$A147)&amp;", ")),ISNUMBER(SEARCH(", "&amp;$B147&amp;", ", ", "&amp;INDEX('Form Responses'!$R$1:$R$200,6)&amp;", "))),1,""))</f>
        <v/>
      </c>
      <c r="I147">
        <f>IF(Wizards!$A$7="","",IF(OR(ISNUMBER(SEARCH(", "&amp;$B147&amp;", ", ", "&amp;INDEX('Form Responses'!$I$1:$Q$200,7,$A147)&amp;", ")),ISNUMBER(SEARCH(", "&amp;$B147&amp;", ", ", "&amp;INDEX('Form Responses'!$R$1:$R$200,7)&amp;", "))),1,""))</f>
        <v/>
      </c>
      <c r="J147">
        <f>IF(Wizards!$A$8="","",IF(OR(ISNUMBER(SEARCH(", "&amp;$B147&amp;", ", ", "&amp;INDEX('Form Responses'!$I$1:$Q$200,8,$A147)&amp;", ")),ISNUMBER(SEARCH(", "&amp;$B147&amp;", ", ", "&amp;INDEX('Form Responses'!$R$1:$R$200,8)&amp;", "))),1,""))</f>
        <v/>
      </c>
      <c r="K147">
        <f>IF(Wizards!$A$9="","",IF(OR(ISNUMBER(SEARCH(", "&amp;$B147&amp;", ", ", "&amp;INDEX('Form Responses'!$I$1:$Q$200,9,$A147)&amp;", ")),ISNUMBER(SEARCH(", "&amp;$B147&amp;", ", ", "&amp;INDEX('Form Responses'!$R$1:$R$200,9)&amp;", "))),1,""))</f>
        <v/>
      </c>
      <c r="L147">
        <f>IF(Wizards!$A$10="","",IF(OR(ISNUMBER(SEARCH(", "&amp;$B147&amp;", ", ", "&amp;INDEX('Form Responses'!$I$1:$Q$200,10,$A147)&amp;", ")),ISNUMBER(SEARCH(", "&amp;$B147&amp;", ", ", "&amp;INDEX('Form Responses'!$R$1:$R$200,10)&amp;", "))),1,""))</f>
        <v/>
      </c>
      <c r="M147">
        <f>IF(Wizards!$A$11="","",IF(OR(ISNUMBER(SEARCH(", "&amp;$B147&amp;", ", ", "&amp;INDEX('Form Responses'!$I$1:$Q$200,11,$A147)&amp;", ")),ISNUMBER(SEARCH(", "&amp;$B147&amp;", ", ", "&amp;INDEX('Form Responses'!$R$1:$R$200,11)&amp;", "))),1,""))</f>
        <v/>
      </c>
      <c r="N147">
        <f>IF(Wizards!$A$12="","",IF(OR(ISNUMBER(SEARCH(", "&amp;$B147&amp;", ", ", "&amp;INDEX('Form Responses'!$I$1:$Q$200,12,$A147)&amp;", ")),ISNUMBER(SEARCH(", "&amp;$B147&amp;", ", ", "&amp;INDEX('Form Responses'!$R$1:$R$200,12)&amp;", "))),1,""))</f>
        <v/>
      </c>
      <c r="O147">
        <f>IF(Wizards!$A$13="","",IF(OR(ISNUMBER(SEARCH(", "&amp;$B147&amp;", ", ", "&amp;INDEX('Form Responses'!$I$1:$Q$200,13,$A147)&amp;", ")),ISNUMBER(SEARCH(", "&amp;$B147&amp;", ", ", "&amp;INDEX('Form Responses'!$R$1:$R$200,13)&amp;", "))),1,""))</f>
        <v/>
      </c>
      <c r="P147">
        <f>IF(Wizards!$A$14="","",IF(OR(ISNUMBER(SEARCH(", "&amp;$B147&amp;", ", ", "&amp;INDEX('Form Responses'!$I$1:$Q$200,14,$A147)&amp;", ")),ISNUMBER(SEARCH(", "&amp;$B147&amp;", ", ", "&amp;INDEX('Form Responses'!$R$1:$R$200,14)&amp;", "))),1,""))</f>
        <v/>
      </c>
      <c r="Q147">
        <f>IF(Wizards!$A$15="","",IF(OR(ISNUMBER(SEARCH(", "&amp;$B147&amp;", ", ", "&amp;INDEX('Form Responses'!$I$1:$Q$200,15,$A147)&amp;", ")),ISNUMBER(SEARCH(", "&amp;$B147&amp;", ", ", "&amp;INDEX('Form Responses'!$R$1:$R$200,15)&amp;", "))),1,""))</f>
        <v/>
      </c>
      <c r="R147">
        <f>IF(Wizards!$A$16="","",IF(OR(ISNUMBER(SEARCH(", "&amp;$B147&amp;", ", ", "&amp;INDEX('Form Responses'!$I$1:$Q$200,16,$A147)&amp;", ")),ISNUMBER(SEARCH(", "&amp;$B147&amp;", ", ", "&amp;INDEX('Form Responses'!$R$1:$R$200,16)&amp;", "))),1,""))</f>
        <v/>
      </c>
      <c r="S147">
        <f>IF(Wizards!$A$17="","",IF(OR(ISNUMBER(SEARCH(", "&amp;$B147&amp;", ", ", "&amp;INDEX('Form Responses'!$I$1:$Q$200,17,$A147)&amp;", ")),ISNUMBER(SEARCH(", "&amp;$B147&amp;", ", ", "&amp;INDEX('Form Responses'!$R$1:$R$200,17)&amp;", "))),1,""))</f>
        <v/>
      </c>
      <c r="T147">
        <f>IF(Wizards!$A$18="","",IF(OR(ISNUMBER(SEARCH(", "&amp;$B147&amp;", ", ", "&amp;INDEX('Form Responses'!$I$1:$Q$200,18,$A147)&amp;", ")),ISNUMBER(SEARCH(", "&amp;$B147&amp;", ", ", "&amp;INDEX('Form Responses'!$R$1:$R$200,18)&amp;", "))),1,""))</f>
        <v/>
      </c>
      <c r="U147">
        <f>IF(Wizards!$A$19="","",IF(OR(ISNUMBER(SEARCH(", "&amp;$B147&amp;", ", ", "&amp;INDEX('Form Responses'!$I$1:$Q$200,19,$A147)&amp;", ")),ISNUMBER(SEARCH(", "&amp;$B147&amp;", ", ", "&amp;INDEX('Form Responses'!$R$1:$R$200,19)&amp;", "))),1,""))</f>
        <v/>
      </c>
      <c r="V147">
        <f>IF(Wizards!$A$20="","",IF(OR(ISNUMBER(SEARCH(", "&amp;$B147&amp;", ", ", "&amp;INDEX('Form Responses'!$I$1:$Q$200,20,$A147)&amp;", ")),ISNUMBER(SEARCH(", "&amp;$B147&amp;", ", ", "&amp;INDEX('Form Responses'!$R$1:$R$200,20)&amp;", "))),1,""))</f>
        <v/>
      </c>
      <c r="W147">
        <f>IF(Wizards!$A$21="","",IF(OR(ISNUMBER(SEARCH(", "&amp;$B147&amp;", ", ", "&amp;INDEX('Form Responses'!$I$1:$Q$200,21,$A147)&amp;", ")),ISNUMBER(SEARCH(", "&amp;$B147&amp;", ", ", "&amp;INDEX('Form Responses'!$R$1:$R$200,21)&amp;", "))),1,""))</f>
        <v/>
      </c>
      <c r="X147">
        <f>IF(Wizards!$A$22="","",IF(OR(ISNUMBER(SEARCH(", "&amp;$B147&amp;", ", ", "&amp;INDEX('Form Responses'!$I$1:$Q$200,22,$A147)&amp;", ")),ISNUMBER(SEARCH(", "&amp;$B147&amp;", ", ", "&amp;INDEX('Form Responses'!$R$1:$R$200,22)&amp;", "))),1,""))</f>
        <v/>
      </c>
      <c r="Y147">
        <f>IF(Wizards!$A$23="","",IF(OR(ISNUMBER(SEARCH(", "&amp;$B147&amp;", ", ", "&amp;INDEX('Form Responses'!$I$1:$Q$200,23,$A147)&amp;", ")),ISNUMBER(SEARCH(", "&amp;$B147&amp;", ", ", "&amp;INDEX('Form Responses'!$R$1:$R$200,23)&amp;", "))),1,""))</f>
        <v/>
      </c>
      <c r="Z147">
        <f>IF(Wizards!$A$24="","",IF(OR(ISNUMBER(SEARCH(", "&amp;$B147&amp;", ", ", "&amp;INDEX('Form Responses'!$I$1:$Q$200,24,$A147)&amp;", ")),ISNUMBER(SEARCH(", "&amp;$B147&amp;", ", ", "&amp;INDEX('Form Responses'!$R$1:$R$200,24)&amp;", "))),1,""))</f>
        <v/>
      </c>
      <c r="AA147">
        <f>IF(Wizards!$A$25="","",IF(OR(ISNUMBER(SEARCH(", "&amp;$B147&amp;", ", ", "&amp;INDEX('Form Responses'!$I$1:$Q$200,25,$A147)&amp;", ")),ISNUMBER(SEARCH(", "&amp;$B147&amp;", ", ", "&amp;INDEX('Form Responses'!$R$1:$R$200,25)&amp;", "))),1,""))</f>
        <v/>
      </c>
      <c r="AB147">
        <f>IF(D147=1,", "&amp;D$1,"")</f>
        <v/>
      </c>
      <c r="AC147">
        <f>IF(E147=1,", "&amp;E$1,"")</f>
        <v/>
      </c>
      <c r="AD147">
        <f>IF(F147=1,", "&amp;F$1,"")</f>
        <v/>
      </c>
      <c r="AE147">
        <f>IF(G147=1,", "&amp;G$1,"")</f>
        <v/>
      </c>
      <c r="AF147">
        <f>IF(H147=1,", "&amp;H$1,"")</f>
        <v/>
      </c>
      <c r="AG147">
        <f>IF(I147=1,", "&amp;I$1,"")</f>
        <v/>
      </c>
      <c r="AH147">
        <f>IF(J147=1,", "&amp;J$1,"")</f>
        <v/>
      </c>
      <c r="AI147">
        <f>IF(K147=1,", "&amp;K$1,"")</f>
        <v/>
      </c>
      <c r="AJ147">
        <f>IF(L147=1,", "&amp;L$1,"")</f>
        <v/>
      </c>
      <c r="AK147">
        <f>IF(M147=1,", "&amp;M$1,"")</f>
        <v/>
      </c>
      <c r="AL147">
        <f>IF(N147=1,", "&amp;N$1,"")</f>
        <v/>
      </c>
      <c r="AM147">
        <f>IF(O147=1,", "&amp;O$1,"")</f>
        <v/>
      </c>
      <c r="AN147">
        <f>IF(P147=1,", "&amp;P$1,"")</f>
        <v/>
      </c>
      <c r="AO147">
        <f>IF(Q147=1,", "&amp;Q$1,"")</f>
        <v/>
      </c>
      <c r="AP147">
        <f>IF(R147=1,", "&amp;R$1,"")</f>
        <v/>
      </c>
      <c r="AQ147">
        <f>IF(S147=1,", "&amp;S$1,"")</f>
        <v/>
      </c>
      <c r="AR147">
        <f>IF(T147=1,", "&amp;T$1,"")</f>
        <v/>
      </c>
      <c r="AS147">
        <f>IF(U147=1,", "&amp;U$1,"")</f>
        <v/>
      </c>
      <c r="AT147">
        <f>IF(V147=1,", "&amp;V$1,"")</f>
        <v/>
      </c>
      <c r="AU147">
        <f>IF(W147=1,", "&amp;W$1,"")</f>
        <v/>
      </c>
      <c r="AV147">
        <f>IF(X147=1,", "&amp;X$1,"")</f>
        <v/>
      </c>
      <c r="AW147">
        <f>IF(Y147=1,", "&amp;Y$1,"")</f>
        <v/>
      </c>
      <c r="AX147">
        <f>IF(Z147=1,", "&amp;Z$1,"")</f>
        <v/>
      </c>
      <c r="AY147">
        <f>IF(AA147=1,", "&amp;AA$1,"")</f>
        <v/>
      </c>
      <c r="AZ147">
        <f>MID($AB147&amp;$AC147&amp;$AD147&amp;$AE147&amp;$AF147&amp;$AG147&amp;$AH147&amp;$AI147&amp;$AJ147&amp;$AK147&amp;$AL147&amp;$AM147&amp;$AN147&amp;$AO147&amp;$AP147&amp;$AQ147&amp;$AR147&amp;$AS147&amp;$AT147&amp;$AU147&amp;$AV147&amp;$AW147&amp;$AX147&amp;$AY147,3,32767)</f>
        <v/>
      </c>
      <c r="BA147">
        <f>COUNT($D147:$AA147)</f>
        <v/>
      </c>
    </row>
    <row r="148">
      <c r="A148" t="n">
        <v>3</v>
      </c>
      <c r="B148" t="inlineStr">
        <is>
          <t>Summon Lesser Demons</t>
        </is>
      </c>
      <c r="C148" t="inlineStr">
        <is>
          <t>Conjuration</t>
        </is>
      </c>
      <c r="D148">
        <f>IF(Wizards!$A$2="","",IF(OR(ISNUMBER(SEARCH(", "&amp;$B148&amp;", ", ", "&amp;INDEX('Form Responses'!$I$1:$Q$200,2,$A148)&amp;", ")),ISNUMBER(SEARCH(", "&amp;$B148&amp;", ", ", "&amp;INDEX('Form Responses'!$R$1:$R$200,2)&amp;", "))),1,""))</f>
        <v/>
      </c>
      <c r="E148">
        <f>IF(Wizards!$A$3="","",IF(OR(ISNUMBER(SEARCH(", "&amp;$B148&amp;", ", ", "&amp;INDEX('Form Responses'!$I$1:$Q$200,3,$A148)&amp;", ")),ISNUMBER(SEARCH(", "&amp;$B148&amp;", ", ", "&amp;INDEX('Form Responses'!$R$1:$R$200,3)&amp;", "))),1,""))</f>
        <v/>
      </c>
      <c r="F148">
        <f>IF(Wizards!$A$4="","",IF(OR(ISNUMBER(SEARCH(", "&amp;$B148&amp;", ", ", "&amp;INDEX('Form Responses'!$I$1:$Q$200,4,$A148)&amp;", ")),ISNUMBER(SEARCH(", "&amp;$B148&amp;", ", ", "&amp;INDEX('Form Responses'!$R$1:$R$200,4)&amp;", "))),1,""))</f>
        <v/>
      </c>
      <c r="G148">
        <f>IF(Wizards!$A$5="","",IF(OR(ISNUMBER(SEARCH(", "&amp;$B148&amp;", ", ", "&amp;INDEX('Form Responses'!$I$1:$Q$200,5,$A148)&amp;", ")),ISNUMBER(SEARCH(", "&amp;$B148&amp;", ", ", "&amp;INDEX('Form Responses'!$R$1:$R$200,5)&amp;", "))),1,""))</f>
        <v/>
      </c>
      <c r="H148">
        <f>IF(Wizards!$A$6="","",IF(OR(ISNUMBER(SEARCH(", "&amp;$B148&amp;", ", ", "&amp;INDEX('Form Responses'!$I$1:$Q$200,6,$A148)&amp;", ")),ISNUMBER(SEARCH(", "&amp;$B148&amp;", ", ", "&amp;INDEX('Form Responses'!$R$1:$R$200,6)&amp;", "))),1,""))</f>
        <v/>
      </c>
      <c r="I148">
        <f>IF(Wizards!$A$7="","",IF(OR(ISNUMBER(SEARCH(", "&amp;$B148&amp;", ", ", "&amp;INDEX('Form Responses'!$I$1:$Q$200,7,$A148)&amp;", ")),ISNUMBER(SEARCH(", "&amp;$B148&amp;", ", ", "&amp;INDEX('Form Responses'!$R$1:$R$200,7)&amp;", "))),1,""))</f>
        <v/>
      </c>
      <c r="J148">
        <f>IF(Wizards!$A$8="","",IF(OR(ISNUMBER(SEARCH(", "&amp;$B148&amp;", ", ", "&amp;INDEX('Form Responses'!$I$1:$Q$200,8,$A148)&amp;", ")),ISNUMBER(SEARCH(", "&amp;$B148&amp;", ", ", "&amp;INDEX('Form Responses'!$R$1:$R$200,8)&amp;", "))),1,""))</f>
        <v/>
      </c>
      <c r="K148">
        <f>IF(Wizards!$A$9="","",IF(OR(ISNUMBER(SEARCH(", "&amp;$B148&amp;", ", ", "&amp;INDEX('Form Responses'!$I$1:$Q$200,9,$A148)&amp;", ")),ISNUMBER(SEARCH(", "&amp;$B148&amp;", ", ", "&amp;INDEX('Form Responses'!$R$1:$R$200,9)&amp;", "))),1,""))</f>
        <v/>
      </c>
      <c r="L148">
        <f>IF(Wizards!$A$10="","",IF(OR(ISNUMBER(SEARCH(", "&amp;$B148&amp;", ", ", "&amp;INDEX('Form Responses'!$I$1:$Q$200,10,$A148)&amp;", ")),ISNUMBER(SEARCH(", "&amp;$B148&amp;", ", ", "&amp;INDEX('Form Responses'!$R$1:$R$200,10)&amp;", "))),1,""))</f>
        <v/>
      </c>
      <c r="M148">
        <f>IF(Wizards!$A$11="","",IF(OR(ISNUMBER(SEARCH(", "&amp;$B148&amp;", ", ", "&amp;INDEX('Form Responses'!$I$1:$Q$200,11,$A148)&amp;", ")),ISNUMBER(SEARCH(", "&amp;$B148&amp;", ", ", "&amp;INDEX('Form Responses'!$R$1:$R$200,11)&amp;", "))),1,""))</f>
        <v/>
      </c>
      <c r="N148">
        <f>IF(Wizards!$A$12="","",IF(OR(ISNUMBER(SEARCH(", "&amp;$B148&amp;", ", ", "&amp;INDEX('Form Responses'!$I$1:$Q$200,12,$A148)&amp;", ")),ISNUMBER(SEARCH(", "&amp;$B148&amp;", ", ", "&amp;INDEX('Form Responses'!$R$1:$R$200,12)&amp;", "))),1,""))</f>
        <v/>
      </c>
      <c r="O148">
        <f>IF(Wizards!$A$13="","",IF(OR(ISNUMBER(SEARCH(", "&amp;$B148&amp;", ", ", "&amp;INDEX('Form Responses'!$I$1:$Q$200,13,$A148)&amp;", ")),ISNUMBER(SEARCH(", "&amp;$B148&amp;", ", ", "&amp;INDEX('Form Responses'!$R$1:$R$200,13)&amp;", "))),1,""))</f>
        <v/>
      </c>
      <c r="P148">
        <f>IF(Wizards!$A$14="","",IF(OR(ISNUMBER(SEARCH(", "&amp;$B148&amp;", ", ", "&amp;INDEX('Form Responses'!$I$1:$Q$200,14,$A148)&amp;", ")),ISNUMBER(SEARCH(", "&amp;$B148&amp;", ", ", "&amp;INDEX('Form Responses'!$R$1:$R$200,14)&amp;", "))),1,""))</f>
        <v/>
      </c>
      <c r="Q148">
        <f>IF(Wizards!$A$15="","",IF(OR(ISNUMBER(SEARCH(", "&amp;$B148&amp;", ", ", "&amp;INDEX('Form Responses'!$I$1:$Q$200,15,$A148)&amp;", ")),ISNUMBER(SEARCH(", "&amp;$B148&amp;", ", ", "&amp;INDEX('Form Responses'!$R$1:$R$200,15)&amp;", "))),1,""))</f>
        <v/>
      </c>
      <c r="R148">
        <f>IF(Wizards!$A$16="","",IF(OR(ISNUMBER(SEARCH(", "&amp;$B148&amp;", ", ", "&amp;INDEX('Form Responses'!$I$1:$Q$200,16,$A148)&amp;", ")),ISNUMBER(SEARCH(", "&amp;$B148&amp;", ", ", "&amp;INDEX('Form Responses'!$R$1:$R$200,16)&amp;", "))),1,""))</f>
        <v/>
      </c>
      <c r="S148">
        <f>IF(Wizards!$A$17="","",IF(OR(ISNUMBER(SEARCH(", "&amp;$B148&amp;", ", ", "&amp;INDEX('Form Responses'!$I$1:$Q$200,17,$A148)&amp;", ")),ISNUMBER(SEARCH(", "&amp;$B148&amp;", ", ", "&amp;INDEX('Form Responses'!$R$1:$R$200,17)&amp;", "))),1,""))</f>
        <v/>
      </c>
      <c r="T148">
        <f>IF(Wizards!$A$18="","",IF(OR(ISNUMBER(SEARCH(", "&amp;$B148&amp;", ", ", "&amp;INDEX('Form Responses'!$I$1:$Q$200,18,$A148)&amp;", ")),ISNUMBER(SEARCH(", "&amp;$B148&amp;", ", ", "&amp;INDEX('Form Responses'!$R$1:$R$200,18)&amp;", "))),1,""))</f>
        <v/>
      </c>
      <c r="U148">
        <f>IF(Wizards!$A$19="","",IF(OR(ISNUMBER(SEARCH(", "&amp;$B148&amp;", ", ", "&amp;INDEX('Form Responses'!$I$1:$Q$200,19,$A148)&amp;", ")),ISNUMBER(SEARCH(", "&amp;$B148&amp;", ", ", "&amp;INDEX('Form Responses'!$R$1:$R$200,19)&amp;", "))),1,""))</f>
        <v/>
      </c>
      <c r="V148">
        <f>IF(Wizards!$A$20="","",IF(OR(ISNUMBER(SEARCH(", "&amp;$B148&amp;", ", ", "&amp;INDEX('Form Responses'!$I$1:$Q$200,20,$A148)&amp;", ")),ISNUMBER(SEARCH(", "&amp;$B148&amp;", ", ", "&amp;INDEX('Form Responses'!$R$1:$R$200,20)&amp;", "))),1,""))</f>
        <v/>
      </c>
      <c r="W148">
        <f>IF(Wizards!$A$21="","",IF(OR(ISNUMBER(SEARCH(", "&amp;$B148&amp;", ", ", "&amp;INDEX('Form Responses'!$I$1:$Q$200,21,$A148)&amp;", ")),ISNUMBER(SEARCH(", "&amp;$B148&amp;", ", ", "&amp;INDEX('Form Responses'!$R$1:$R$200,21)&amp;", "))),1,""))</f>
        <v/>
      </c>
      <c r="X148">
        <f>IF(Wizards!$A$22="","",IF(OR(ISNUMBER(SEARCH(", "&amp;$B148&amp;", ", ", "&amp;INDEX('Form Responses'!$I$1:$Q$200,22,$A148)&amp;", ")),ISNUMBER(SEARCH(", "&amp;$B148&amp;", ", ", "&amp;INDEX('Form Responses'!$R$1:$R$200,22)&amp;", "))),1,""))</f>
        <v/>
      </c>
      <c r="Y148">
        <f>IF(Wizards!$A$23="","",IF(OR(ISNUMBER(SEARCH(", "&amp;$B148&amp;", ", ", "&amp;INDEX('Form Responses'!$I$1:$Q$200,23,$A148)&amp;", ")),ISNUMBER(SEARCH(", "&amp;$B148&amp;", ", ", "&amp;INDEX('Form Responses'!$R$1:$R$200,23)&amp;", "))),1,""))</f>
        <v/>
      </c>
      <c r="Z148">
        <f>IF(Wizards!$A$24="","",IF(OR(ISNUMBER(SEARCH(", "&amp;$B148&amp;", ", ", "&amp;INDEX('Form Responses'!$I$1:$Q$200,24,$A148)&amp;", ")),ISNUMBER(SEARCH(", "&amp;$B148&amp;", ", ", "&amp;INDEX('Form Responses'!$R$1:$R$200,24)&amp;", "))),1,""))</f>
        <v/>
      </c>
      <c r="AA148">
        <f>IF(Wizards!$A$25="","",IF(OR(ISNUMBER(SEARCH(", "&amp;$B148&amp;", ", ", "&amp;INDEX('Form Responses'!$I$1:$Q$200,25,$A148)&amp;", ")),ISNUMBER(SEARCH(", "&amp;$B148&amp;", ", ", "&amp;INDEX('Form Responses'!$R$1:$R$200,25)&amp;", "))),1,""))</f>
        <v/>
      </c>
      <c r="AB148">
        <f>IF(D148=1,", "&amp;D$1,"")</f>
        <v/>
      </c>
      <c r="AC148">
        <f>IF(E148=1,", "&amp;E$1,"")</f>
        <v/>
      </c>
      <c r="AD148">
        <f>IF(F148=1,", "&amp;F$1,"")</f>
        <v/>
      </c>
      <c r="AE148">
        <f>IF(G148=1,", "&amp;G$1,"")</f>
        <v/>
      </c>
      <c r="AF148">
        <f>IF(H148=1,", "&amp;H$1,"")</f>
        <v/>
      </c>
      <c r="AG148">
        <f>IF(I148=1,", "&amp;I$1,"")</f>
        <v/>
      </c>
      <c r="AH148">
        <f>IF(J148=1,", "&amp;J$1,"")</f>
        <v/>
      </c>
      <c r="AI148">
        <f>IF(K148=1,", "&amp;K$1,"")</f>
        <v/>
      </c>
      <c r="AJ148">
        <f>IF(L148=1,", "&amp;L$1,"")</f>
        <v/>
      </c>
      <c r="AK148">
        <f>IF(M148=1,", "&amp;M$1,"")</f>
        <v/>
      </c>
      <c r="AL148">
        <f>IF(N148=1,", "&amp;N$1,"")</f>
        <v/>
      </c>
      <c r="AM148">
        <f>IF(O148=1,", "&amp;O$1,"")</f>
        <v/>
      </c>
      <c r="AN148">
        <f>IF(P148=1,", "&amp;P$1,"")</f>
        <v/>
      </c>
      <c r="AO148">
        <f>IF(Q148=1,", "&amp;Q$1,"")</f>
        <v/>
      </c>
      <c r="AP148">
        <f>IF(R148=1,", "&amp;R$1,"")</f>
        <v/>
      </c>
      <c r="AQ148">
        <f>IF(S148=1,", "&amp;S$1,"")</f>
        <v/>
      </c>
      <c r="AR148">
        <f>IF(T148=1,", "&amp;T$1,"")</f>
        <v/>
      </c>
      <c r="AS148">
        <f>IF(U148=1,", "&amp;U$1,"")</f>
        <v/>
      </c>
      <c r="AT148">
        <f>IF(V148=1,", "&amp;V$1,"")</f>
        <v/>
      </c>
      <c r="AU148">
        <f>IF(W148=1,", "&amp;W$1,"")</f>
        <v/>
      </c>
      <c r="AV148">
        <f>IF(X148=1,", "&amp;X$1,"")</f>
        <v/>
      </c>
      <c r="AW148">
        <f>IF(Y148=1,", "&amp;Y$1,"")</f>
        <v/>
      </c>
      <c r="AX148">
        <f>IF(Z148=1,", "&amp;Z$1,"")</f>
        <v/>
      </c>
      <c r="AY148">
        <f>IF(AA148=1,", "&amp;AA$1,"")</f>
        <v/>
      </c>
      <c r="AZ148">
        <f>MID($AB148&amp;$AC148&amp;$AD148&amp;$AE148&amp;$AF148&amp;$AG148&amp;$AH148&amp;$AI148&amp;$AJ148&amp;$AK148&amp;$AL148&amp;$AM148&amp;$AN148&amp;$AO148&amp;$AP148&amp;$AQ148&amp;$AR148&amp;$AS148&amp;$AT148&amp;$AU148&amp;$AV148&amp;$AW148&amp;$AX148&amp;$AY148,3,32767)</f>
        <v/>
      </c>
      <c r="BA148">
        <f>COUNT($D148:$AA148)</f>
        <v/>
      </c>
    </row>
    <row r="149">
      <c r="A149" t="n">
        <v>3</v>
      </c>
      <c r="B149" t="inlineStr">
        <is>
          <t>Summon Shadowspawn</t>
        </is>
      </c>
      <c r="C149" t="inlineStr">
        <is>
          <t>Conjuration</t>
        </is>
      </c>
      <c r="D149">
        <f>IF(Wizards!$A$2="","",IF(OR(ISNUMBER(SEARCH(", "&amp;$B149&amp;", ", ", "&amp;INDEX('Form Responses'!$I$1:$Q$200,2,$A149)&amp;", ")),ISNUMBER(SEARCH(", "&amp;$B149&amp;", ", ", "&amp;INDEX('Form Responses'!$R$1:$R$200,2)&amp;", "))),1,""))</f>
        <v/>
      </c>
      <c r="E149">
        <f>IF(Wizards!$A$3="","",IF(OR(ISNUMBER(SEARCH(", "&amp;$B149&amp;", ", ", "&amp;INDEX('Form Responses'!$I$1:$Q$200,3,$A149)&amp;", ")),ISNUMBER(SEARCH(", "&amp;$B149&amp;", ", ", "&amp;INDEX('Form Responses'!$R$1:$R$200,3)&amp;", "))),1,""))</f>
        <v/>
      </c>
      <c r="F149">
        <f>IF(Wizards!$A$4="","",IF(OR(ISNUMBER(SEARCH(", "&amp;$B149&amp;", ", ", "&amp;INDEX('Form Responses'!$I$1:$Q$200,4,$A149)&amp;", ")),ISNUMBER(SEARCH(", "&amp;$B149&amp;", ", ", "&amp;INDEX('Form Responses'!$R$1:$R$200,4)&amp;", "))),1,""))</f>
        <v/>
      </c>
      <c r="G149">
        <f>IF(Wizards!$A$5="","",IF(OR(ISNUMBER(SEARCH(", "&amp;$B149&amp;", ", ", "&amp;INDEX('Form Responses'!$I$1:$Q$200,5,$A149)&amp;", ")),ISNUMBER(SEARCH(", "&amp;$B149&amp;", ", ", "&amp;INDEX('Form Responses'!$R$1:$R$200,5)&amp;", "))),1,""))</f>
        <v/>
      </c>
      <c r="H149">
        <f>IF(Wizards!$A$6="","",IF(OR(ISNUMBER(SEARCH(", "&amp;$B149&amp;", ", ", "&amp;INDEX('Form Responses'!$I$1:$Q$200,6,$A149)&amp;", ")),ISNUMBER(SEARCH(", "&amp;$B149&amp;", ", ", "&amp;INDEX('Form Responses'!$R$1:$R$200,6)&amp;", "))),1,""))</f>
        <v/>
      </c>
      <c r="I149">
        <f>IF(Wizards!$A$7="","",IF(OR(ISNUMBER(SEARCH(", "&amp;$B149&amp;", ", ", "&amp;INDEX('Form Responses'!$I$1:$Q$200,7,$A149)&amp;", ")),ISNUMBER(SEARCH(", "&amp;$B149&amp;", ", ", "&amp;INDEX('Form Responses'!$R$1:$R$200,7)&amp;", "))),1,""))</f>
        <v/>
      </c>
      <c r="J149">
        <f>IF(Wizards!$A$8="","",IF(OR(ISNUMBER(SEARCH(", "&amp;$B149&amp;", ", ", "&amp;INDEX('Form Responses'!$I$1:$Q$200,8,$A149)&amp;", ")),ISNUMBER(SEARCH(", "&amp;$B149&amp;", ", ", "&amp;INDEX('Form Responses'!$R$1:$R$200,8)&amp;", "))),1,""))</f>
        <v/>
      </c>
      <c r="K149">
        <f>IF(Wizards!$A$9="","",IF(OR(ISNUMBER(SEARCH(", "&amp;$B149&amp;", ", ", "&amp;INDEX('Form Responses'!$I$1:$Q$200,9,$A149)&amp;", ")),ISNUMBER(SEARCH(", "&amp;$B149&amp;", ", ", "&amp;INDEX('Form Responses'!$R$1:$R$200,9)&amp;", "))),1,""))</f>
        <v/>
      </c>
      <c r="L149">
        <f>IF(Wizards!$A$10="","",IF(OR(ISNUMBER(SEARCH(", "&amp;$B149&amp;", ", ", "&amp;INDEX('Form Responses'!$I$1:$Q$200,10,$A149)&amp;", ")),ISNUMBER(SEARCH(", "&amp;$B149&amp;", ", ", "&amp;INDEX('Form Responses'!$R$1:$R$200,10)&amp;", "))),1,""))</f>
        <v/>
      </c>
      <c r="M149">
        <f>IF(Wizards!$A$11="","",IF(OR(ISNUMBER(SEARCH(", "&amp;$B149&amp;", ", ", "&amp;INDEX('Form Responses'!$I$1:$Q$200,11,$A149)&amp;", ")),ISNUMBER(SEARCH(", "&amp;$B149&amp;", ", ", "&amp;INDEX('Form Responses'!$R$1:$R$200,11)&amp;", "))),1,""))</f>
        <v/>
      </c>
      <c r="N149">
        <f>IF(Wizards!$A$12="","",IF(OR(ISNUMBER(SEARCH(", "&amp;$B149&amp;", ", ", "&amp;INDEX('Form Responses'!$I$1:$Q$200,12,$A149)&amp;", ")),ISNUMBER(SEARCH(", "&amp;$B149&amp;", ", ", "&amp;INDEX('Form Responses'!$R$1:$R$200,12)&amp;", "))),1,""))</f>
        <v/>
      </c>
      <c r="O149">
        <f>IF(Wizards!$A$13="","",IF(OR(ISNUMBER(SEARCH(", "&amp;$B149&amp;", ", ", "&amp;INDEX('Form Responses'!$I$1:$Q$200,13,$A149)&amp;", ")),ISNUMBER(SEARCH(", "&amp;$B149&amp;", ", ", "&amp;INDEX('Form Responses'!$R$1:$R$200,13)&amp;", "))),1,""))</f>
        <v/>
      </c>
      <c r="P149">
        <f>IF(Wizards!$A$14="","",IF(OR(ISNUMBER(SEARCH(", "&amp;$B149&amp;", ", ", "&amp;INDEX('Form Responses'!$I$1:$Q$200,14,$A149)&amp;", ")),ISNUMBER(SEARCH(", "&amp;$B149&amp;", ", ", "&amp;INDEX('Form Responses'!$R$1:$R$200,14)&amp;", "))),1,""))</f>
        <v/>
      </c>
      <c r="Q149">
        <f>IF(Wizards!$A$15="","",IF(OR(ISNUMBER(SEARCH(", "&amp;$B149&amp;", ", ", "&amp;INDEX('Form Responses'!$I$1:$Q$200,15,$A149)&amp;", ")),ISNUMBER(SEARCH(", "&amp;$B149&amp;", ", ", "&amp;INDEX('Form Responses'!$R$1:$R$200,15)&amp;", "))),1,""))</f>
        <v/>
      </c>
      <c r="R149">
        <f>IF(Wizards!$A$16="","",IF(OR(ISNUMBER(SEARCH(", "&amp;$B149&amp;", ", ", "&amp;INDEX('Form Responses'!$I$1:$Q$200,16,$A149)&amp;", ")),ISNUMBER(SEARCH(", "&amp;$B149&amp;", ", ", "&amp;INDEX('Form Responses'!$R$1:$R$200,16)&amp;", "))),1,""))</f>
        <v/>
      </c>
      <c r="S149">
        <f>IF(Wizards!$A$17="","",IF(OR(ISNUMBER(SEARCH(", "&amp;$B149&amp;", ", ", "&amp;INDEX('Form Responses'!$I$1:$Q$200,17,$A149)&amp;", ")),ISNUMBER(SEARCH(", "&amp;$B149&amp;", ", ", "&amp;INDEX('Form Responses'!$R$1:$R$200,17)&amp;", "))),1,""))</f>
        <v/>
      </c>
      <c r="T149">
        <f>IF(Wizards!$A$18="","",IF(OR(ISNUMBER(SEARCH(", "&amp;$B149&amp;", ", ", "&amp;INDEX('Form Responses'!$I$1:$Q$200,18,$A149)&amp;", ")),ISNUMBER(SEARCH(", "&amp;$B149&amp;", ", ", "&amp;INDEX('Form Responses'!$R$1:$R$200,18)&amp;", "))),1,""))</f>
        <v/>
      </c>
      <c r="U149">
        <f>IF(Wizards!$A$19="","",IF(OR(ISNUMBER(SEARCH(", "&amp;$B149&amp;", ", ", "&amp;INDEX('Form Responses'!$I$1:$Q$200,19,$A149)&amp;", ")),ISNUMBER(SEARCH(", "&amp;$B149&amp;", ", ", "&amp;INDEX('Form Responses'!$R$1:$R$200,19)&amp;", "))),1,""))</f>
        <v/>
      </c>
      <c r="V149">
        <f>IF(Wizards!$A$20="","",IF(OR(ISNUMBER(SEARCH(", "&amp;$B149&amp;", ", ", "&amp;INDEX('Form Responses'!$I$1:$Q$200,20,$A149)&amp;", ")),ISNUMBER(SEARCH(", "&amp;$B149&amp;", ", ", "&amp;INDEX('Form Responses'!$R$1:$R$200,20)&amp;", "))),1,""))</f>
        <v/>
      </c>
      <c r="W149">
        <f>IF(Wizards!$A$21="","",IF(OR(ISNUMBER(SEARCH(", "&amp;$B149&amp;", ", ", "&amp;INDEX('Form Responses'!$I$1:$Q$200,21,$A149)&amp;", ")),ISNUMBER(SEARCH(", "&amp;$B149&amp;", ", ", "&amp;INDEX('Form Responses'!$R$1:$R$200,21)&amp;", "))),1,""))</f>
        <v/>
      </c>
      <c r="X149">
        <f>IF(Wizards!$A$22="","",IF(OR(ISNUMBER(SEARCH(", "&amp;$B149&amp;", ", ", "&amp;INDEX('Form Responses'!$I$1:$Q$200,22,$A149)&amp;", ")),ISNUMBER(SEARCH(", "&amp;$B149&amp;", ", ", "&amp;INDEX('Form Responses'!$R$1:$R$200,22)&amp;", "))),1,""))</f>
        <v/>
      </c>
      <c r="Y149">
        <f>IF(Wizards!$A$23="","",IF(OR(ISNUMBER(SEARCH(", "&amp;$B149&amp;", ", ", "&amp;INDEX('Form Responses'!$I$1:$Q$200,23,$A149)&amp;", ")),ISNUMBER(SEARCH(", "&amp;$B149&amp;", ", ", "&amp;INDEX('Form Responses'!$R$1:$R$200,23)&amp;", "))),1,""))</f>
        <v/>
      </c>
      <c r="Z149">
        <f>IF(Wizards!$A$24="","",IF(OR(ISNUMBER(SEARCH(", "&amp;$B149&amp;", ", ", "&amp;INDEX('Form Responses'!$I$1:$Q$200,24,$A149)&amp;", ")),ISNUMBER(SEARCH(", "&amp;$B149&amp;", ", ", "&amp;INDEX('Form Responses'!$R$1:$R$200,24)&amp;", "))),1,""))</f>
        <v/>
      </c>
      <c r="AA149">
        <f>IF(Wizards!$A$25="","",IF(OR(ISNUMBER(SEARCH(", "&amp;$B149&amp;", ", ", "&amp;INDEX('Form Responses'!$I$1:$Q$200,25,$A149)&amp;", ")),ISNUMBER(SEARCH(", "&amp;$B149&amp;", ", ", "&amp;INDEX('Form Responses'!$R$1:$R$200,25)&amp;", "))),1,""))</f>
        <v/>
      </c>
      <c r="AB149">
        <f>IF(D149=1,", "&amp;D$1,"")</f>
        <v/>
      </c>
      <c r="AC149">
        <f>IF(E149=1,", "&amp;E$1,"")</f>
        <v/>
      </c>
      <c r="AD149">
        <f>IF(F149=1,", "&amp;F$1,"")</f>
        <v/>
      </c>
      <c r="AE149">
        <f>IF(G149=1,", "&amp;G$1,"")</f>
        <v/>
      </c>
      <c r="AF149">
        <f>IF(H149=1,", "&amp;H$1,"")</f>
        <v/>
      </c>
      <c r="AG149">
        <f>IF(I149=1,", "&amp;I$1,"")</f>
        <v/>
      </c>
      <c r="AH149">
        <f>IF(J149=1,", "&amp;J$1,"")</f>
        <v/>
      </c>
      <c r="AI149">
        <f>IF(K149=1,", "&amp;K$1,"")</f>
        <v/>
      </c>
      <c r="AJ149">
        <f>IF(L149=1,", "&amp;L$1,"")</f>
        <v/>
      </c>
      <c r="AK149">
        <f>IF(M149=1,", "&amp;M$1,"")</f>
        <v/>
      </c>
      <c r="AL149">
        <f>IF(N149=1,", "&amp;N$1,"")</f>
        <v/>
      </c>
      <c r="AM149">
        <f>IF(O149=1,", "&amp;O$1,"")</f>
        <v/>
      </c>
      <c r="AN149">
        <f>IF(P149=1,", "&amp;P$1,"")</f>
        <v/>
      </c>
      <c r="AO149">
        <f>IF(Q149=1,", "&amp;Q$1,"")</f>
        <v/>
      </c>
      <c r="AP149">
        <f>IF(R149=1,", "&amp;R$1,"")</f>
        <v/>
      </c>
      <c r="AQ149">
        <f>IF(S149=1,", "&amp;S$1,"")</f>
        <v/>
      </c>
      <c r="AR149">
        <f>IF(T149=1,", "&amp;T$1,"")</f>
        <v/>
      </c>
      <c r="AS149">
        <f>IF(U149=1,", "&amp;U$1,"")</f>
        <v/>
      </c>
      <c r="AT149">
        <f>IF(V149=1,", "&amp;V$1,"")</f>
        <v/>
      </c>
      <c r="AU149">
        <f>IF(W149=1,", "&amp;W$1,"")</f>
        <v/>
      </c>
      <c r="AV149">
        <f>IF(X149=1,", "&amp;X$1,"")</f>
        <v/>
      </c>
      <c r="AW149">
        <f>IF(Y149=1,", "&amp;Y$1,"")</f>
        <v/>
      </c>
      <c r="AX149">
        <f>IF(Z149=1,", "&amp;Z$1,"")</f>
        <v/>
      </c>
      <c r="AY149">
        <f>IF(AA149=1,", "&amp;AA$1,"")</f>
        <v/>
      </c>
      <c r="AZ149">
        <f>MID($AB149&amp;$AC149&amp;$AD149&amp;$AE149&amp;$AF149&amp;$AG149&amp;$AH149&amp;$AI149&amp;$AJ149&amp;$AK149&amp;$AL149&amp;$AM149&amp;$AN149&amp;$AO149&amp;$AP149&amp;$AQ149&amp;$AR149&amp;$AS149&amp;$AT149&amp;$AU149&amp;$AV149&amp;$AW149&amp;$AX149&amp;$AY149,3,32767)</f>
        <v/>
      </c>
      <c r="BA149">
        <f>COUNT($D149:$AA149)</f>
        <v/>
      </c>
    </row>
    <row r="150">
      <c r="A150" t="n">
        <v>3</v>
      </c>
      <c r="B150" t="inlineStr">
        <is>
          <t>Summon Undead</t>
        </is>
      </c>
      <c r="C150" t="inlineStr">
        <is>
          <t>Necromancy</t>
        </is>
      </c>
      <c r="D150">
        <f>IF(Wizards!$A$2="","",IF(OR(ISNUMBER(SEARCH(", "&amp;$B150&amp;", ", ", "&amp;INDEX('Form Responses'!$I$1:$Q$200,2,$A150)&amp;", ")),ISNUMBER(SEARCH(", "&amp;$B150&amp;", ", ", "&amp;INDEX('Form Responses'!$R$1:$R$200,2)&amp;", "))),1,""))</f>
        <v/>
      </c>
      <c r="E150">
        <f>IF(Wizards!$A$3="","",IF(OR(ISNUMBER(SEARCH(", "&amp;$B150&amp;", ", ", "&amp;INDEX('Form Responses'!$I$1:$Q$200,3,$A150)&amp;", ")),ISNUMBER(SEARCH(", "&amp;$B150&amp;", ", ", "&amp;INDEX('Form Responses'!$R$1:$R$200,3)&amp;", "))),1,""))</f>
        <v/>
      </c>
      <c r="F150">
        <f>IF(Wizards!$A$4="","",IF(OR(ISNUMBER(SEARCH(", "&amp;$B150&amp;", ", ", "&amp;INDEX('Form Responses'!$I$1:$Q$200,4,$A150)&amp;", ")),ISNUMBER(SEARCH(", "&amp;$B150&amp;", ", ", "&amp;INDEX('Form Responses'!$R$1:$R$200,4)&amp;", "))),1,""))</f>
        <v/>
      </c>
      <c r="G150">
        <f>IF(Wizards!$A$5="","",IF(OR(ISNUMBER(SEARCH(", "&amp;$B150&amp;", ", ", "&amp;INDEX('Form Responses'!$I$1:$Q$200,5,$A150)&amp;", ")),ISNUMBER(SEARCH(", "&amp;$B150&amp;", ", ", "&amp;INDEX('Form Responses'!$R$1:$R$200,5)&amp;", "))),1,""))</f>
        <v/>
      </c>
      <c r="H150">
        <f>IF(Wizards!$A$6="","",IF(OR(ISNUMBER(SEARCH(", "&amp;$B150&amp;", ", ", "&amp;INDEX('Form Responses'!$I$1:$Q$200,6,$A150)&amp;", ")),ISNUMBER(SEARCH(", "&amp;$B150&amp;", ", ", "&amp;INDEX('Form Responses'!$R$1:$R$200,6)&amp;", "))),1,""))</f>
        <v/>
      </c>
      <c r="I150">
        <f>IF(Wizards!$A$7="","",IF(OR(ISNUMBER(SEARCH(", "&amp;$B150&amp;", ", ", "&amp;INDEX('Form Responses'!$I$1:$Q$200,7,$A150)&amp;", ")),ISNUMBER(SEARCH(", "&amp;$B150&amp;", ", ", "&amp;INDEX('Form Responses'!$R$1:$R$200,7)&amp;", "))),1,""))</f>
        <v/>
      </c>
      <c r="J150">
        <f>IF(Wizards!$A$8="","",IF(OR(ISNUMBER(SEARCH(", "&amp;$B150&amp;", ", ", "&amp;INDEX('Form Responses'!$I$1:$Q$200,8,$A150)&amp;", ")),ISNUMBER(SEARCH(", "&amp;$B150&amp;", ", ", "&amp;INDEX('Form Responses'!$R$1:$R$200,8)&amp;", "))),1,""))</f>
        <v/>
      </c>
      <c r="K150">
        <f>IF(Wizards!$A$9="","",IF(OR(ISNUMBER(SEARCH(", "&amp;$B150&amp;", ", ", "&amp;INDEX('Form Responses'!$I$1:$Q$200,9,$A150)&amp;", ")),ISNUMBER(SEARCH(", "&amp;$B150&amp;", ", ", "&amp;INDEX('Form Responses'!$R$1:$R$200,9)&amp;", "))),1,""))</f>
        <v/>
      </c>
      <c r="L150">
        <f>IF(Wizards!$A$10="","",IF(OR(ISNUMBER(SEARCH(", "&amp;$B150&amp;", ", ", "&amp;INDEX('Form Responses'!$I$1:$Q$200,10,$A150)&amp;", ")),ISNUMBER(SEARCH(", "&amp;$B150&amp;", ", ", "&amp;INDEX('Form Responses'!$R$1:$R$200,10)&amp;", "))),1,""))</f>
        <v/>
      </c>
      <c r="M150">
        <f>IF(Wizards!$A$11="","",IF(OR(ISNUMBER(SEARCH(", "&amp;$B150&amp;", ", ", "&amp;INDEX('Form Responses'!$I$1:$Q$200,11,$A150)&amp;", ")),ISNUMBER(SEARCH(", "&amp;$B150&amp;", ", ", "&amp;INDEX('Form Responses'!$R$1:$R$200,11)&amp;", "))),1,""))</f>
        <v/>
      </c>
      <c r="N150">
        <f>IF(Wizards!$A$12="","",IF(OR(ISNUMBER(SEARCH(", "&amp;$B150&amp;", ", ", "&amp;INDEX('Form Responses'!$I$1:$Q$200,12,$A150)&amp;", ")),ISNUMBER(SEARCH(", "&amp;$B150&amp;", ", ", "&amp;INDEX('Form Responses'!$R$1:$R$200,12)&amp;", "))),1,""))</f>
        <v/>
      </c>
      <c r="O150">
        <f>IF(Wizards!$A$13="","",IF(OR(ISNUMBER(SEARCH(", "&amp;$B150&amp;", ", ", "&amp;INDEX('Form Responses'!$I$1:$Q$200,13,$A150)&amp;", ")),ISNUMBER(SEARCH(", "&amp;$B150&amp;", ", ", "&amp;INDEX('Form Responses'!$R$1:$R$200,13)&amp;", "))),1,""))</f>
        <v/>
      </c>
      <c r="P150">
        <f>IF(Wizards!$A$14="","",IF(OR(ISNUMBER(SEARCH(", "&amp;$B150&amp;", ", ", "&amp;INDEX('Form Responses'!$I$1:$Q$200,14,$A150)&amp;", ")),ISNUMBER(SEARCH(", "&amp;$B150&amp;", ", ", "&amp;INDEX('Form Responses'!$R$1:$R$200,14)&amp;", "))),1,""))</f>
        <v/>
      </c>
      <c r="Q150">
        <f>IF(Wizards!$A$15="","",IF(OR(ISNUMBER(SEARCH(", "&amp;$B150&amp;", ", ", "&amp;INDEX('Form Responses'!$I$1:$Q$200,15,$A150)&amp;", ")),ISNUMBER(SEARCH(", "&amp;$B150&amp;", ", ", "&amp;INDEX('Form Responses'!$R$1:$R$200,15)&amp;", "))),1,""))</f>
        <v/>
      </c>
      <c r="R150">
        <f>IF(Wizards!$A$16="","",IF(OR(ISNUMBER(SEARCH(", "&amp;$B150&amp;", ", ", "&amp;INDEX('Form Responses'!$I$1:$Q$200,16,$A150)&amp;", ")),ISNUMBER(SEARCH(", "&amp;$B150&amp;", ", ", "&amp;INDEX('Form Responses'!$R$1:$R$200,16)&amp;", "))),1,""))</f>
        <v/>
      </c>
      <c r="S150">
        <f>IF(Wizards!$A$17="","",IF(OR(ISNUMBER(SEARCH(", "&amp;$B150&amp;", ", ", "&amp;INDEX('Form Responses'!$I$1:$Q$200,17,$A150)&amp;", ")),ISNUMBER(SEARCH(", "&amp;$B150&amp;", ", ", "&amp;INDEX('Form Responses'!$R$1:$R$200,17)&amp;", "))),1,""))</f>
        <v/>
      </c>
      <c r="T150">
        <f>IF(Wizards!$A$18="","",IF(OR(ISNUMBER(SEARCH(", "&amp;$B150&amp;", ", ", "&amp;INDEX('Form Responses'!$I$1:$Q$200,18,$A150)&amp;", ")),ISNUMBER(SEARCH(", "&amp;$B150&amp;", ", ", "&amp;INDEX('Form Responses'!$R$1:$R$200,18)&amp;", "))),1,""))</f>
        <v/>
      </c>
      <c r="U150">
        <f>IF(Wizards!$A$19="","",IF(OR(ISNUMBER(SEARCH(", "&amp;$B150&amp;", ", ", "&amp;INDEX('Form Responses'!$I$1:$Q$200,19,$A150)&amp;", ")),ISNUMBER(SEARCH(", "&amp;$B150&amp;", ", ", "&amp;INDEX('Form Responses'!$R$1:$R$200,19)&amp;", "))),1,""))</f>
        <v/>
      </c>
      <c r="V150">
        <f>IF(Wizards!$A$20="","",IF(OR(ISNUMBER(SEARCH(", "&amp;$B150&amp;", ", ", "&amp;INDEX('Form Responses'!$I$1:$Q$200,20,$A150)&amp;", ")),ISNUMBER(SEARCH(", "&amp;$B150&amp;", ", ", "&amp;INDEX('Form Responses'!$R$1:$R$200,20)&amp;", "))),1,""))</f>
        <v/>
      </c>
      <c r="W150">
        <f>IF(Wizards!$A$21="","",IF(OR(ISNUMBER(SEARCH(", "&amp;$B150&amp;", ", ", "&amp;INDEX('Form Responses'!$I$1:$Q$200,21,$A150)&amp;", ")),ISNUMBER(SEARCH(", "&amp;$B150&amp;", ", ", "&amp;INDEX('Form Responses'!$R$1:$R$200,21)&amp;", "))),1,""))</f>
        <v/>
      </c>
      <c r="X150">
        <f>IF(Wizards!$A$22="","",IF(OR(ISNUMBER(SEARCH(", "&amp;$B150&amp;", ", ", "&amp;INDEX('Form Responses'!$I$1:$Q$200,22,$A150)&amp;", ")),ISNUMBER(SEARCH(", "&amp;$B150&amp;", ", ", "&amp;INDEX('Form Responses'!$R$1:$R$200,22)&amp;", "))),1,""))</f>
        <v/>
      </c>
      <c r="Y150">
        <f>IF(Wizards!$A$23="","",IF(OR(ISNUMBER(SEARCH(", "&amp;$B150&amp;", ", ", "&amp;INDEX('Form Responses'!$I$1:$Q$200,23,$A150)&amp;", ")),ISNUMBER(SEARCH(", "&amp;$B150&amp;", ", ", "&amp;INDEX('Form Responses'!$R$1:$R$200,23)&amp;", "))),1,""))</f>
        <v/>
      </c>
      <c r="Z150">
        <f>IF(Wizards!$A$24="","",IF(OR(ISNUMBER(SEARCH(", "&amp;$B150&amp;", ", ", "&amp;INDEX('Form Responses'!$I$1:$Q$200,24,$A150)&amp;", ")),ISNUMBER(SEARCH(", "&amp;$B150&amp;", ", ", "&amp;INDEX('Form Responses'!$R$1:$R$200,24)&amp;", "))),1,""))</f>
        <v/>
      </c>
      <c r="AA150">
        <f>IF(Wizards!$A$25="","",IF(OR(ISNUMBER(SEARCH(", "&amp;$B150&amp;", ", ", "&amp;INDEX('Form Responses'!$I$1:$Q$200,25,$A150)&amp;", ")),ISNUMBER(SEARCH(", "&amp;$B150&amp;", ", ", "&amp;INDEX('Form Responses'!$R$1:$R$200,25)&amp;", "))),1,""))</f>
        <v/>
      </c>
      <c r="AB150">
        <f>IF(D150=1,", "&amp;D$1,"")</f>
        <v/>
      </c>
      <c r="AC150">
        <f>IF(E150=1,", "&amp;E$1,"")</f>
        <v/>
      </c>
      <c r="AD150">
        <f>IF(F150=1,", "&amp;F$1,"")</f>
        <v/>
      </c>
      <c r="AE150">
        <f>IF(G150=1,", "&amp;G$1,"")</f>
        <v/>
      </c>
      <c r="AF150">
        <f>IF(H150=1,", "&amp;H$1,"")</f>
        <v/>
      </c>
      <c r="AG150">
        <f>IF(I150=1,", "&amp;I$1,"")</f>
        <v/>
      </c>
      <c r="AH150">
        <f>IF(J150=1,", "&amp;J$1,"")</f>
        <v/>
      </c>
      <c r="AI150">
        <f>IF(K150=1,", "&amp;K$1,"")</f>
        <v/>
      </c>
      <c r="AJ150">
        <f>IF(L150=1,", "&amp;L$1,"")</f>
        <v/>
      </c>
      <c r="AK150">
        <f>IF(M150=1,", "&amp;M$1,"")</f>
        <v/>
      </c>
      <c r="AL150">
        <f>IF(N150=1,", "&amp;N$1,"")</f>
        <v/>
      </c>
      <c r="AM150">
        <f>IF(O150=1,", "&amp;O$1,"")</f>
        <v/>
      </c>
      <c r="AN150">
        <f>IF(P150=1,", "&amp;P$1,"")</f>
        <v/>
      </c>
      <c r="AO150">
        <f>IF(Q150=1,", "&amp;Q$1,"")</f>
        <v/>
      </c>
      <c r="AP150">
        <f>IF(R150=1,", "&amp;R$1,"")</f>
        <v/>
      </c>
      <c r="AQ150">
        <f>IF(S150=1,", "&amp;S$1,"")</f>
        <v/>
      </c>
      <c r="AR150">
        <f>IF(T150=1,", "&amp;T$1,"")</f>
        <v/>
      </c>
      <c r="AS150">
        <f>IF(U150=1,", "&amp;U$1,"")</f>
        <v/>
      </c>
      <c r="AT150">
        <f>IF(V150=1,", "&amp;V$1,"")</f>
        <v/>
      </c>
      <c r="AU150">
        <f>IF(W150=1,", "&amp;W$1,"")</f>
        <v/>
      </c>
      <c r="AV150">
        <f>IF(X150=1,", "&amp;X$1,"")</f>
        <v/>
      </c>
      <c r="AW150">
        <f>IF(Y150=1,", "&amp;Y$1,"")</f>
        <v/>
      </c>
      <c r="AX150">
        <f>IF(Z150=1,", "&amp;Z$1,"")</f>
        <v/>
      </c>
      <c r="AY150">
        <f>IF(AA150=1,", "&amp;AA$1,"")</f>
        <v/>
      </c>
      <c r="AZ150">
        <f>MID($AB150&amp;$AC150&amp;$AD150&amp;$AE150&amp;$AF150&amp;$AG150&amp;$AH150&amp;$AI150&amp;$AJ150&amp;$AK150&amp;$AL150&amp;$AM150&amp;$AN150&amp;$AO150&amp;$AP150&amp;$AQ150&amp;$AR150&amp;$AS150&amp;$AT150&amp;$AU150&amp;$AV150&amp;$AW150&amp;$AX150&amp;$AY150,3,32767)</f>
        <v/>
      </c>
      <c r="BA150">
        <f>COUNT($D150:$AA150)</f>
        <v/>
      </c>
    </row>
    <row r="151">
      <c r="A151" t="n">
        <v>3</v>
      </c>
      <c r="B151" t="inlineStr">
        <is>
          <t>Syluné’s Viper</t>
        </is>
      </c>
      <c r="C151" t="inlineStr">
        <is>
          <t>Conjuration</t>
        </is>
      </c>
      <c r="D151">
        <f>IF(Wizards!$A$2="","",IF(OR(ISNUMBER(SEARCH(", "&amp;$B151&amp;", ", ", "&amp;INDEX('Form Responses'!$I$1:$Q$200,2,$A151)&amp;", ")),ISNUMBER(SEARCH(", "&amp;$B151&amp;", ", ", "&amp;INDEX('Form Responses'!$R$1:$R$200,2)&amp;", "))),1,""))</f>
        <v/>
      </c>
      <c r="E151">
        <f>IF(Wizards!$A$3="","",IF(OR(ISNUMBER(SEARCH(", "&amp;$B151&amp;", ", ", "&amp;INDEX('Form Responses'!$I$1:$Q$200,3,$A151)&amp;", ")),ISNUMBER(SEARCH(", "&amp;$B151&amp;", ", ", "&amp;INDEX('Form Responses'!$R$1:$R$200,3)&amp;", "))),1,""))</f>
        <v/>
      </c>
      <c r="F151">
        <f>IF(Wizards!$A$4="","",IF(OR(ISNUMBER(SEARCH(", "&amp;$B151&amp;", ", ", "&amp;INDEX('Form Responses'!$I$1:$Q$200,4,$A151)&amp;", ")),ISNUMBER(SEARCH(", "&amp;$B151&amp;", ", ", "&amp;INDEX('Form Responses'!$R$1:$R$200,4)&amp;", "))),1,""))</f>
        <v/>
      </c>
      <c r="G151">
        <f>IF(Wizards!$A$5="","",IF(OR(ISNUMBER(SEARCH(", "&amp;$B151&amp;", ", ", "&amp;INDEX('Form Responses'!$I$1:$Q$200,5,$A151)&amp;", ")),ISNUMBER(SEARCH(", "&amp;$B151&amp;", ", ", "&amp;INDEX('Form Responses'!$R$1:$R$200,5)&amp;", "))),1,""))</f>
        <v/>
      </c>
      <c r="H151">
        <f>IF(Wizards!$A$6="","",IF(OR(ISNUMBER(SEARCH(", "&amp;$B151&amp;", ", ", "&amp;INDEX('Form Responses'!$I$1:$Q$200,6,$A151)&amp;", ")),ISNUMBER(SEARCH(", "&amp;$B151&amp;", ", ", "&amp;INDEX('Form Responses'!$R$1:$R$200,6)&amp;", "))),1,""))</f>
        <v/>
      </c>
      <c r="I151">
        <f>IF(Wizards!$A$7="","",IF(OR(ISNUMBER(SEARCH(", "&amp;$B151&amp;", ", ", "&amp;INDEX('Form Responses'!$I$1:$Q$200,7,$A151)&amp;", ")),ISNUMBER(SEARCH(", "&amp;$B151&amp;", ", ", "&amp;INDEX('Form Responses'!$R$1:$R$200,7)&amp;", "))),1,""))</f>
        <v/>
      </c>
      <c r="J151">
        <f>IF(Wizards!$A$8="","",IF(OR(ISNUMBER(SEARCH(", "&amp;$B151&amp;", ", ", "&amp;INDEX('Form Responses'!$I$1:$Q$200,8,$A151)&amp;", ")),ISNUMBER(SEARCH(", "&amp;$B151&amp;", ", ", "&amp;INDEX('Form Responses'!$R$1:$R$200,8)&amp;", "))),1,""))</f>
        <v/>
      </c>
      <c r="K151">
        <f>IF(Wizards!$A$9="","",IF(OR(ISNUMBER(SEARCH(", "&amp;$B151&amp;", ", ", "&amp;INDEX('Form Responses'!$I$1:$Q$200,9,$A151)&amp;", ")),ISNUMBER(SEARCH(", "&amp;$B151&amp;", ", ", "&amp;INDEX('Form Responses'!$R$1:$R$200,9)&amp;", "))),1,""))</f>
        <v/>
      </c>
      <c r="L151">
        <f>IF(Wizards!$A$10="","",IF(OR(ISNUMBER(SEARCH(", "&amp;$B151&amp;", ", ", "&amp;INDEX('Form Responses'!$I$1:$Q$200,10,$A151)&amp;", ")),ISNUMBER(SEARCH(", "&amp;$B151&amp;", ", ", "&amp;INDEX('Form Responses'!$R$1:$R$200,10)&amp;", "))),1,""))</f>
        <v/>
      </c>
      <c r="M151">
        <f>IF(Wizards!$A$11="","",IF(OR(ISNUMBER(SEARCH(", "&amp;$B151&amp;", ", ", "&amp;INDEX('Form Responses'!$I$1:$Q$200,11,$A151)&amp;", ")),ISNUMBER(SEARCH(", "&amp;$B151&amp;", ", ", "&amp;INDEX('Form Responses'!$R$1:$R$200,11)&amp;", "))),1,""))</f>
        <v/>
      </c>
      <c r="N151">
        <f>IF(Wizards!$A$12="","",IF(OR(ISNUMBER(SEARCH(", "&amp;$B151&amp;", ", ", "&amp;INDEX('Form Responses'!$I$1:$Q$200,12,$A151)&amp;", ")),ISNUMBER(SEARCH(", "&amp;$B151&amp;", ", ", "&amp;INDEX('Form Responses'!$R$1:$R$200,12)&amp;", "))),1,""))</f>
        <v/>
      </c>
      <c r="O151">
        <f>IF(Wizards!$A$13="","",IF(OR(ISNUMBER(SEARCH(", "&amp;$B151&amp;", ", ", "&amp;INDEX('Form Responses'!$I$1:$Q$200,13,$A151)&amp;", ")),ISNUMBER(SEARCH(", "&amp;$B151&amp;", ", ", "&amp;INDEX('Form Responses'!$R$1:$R$200,13)&amp;", "))),1,""))</f>
        <v/>
      </c>
      <c r="P151">
        <f>IF(Wizards!$A$14="","",IF(OR(ISNUMBER(SEARCH(", "&amp;$B151&amp;", ", ", "&amp;INDEX('Form Responses'!$I$1:$Q$200,14,$A151)&amp;", ")),ISNUMBER(SEARCH(", "&amp;$B151&amp;", ", ", "&amp;INDEX('Form Responses'!$R$1:$R$200,14)&amp;", "))),1,""))</f>
        <v/>
      </c>
      <c r="Q151">
        <f>IF(Wizards!$A$15="","",IF(OR(ISNUMBER(SEARCH(", "&amp;$B151&amp;", ", ", "&amp;INDEX('Form Responses'!$I$1:$Q$200,15,$A151)&amp;", ")),ISNUMBER(SEARCH(", "&amp;$B151&amp;", ", ", "&amp;INDEX('Form Responses'!$R$1:$R$200,15)&amp;", "))),1,""))</f>
        <v/>
      </c>
      <c r="R151">
        <f>IF(Wizards!$A$16="","",IF(OR(ISNUMBER(SEARCH(", "&amp;$B151&amp;", ", ", "&amp;INDEX('Form Responses'!$I$1:$Q$200,16,$A151)&amp;", ")),ISNUMBER(SEARCH(", "&amp;$B151&amp;", ", ", "&amp;INDEX('Form Responses'!$R$1:$R$200,16)&amp;", "))),1,""))</f>
        <v/>
      </c>
      <c r="S151">
        <f>IF(Wizards!$A$17="","",IF(OR(ISNUMBER(SEARCH(", "&amp;$B151&amp;", ", ", "&amp;INDEX('Form Responses'!$I$1:$Q$200,17,$A151)&amp;", ")),ISNUMBER(SEARCH(", "&amp;$B151&amp;", ", ", "&amp;INDEX('Form Responses'!$R$1:$R$200,17)&amp;", "))),1,""))</f>
        <v/>
      </c>
      <c r="T151">
        <f>IF(Wizards!$A$18="","",IF(OR(ISNUMBER(SEARCH(", "&amp;$B151&amp;", ", ", "&amp;INDEX('Form Responses'!$I$1:$Q$200,18,$A151)&amp;", ")),ISNUMBER(SEARCH(", "&amp;$B151&amp;", ", ", "&amp;INDEX('Form Responses'!$R$1:$R$200,18)&amp;", "))),1,""))</f>
        <v/>
      </c>
      <c r="U151">
        <f>IF(Wizards!$A$19="","",IF(OR(ISNUMBER(SEARCH(", "&amp;$B151&amp;", ", ", "&amp;INDEX('Form Responses'!$I$1:$Q$200,19,$A151)&amp;", ")),ISNUMBER(SEARCH(", "&amp;$B151&amp;", ", ", "&amp;INDEX('Form Responses'!$R$1:$R$200,19)&amp;", "))),1,""))</f>
        <v/>
      </c>
      <c r="V151">
        <f>IF(Wizards!$A$20="","",IF(OR(ISNUMBER(SEARCH(", "&amp;$B151&amp;", ", ", "&amp;INDEX('Form Responses'!$I$1:$Q$200,20,$A151)&amp;", ")),ISNUMBER(SEARCH(", "&amp;$B151&amp;", ", ", "&amp;INDEX('Form Responses'!$R$1:$R$200,20)&amp;", "))),1,""))</f>
        <v/>
      </c>
      <c r="W151">
        <f>IF(Wizards!$A$21="","",IF(OR(ISNUMBER(SEARCH(", "&amp;$B151&amp;", ", ", "&amp;INDEX('Form Responses'!$I$1:$Q$200,21,$A151)&amp;", ")),ISNUMBER(SEARCH(", "&amp;$B151&amp;", ", ", "&amp;INDEX('Form Responses'!$R$1:$R$200,21)&amp;", "))),1,""))</f>
        <v/>
      </c>
      <c r="X151">
        <f>IF(Wizards!$A$22="","",IF(OR(ISNUMBER(SEARCH(", "&amp;$B151&amp;", ", ", "&amp;INDEX('Form Responses'!$I$1:$Q$200,22,$A151)&amp;", ")),ISNUMBER(SEARCH(", "&amp;$B151&amp;", ", ", "&amp;INDEX('Form Responses'!$R$1:$R$200,22)&amp;", "))),1,""))</f>
        <v/>
      </c>
      <c r="Y151">
        <f>IF(Wizards!$A$23="","",IF(OR(ISNUMBER(SEARCH(", "&amp;$B151&amp;", ", ", "&amp;INDEX('Form Responses'!$I$1:$Q$200,23,$A151)&amp;", ")),ISNUMBER(SEARCH(", "&amp;$B151&amp;", ", ", "&amp;INDEX('Form Responses'!$R$1:$R$200,23)&amp;", "))),1,""))</f>
        <v/>
      </c>
      <c r="Z151">
        <f>IF(Wizards!$A$24="","",IF(OR(ISNUMBER(SEARCH(", "&amp;$B151&amp;", ", ", "&amp;INDEX('Form Responses'!$I$1:$Q$200,24,$A151)&amp;", ")),ISNUMBER(SEARCH(", "&amp;$B151&amp;", ", ", "&amp;INDEX('Form Responses'!$R$1:$R$200,24)&amp;", "))),1,""))</f>
        <v/>
      </c>
      <c r="AA151">
        <f>IF(Wizards!$A$25="","",IF(OR(ISNUMBER(SEARCH(", "&amp;$B151&amp;", ", ", "&amp;INDEX('Form Responses'!$I$1:$Q$200,25,$A151)&amp;", ")),ISNUMBER(SEARCH(", "&amp;$B151&amp;", ", ", "&amp;INDEX('Form Responses'!$R$1:$R$200,25)&amp;", "))),1,""))</f>
        <v/>
      </c>
      <c r="AB151">
        <f>IF(D151=1,", "&amp;D$1,"")</f>
        <v/>
      </c>
      <c r="AC151">
        <f>IF(E151=1,", "&amp;E$1,"")</f>
        <v/>
      </c>
      <c r="AD151">
        <f>IF(F151=1,", "&amp;F$1,"")</f>
        <v/>
      </c>
      <c r="AE151">
        <f>IF(G151=1,", "&amp;G$1,"")</f>
        <v/>
      </c>
      <c r="AF151">
        <f>IF(H151=1,", "&amp;H$1,"")</f>
        <v/>
      </c>
      <c r="AG151">
        <f>IF(I151=1,", "&amp;I$1,"")</f>
        <v/>
      </c>
      <c r="AH151">
        <f>IF(J151=1,", "&amp;J$1,"")</f>
        <v/>
      </c>
      <c r="AI151">
        <f>IF(K151=1,", "&amp;K$1,"")</f>
        <v/>
      </c>
      <c r="AJ151">
        <f>IF(L151=1,", "&amp;L$1,"")</f>
        <v/>
      </c>
      <c r="AK151">
        <f>IF(M151=1,", "&amp;M$1,"")</f>
        <v/>
      </c>
      <c r="AL151">
        <f>IF(N151=1,", "&amp;N$1,"")</f>
        <v/>
      </c>
      <c r="AM151">
        <f>IF(O151=1,", "&amp;O$1,"")</f>
        <v/>
      </c>
      <c r="AN151">
        <f>IF(P151=1,", "&amp;P$1,"")</f>
        <v/>
      </c>
      <c r="AO151">
        <f>IF(Q151=1,", "&amp;Q$1,"")</f>
        <v/>
      </c>
      <c r="AP151">
        <f>IF(R151=1,", "&amp;R$1,"")</f>
        <v/>
      </c>
      <c r="AQ151">
        <f>IF(S151=1,", "&amp;S$1,"")</f>
        <v/>
      </c>
      <c r="AR151">
        <f>IF(T151=1,", "&amp;T$1,"")</f>
        <v/>
      </c>
      <c r="AS151">
        <f>IF(U151=1,", "&amp;U$1,"")</f>
        <v/>
      </c>
      <c r="AT151">
        <f>IF(V151=1,", "&amp;V$1,"")</f>
        <v/>
      </c>
      <c r="AU151">
        <f>IF(W151=1,", "&amp;W$1,"")</f>
        <v/>
      </c>
      <c r="AV151">
        <f>IF(X151=1,", "&amp;X$1,"")</f>
        <v/>
      </c>
      <c r="AW151">
        <f>IF(Y151=1,", "&amp;Y$1,"")</f>
        <v/>
      </c>
      <c r="AX151">
        <f>IF(Z151=1,", "&amp;Z$1,"")</f>
        <v/>
      </c>
      <c r="AY151">
        <f>IF(AA151=1,", "&amp;AA$1,"")</f>
        <v/>
      </c>
      <c r="AZ151">
        <f>MID($AB151&amp;$AC151&amp;$AD151&amp;$AE151&amp;$AF151&amp;$AG151&amp;$AH151&amp;$AI151&amp;$AJ151&amp;$AK151&amp;$AL151&amp;$AM151&amp;$AN151&amp;$AO151&amp;$AP151&amp;$AQ151&amp;$AR151&amp;$AS151&amp;$AT151&amp;$AU151&amp;$AV151&amp;$AW151&amp;$AX151&amp;$AY151,3,32767)</f>
        <v/>
      </c>
      <c r="BA151">
        <f>COUNT($D151:$AA151)</f>
        <v/>
      </c>
    </row>
    <row r="152">
      <c r="A152" t="n">
        <v>3</v>
      </c>
      <c r="B152" t="inlineStr">
        <is>
          <t>Thunder Step</t>
        </is>
      </c>
      <c r="C152" t="inlineStr">
        <is>
          <t>Conjuration</t>
        </is>
      </c>
      <c r="D152">
        <f>IF(Wizards!$A$2="","",IF(OR(ISNUMBER(SEARCH(", "&amp;$B152&amp;", ", ", "&amp;INDEX('Form Responses'!$I$1:$Q$200,2,$A152)&amp;", ")),ISNUMBER(SEARCH(", "&amp;$B152&amp;", ", ", "&amp;INDEX('Form Responses'!$R$1:$R$200,2)&amp;", "))),1,""))</f>
        <v/>
      </c>
      <c r="E152">
        <f>IF(Wizards!$A$3="","",IF(OR(ISNUMBER(SEARCH(", "&amp;$B152&amp;", ", ", "&amp;INDEX('Form Responses'!$I$1:$Q$200,3,$A152)&amp;", ")),ISNUMBER(SEARCH(", "&amp;$B152&amp;", ", ", "&amp;INDEX('Form Responses'!$R$1:$R$200,3)&amp;", "))),1,""))</f>
        <v/>
      </c>
      <c r="F152">
        <f>IF(Wizards!$A$4="","",IF(OR(ISNUMBER(SEARCH(", "&amp;$B152&amp;", ", ", "&amp;INDEX('Form Responses'!$I$1:$Q$200,4,$A152)&amp;", ")),ISNUMBER(SEARCH(", "&amp;$B152&amp;", ", ", "&amp;INDEX('Form Responses'!$R$1:$R$200,4)&amp;", "))),1,""))</f>
        <v/>
      </c>
      <c r="G152">
        <f>IF(Wizards!$A$5="","",IF(OR(ISNUMBER(SEARCH(", "&amp;$B152&amp;", ", ", "&amp;INDEX('Form Responses'!$I$1:$Q$200,5,$A152)&amp;", ")),ISNUMBER(SEARCH(", "&amp;$B152&amp;", ", ", "&amp;INDEX('Form Responses'!$R$1:$R$200,5)&amp;", "))),1,""))</f>
        <v/>
      </c>
      <c r="H152">
        <f>IF(Wizards!$A$6="","",IF(OR(ISNUMBER(SEARCH(", "&amp;$B152&amp;", ", ", "&amp;INDEX('Form Responses'!$I$1:$Q$200,6,$A152)&amp;", ")),ISNUMBER(SEARCH(", "&amp;$B152&amp;", ", ", "&amp;INDEX('Form Responses'!$R$1:$R$200,6)&amp;", "))),1,""))</f>
        <v/>
      </c>
      <c r="I152">
        <f>IF(Wizards!$A$7="","",IF(OR(ISNUMBER(SEARCH(", "&amp;$B152&amp;", ", ", "&amp;INDEX('Form Responses'!$I$1:$Q$200,7,$A152)&amp;", ")),ISNUMBER(SEARCH(", "&amp;$B152&amp;", ", ", "&amp;INDEX('Form Responses'!$R$1:$R$200,7)&amp;", "))),1,""))</f>
        <v/>
      </c>
      <c r="J152">
        <f>IF(Wizards!$A$8="","",IF(OR(ISNUMBER(SEARCH(", "&amp;$B152&amp;", ", ", "&amp;INDEX('Form Responses'!$I$1:$Q$200,8,$A152)&amp;", ")),ISNUMBER(SEARCH(", "&amp;$B152&amp;", ", ", "&amp;INDEX('Form Responses'!$R$1:$R$200,8)&amp;", "))),1,""))</f>
        <v/>
      </c>
      <c r="K152">
        <f>IF(Wizards!$A$9="","",IF(OR(ISNUMBER(SEARCH(", "&amp;$B152&amp;", ", ", "&amp;INDEX('Form Responses'!$I$1:$Q$200,9,$A152)&amp;", ")),ISNUMBER(SEARCH(", "&amp;$B152&amp;", ", ", "&amp;INDEX('Form Responses'!$R$1:$R$200,9)&amp;", "))),1,""))</f>
        <v/>
      </c>
      <c r="L152">
        <f>IF(Wizards!$A$10="","",IF(OR(ISNUMBER(SEARCH(", "&amp;$B152&amp;", ", ", "&amp;INDEX('Form Responses'!$I$1:$Q$200,10,$A152)&amp;", ")),ISNUMBER(SEARCH(", "&amp;$B152&amp;", ", ", "&amp;INDEX('Form Responses'!$R$1:$R$200,10)&amp;", "))),1,""))</f>
        <v/>
      </c>
      <c r="M152">
        <f>IF(Wizards!$A$11="","",IF(OR(ISNUMBER(SEARCH(", "&amp;$B152&amp;", ", ", "&amp;INDEX('Form Responses'!$I$1:$Q$200,11,$A152)&amp;", ")),ISNUMBER(SEARCH(", "&amp;$B152&amp;", ", ", "&amp;INDEX('Form Responses'!$R$1:$R$200,11)&amp;", "))),1,""))</f>
        <v/>
      </c>
      <c r="N152">
        <f>IF(Wizards!$A$12="","",IF(OR(ISNUMBER(SEARCH(", "&amp;$B152&amp;", ", ", "&amp;INDEX('Form Responses'!$I$1:$Q$200,12,$A152)&amp;", ")),ISNUMBER(SEARCH(", "&amp;$B152&amp;", ", ", "&amp;INDEX('Form Responses'!$R$1:$R$200,12)&amp;", "))),1,""))</f>
        <v/>
      </c>
      <c r="O152">
        <f>IF(Wizards!$A$13="","",IF(OR(ISNUMBER(SEARCH(", "&amp;$B152&amp;", ", ", "&amp;INDEX('Form Responses'!$I$1:$Q$200,13,$A152)&amp;", ")),ISNUMBER(SEARCH(", "&amp;$B152&amp;", ", ", "&amp;INDEX('Form Responses'!$R$1:$R$200,13)&amp;", "))),1,""))</f>
        <v/>
      </c>
      <c r="P152">
        <f>IF(Wizards!$A$14="","",IF(OR(ISNUMBER(SEARCH(", "&amp;$B152&amp;", ", ", "&amp;INDEX('Form Responses'!$I$1:$Q$200,14,$A152)&amp;", ")),ISNUMBER(SEARCH(", "&amp;$B152&amp;", ", ", "&amp;INDEX('Form Responses'!$R$1:$R$200,14)&amp;", "))),1,""))</f>
        <v/>
      </c>
      <c r="Q152">
        <f>IF(Wizards!$A$15="","",IF(OR(ISNUMBER(SEARCH(", "&amp;$B152&amp;", ", ", "&amp;INDEX('Form Responses'!$I$1:$Q$200,15,$A152)&amp;", ")),ISNUMBER(SEARCH(", "&amp;$B152&amp;", ", ", "&amp;INDEX('Form Responses'!$R$1:$R$200,15)&amp;", "))),1,""))</f>
        <v/>
      </c>
      <c r="R152">
        <f>IF(Wizards!$A$16="","",IF(OR(ISNUMBER(SEARCH(", "&amp;$B152&amp;", ", ", "&amp;INDEX('Form Responses'!$I$1:$Q$200,16,$A152)&amp;", ")),ISNUMBER(SEARCH(", "&amp;$B152&amp;", ", ", "&amp;INDEX('Form Responses'!$R$1:$R$200,16)&amp;", "))),1,""))</f>
        <v/>
      </c>
      <c r="S152">
        <f>IF(Wizards!$A$17="","",IF(OR(ISNUMBER(SEARCH(", "&amp;$B152&amp;", ", ", "&amp;INDEX('Form Responses'!$I$1:$Q$200,17,$A152)&amp;", ")),ISNUMBER(SEARCH(", "&amp;$B152&amp;", ", ", "&amp;INDEX('Form Responses'!$R$1:$R$200,17)&amp;", "))),1,""))</f>
        <v/>
      </c>
      <c r="T152">
        <f>IF(Wizards!$A$18="","",IF(OR(ISNUMBER(SEARCH(", "&amp;$B152&amp;", ", ", "&amp;INDEX('Form Responses'!$I$1:$Q$200,18,$A152)&amp;", ")),ISNUMBER(SEARCH(", "&amp;$B152&amp;", ", ", "&amp;INDEX('Form Responses'!$R$1:$R$200,18)&amp;", "))),1,""))</f>
        <v/>
      </c>
      <c r="U152">
        <f>IF(Wizards!$A$19="","",IF(OR(ISNUMBER(SEARCH(", "&amp;$B152&amp;", ", ", "&amp;INDEX('Form Responses'!$I$1:$Q$200,19,$A152)&amp;", ")),ISNUMBER(SEARCH(", "&amp;$B152&amp;", ", ", "&amp;INDEX('Form Responses'!$R$1:$R$200,19)&amp;", "))),1,""))</f>
        <v/>
      </c>
      <c r="V152">
        <f>IF(Wizards!$A$20="","",IF(OR(ISNUMBER(SEARCH(", "&amp;$B152&amp;", ", ", "&amp;INDEX('Form Responses'!$I$1:$Q$200,20,$A152)&amp;", ")),ISNUMBER(SEARCH(", "&amp;$B152&amp;", ", ", "&amp;INDEX('Form Responses'!$R$1:$R$200,20)&amp;", "))),1,""))</f>
        <v/>
      </c>
      <c r="W152">
        <f>IF(Wizards!$A$21="","",IF(OR(ISNUMBER(SEARCH(", "&amp;$B152&amp;", ", ", "&amp;INDEX('Form Responses'!$I$1:$Q$200,21,$A152)&amp;", ")),ISNUMBER(SEARCH(", "&amp;$B152&amp;", ", ", "&amp;INDEX('Form Responses'!$R$1:$R$200,21)&amp;", "))),1,""))</f>
        <v/>
      </c>
      <c r="X152">
        <f>IF(Wizards!$A$22="","",IF(OR(ISNUMBER(SEARCH(", "&amp;$B152&amp;", ", ", "&amp;INDEX('Form Responses'!$I$1:$Q$200,22,$A152)&amp;", ")),ISNUMBER(SEARCH(", "&amp;$B152&amp;", ", ", "&amp;INDEX('Form Responses'!$R$1:$R$200,22)&amp;", "))),1,""))</f>
        <v/>
      </c>
      <c r="Y152">
        <f>IF(Wizards!$A$23="","",IF(OR(ISNUMBER(SEARCH(", "&amp;$B152&amp;", ", ", "&amp;INDEX('Form Responses'!$I$1:$Q$200,23,$A152)&amp;", ")),ISNUMBER(SEARCH(", "&amp;$B152&amp;", ", ", "&amp;INDEX('Form Responses'!$R$1:$R$200,23)&amp;", "))),1,""))</f>
        <v/>
      </c>
      <c r="Z152">
        <f>IF(Wizards!$A$24="","",IF(OR(ISNUMBER(SEARCH(", "&amp;$B152&amp;", ", ", "&amp;INDEX('Form Responses'!$I$1:$Q$200,24,$A152)&amp;", ")),ISNUMBER(SEARCH(", "&amp;$B152&amp;", ", ", "&amp;INDEX('Form Responses'!$R$1:$R$200,24)&amp;", "))),1,""))</f>
        <v/>
      </c>
      <c r="AA152">
        <f>IF(Wizards!$A$25="","",IF(OR(ISNUMBER(SEARCH(", "&amp;$B152&amp;", ", ", "&amp;INDEX('Form Responses'!$I$1:$Q$200,25,$A152)&amp;", ")),ISNUMBER(SEARCH(", "&amp;$B152&amp;", ", ", "&amp;INDEX('Form Responses'!$R$1:$R$200,25)&amp;", "))),1,""))</f>
        <v/>
      </c>
      <c r="AB152">
        <f>IF(D152=1,", "&amp;D$1,"")</f>
        <v/>
      </c>
      <c r="AC152">
        <f>IF(E152=1,", "&amp;E$1,"")</f>
        <v/>
      </c>
      <c r="AD152">
        <f>IF(F152=1,", "&amp;F$1,"")</f>
        <v/>
      </c>
      <c r="AE152">
        <f>IF(G152=1,", "&amp;G$1,"")</f>
        <v/>
      </c>
      <c r="AF152">
        <f>IF(H152=1,", "&amp;H$1,"")</f>
        <v/>
      </c>
      <c r="AG152">
        <f>IF(I152=1,", "&amp;I$1,"")</f>
        <v/>
      </c>
      <c r="AH152">
        <f>IF(J152=1,", "&amp;J$1,"")</f>
        <v/>
      </c>
      <c r="AI152">
        <f>IF(K152=1,", "&amp;K$1,"")</f>
        <v/>
      </c>
      <c r="AJ152">
        <f>IF(L152=1,", "&amp;L$1,"")</f>
        <v/>
      </c>
      <c r="AK152">
        <f>IF(M152=1,", "&amp;M$1,"")</f>
        <v/>
      </c>
      <c r="AL152">
        <f>IF(N152=1,", "&amp;N$1,"")</f>
        <v/>
      </c>
      <c r="AM152">
        <f>IF(O152=1,", "&amp;O$1,"")</f>
        <v/>
      </c>
      <c r="AN152">
        <f>IF(P152=1,", "&amp;P$1,"")</f>
        <v/>
      </c>
      <c r="AO152">
        <f>IF(Q152=1,", "&amp;Q$1,"")</f>
        <v/>
      </c>
      <c r="AP152">
        <f>IF(R152=1,", "&amp;R$1,"")</f>
        <v/>
      </c>
      <c r="AQ152">
        <f>IF(S152=1,", "&amp;S$1,"")</f>
        <v/>
      </c>
      <c r="AR152">
        <f>IF(T152=1,", "&amp;T$1,"")</f>
        <v/>
      </c>
      <c r="AS152">
        <f>IF(U152=1,", "&amp;U$1,"")</f>
        <v/>
      </c>
      <c r="AT152">
        <f>IF(V152=1,", "&amp;V$1,"")</f>
        <v/>
      </c>
      <c r="AU152">
        <f>IF(W152=1,", "&amp;W$1,"")</f>
        <v/>
      </c>
      <c r="AV152">
        <f>IF(X152=1,", "&amp;X$1,"")</f>
        <v/>
      </c>
      <c r="AW152">
        <f>IF(Y152=1,", "&amp;Y$1,"")</f>
        <v/>
      </c>
      <c r="AX152">
        <f>IF(Z152=1,", "&amp;Z$1,"")</f>
        <v/>
      </c>
      <c r="AY152">
        <f>IF(AA152=1,", "&amp;AA$1,"")</f>
        <v/>
      </c>
      <c r="AZ152">
        <f>MID($AB152&amp;$AC152&amp;$AD152&amp;$AE152&amp;$AF152&amp;$AG152&amp;$AH152&amp;$AI152&amp;$AJ152&amp;$AK152&amp;$AL152&amp;$AM152&amp;$AN152&amp;$AO152&amp;$AP152&amp;$AQ152&amp;$AR152&amp;$AS152&amp;$AT152&amp;$AU152&amp;$AV152&amp;$AW152&amp;$AX152&amp;$AY152,3,32767)</f>
        <v/>
      </c>
      <c r="BA152">
        <f>COUNT($D152:$AA152)</f>
        <v/>
      </c>
    </row>
    <row r="153">
      <c r="A153" t="n">
        <v>3</v>
      </c>
      <c r="B153" t="inlineStr">
        <is>
          <t>Tidal Wave</t>
        </is>
      </c>
      <c r="C153" t="inlineStr">
        <is>
          <t>Conjuration</t>
        </is>
      </c>
      <c r="D153">
        <f>IF(Wizards!$A$2="","",IF(OR(ISNUMBER(SEARCH(", "&amp;$B153&amp;", ", ", "&amp;INDEX('Form Responses'!$I$1:$Q$200,2,$A153)&amp;", ")),ISNUMBER(SEARCH(", "&amp;$B153&amp;", ", ", "&amp;INDEX('Form Responses'!$R$1:$R$200,2)&amp;", "))),1,""))</f>
        <v/>
      </c>
      <c r="E153">
        <f>IF(Wizards!$A$3="","",IF(OR(ISNUMBER(SEARCH(", "&amp;$B153&amp;", ", ", "&amp;INDEX('Form Responses'!$I$1:$Q$200,3,$A153)&amp;", ")),ISNUMBER(SEARCH(", "&amp;$B153&amp;", ", ", "&amp;INDEX('Form Responses'!$R$1:$R$200,3)&amp;", "))),1,""))</f>
        <v/>
      </c>
      <c r="F153">
        <f>IF(Wizards!$A$4="","",IF(OR(ISNUMBER(SEARCH(", "&amp;$B153&amp;", ", ", "&amp;INDEX('Form Responses'!$I$1:$Q$200,4,$A153)&amp;", ")),ISNUMBER(SEARCH(", "&amp;$B153&amp;", ", ", "&amp;INDEX('Form Responses'!$R$1:$R$200,4)&amp;", "))),1,""))</f>
        <v/>
      </c>
      <c r="G153">
        <f>IF(Wizards!$A$5="","",IF(OR(ISNUMBER(SEARCH(", "&amp;$B153&amp;", ", ", "&amp;INDEX('Form Responses'!$I$1:$Q$200,5,$A153)&amp;", ")),ISNUMBER(SEARCH(", "&amp;$B153&amp;", ", ", "&amp;INDEX('Form Responses'!$R$1:$R$200,5)&amp;", "))),1,""))</f>
        <v/>
      </c>
      <c r="H153">
        <f>IF(Wizards!$A$6="","",IF(OR(ISNUMBER(SEARCH(", "&amp;$B153&amp;", ", ", "&amp;INDEX('Form Responses'!$I$1:$Q$200,6,$A153)&amp;", ")),ISNUMBER(SEARCH(", "&amp;$B153&amp;", ", ", "&amp;INDEX('Form Responses'!$R$1:$R$200,6)&amp;", "))),1,""))</f>
        <v/>
      </c>
      <c r="I153">
        <f>IF(Wizards!$A$7="","",IF(OR(ISNUMBER(SEARCH(", "&amp;$B153&amp;", ", ", "&amp;INDEX('Form Responses'!$I$1:$Q$200,7,$A153)&amp;", ")),ISNUMBER(SEARCH(", "&amp;$B153&amp;", ", ", "&amp;INDEX('Form Responses'!$R$1:$R$200,7)&amp;", "))),1,""))</f>
        <v/>
      </c>
      <c r="J153">
        <f>IF(Wizards!$A$8="","",IF(OR(ISNUMBER(SEARCH(", "&amp;$B153&amp;", ", ", "&amp;INDEX('Form Responses'!$I$1:$Q$200,8,$A153)&amp;", ")),ISNUMBER(SEARCH(", "&amp;$B153&amp;", ", ", "&amp;INDEX('Form Responses'!$R$1:$R$200,8)&amp;", "))),1,""))</f>
        <v/>
      </c>
      <c r="K153">
        <f>IF(Wizards!$A$9="","",IF(OR(ISNUMBER(SEARCH(", "&amp;$B153&amp;", ", ", "&amp;INDEX('Form Responses'!$I$1:$Q$200,9,$A153)&amp;", ")),ISNUMBER(SEARCH(", "&amp;$B153&amp;", ", ", "&amp;INDEX('Form Responses'!$R$1:$R$200,9)&amp;", "))),1,""))</f>
        <v/>
      </c>
      <c r="L153">
        <f>IF(Wizards!$A$10="","",IF(OR(ISNUMBER(SEARCH(", "&amp;$B153&amp;", ", ", "&amp;INDEX('Form Responses'!$I$1:$Q$200,10,$A153)&amp;", ")),ISNUMBER(SEARCH(", "&amp;$B153&amp;", ", ", "&amp;INDEX('Form Responses'!$R$1:$R$200,10)&amp;", "))),1,""))</f>
        <v/>
      </c>
      <c r="M153">
        <f>IF(Wizards!$A$11="","",IF(OR(ISNUMBER(SEARCH(", "&amp;$B153&amp;", ", ", "&amp;INDEX('Form Responses'!$I$1:$Q$200,11,$A153)&amp;", ")),ISNUMBER(SEARCH(", "&amp;$B153&amp;", ", ", "&amp;INDEX('Form Responses'!$R$1:$R$200,11)&amp;", "))),1,""))</f>
        <v/>
      </c>
      <c r="N153">
        <f>IF(Wizards!$A$12="","",IF(OR(ISNUMBER(SEARCH(", "&amp;$B153&amp;", ", ", "&amp;INDEX('Form Responses'!$I$1:$Q$200,12,$A153)&amp;", ")),ISNUMBER(SEARCH(", "&amp;$B153&amp;", ", ", "&amp;INDEX('Form Responses'!$R$1:$R$200,12)&amp;", "))),1,""))</f>
        <v/>
      </c>
      <c r="O153">
        <f>IF(Wizards!$A$13="","",IF(OR(ISNUMBER(SEARCH(", "&amp;$B153&amp;", ", ", "&amp;INDEX('Form Responses'!$I$1:$Q$200,13,$A153)&amp;", ")),ISNUMBER(SEARCH(", "&amp;$B153&amp;", ", ", "&amp;INDEX('Form Responses'!$R$1:$R$200,13)&amp;", "))),1,""))</f>
        <v/>
      </c>
      <c r="P153">
        <f>IF(Wizards!$A$14="","",IF(OR(ISNUMBER(SEARCH(", "&amp;$B153&amp;", ", ", "&amp;INDEX('Form Responses'!$I$1:$Q$200,14,$A153)&amp;", ")),ISNUMBER(SEARCH(", "&amp;$B153&amp;", ", ", "&amp;INDEX('Form Responses'!$R$1:$R$200,14)&amp;", "))),1,""))</f>
        <v/>
      </c>
      <c r="Q153">
        <f>IF(Wizards!$A$15="","",IF(OR(ISNUMBER(SEARCH(", "&amp;$B153&amp;", ", ", "&amp;INDEX('Form Responses'!$I$1:$Q$200,15,$A153)&amp;", ")),ISNUMBER(SEARCH(", "&amp;$B153&amp;", ", ", "&amp;INDEX('Form Responses'!$R$1:$R$200,15)&amp;", "))),1,""))</f>
        <v/>
      </c>
      <c r="R153">
        <f>IF(Wizards!$A$16="","",IF(OR(ISNUMBER(SEARCH(", "&amp;$B153&amp;", ", ", "&amp;INDEX('Form Responses'!$I$1:$Q$200,16,$A153)&amp;", ")),ISNUMBER(SEARCH(", "&amp;$B153&amp;", ", ", "&amp;INDEX('Form Responses'!$R$1:$R$200,16)&amp;", "))),1,""))</f>
        <v/>
      </c>
      <c r="S153">
        <f>IF(Wizards!$A$17="","",IF(OR(ISNUMBER(SEARCH(", "&amp;$B153&amp;", ", ", "&amp;INDEX('Form Responses'!$I$1:$Q$200,17,$A153)&amp;", ")),ISNUMBER(SEARCH(", "&amp;$B153&amp;", ", ", "&amp;INDEX('Form Responses'!$R$1:$R$200,17)&amp;", "))),1,""))</f>
        <v/>
      </c>
      <c r="T153">
        <f>IF(Wizards!$A$18="","",IF(OR(ISNUMBER(SEARCH(", "&amp;$B153&amp;", ", ", "&amp;INDEX('Form Responses'!$I$1:$Q$200,18,$A153)&amp;", ")),ISNUMBER(SEARCH(", "&amp;$B153&amp;", ", ", "&amp;INDEX('Form Responses'!$R$1:$R$200,18)&amp;", "))),1,""))</f>
        <v/>
      </c>
      <c r="U153">
        <f>IF(Wizards!$A$19="","",IF(OR(ISNUMBER(SEARCH(", "&amp;$B153&amp;", ", ", "&amp;INDEX('Form Responses'!$I$1:$Q$200,19,$A153)&amp;", ")),ISNUMBER(SEARCH(", "&amp;$B153&amp;", ", ", "&amp;INDEX('Form Responses'!$R$1:$R$200,19)&amp;", "))),1,""))</f>
        <v/>
      </c>
      <c r="V153">
        <f>IF(Wizards!$A$20="","",IF(OR(ISNUMBER(SEARCH(", "&amp;$B153&amp;", ", ", "&amp;INDEX('Form Responses'!$I$1:$Q$200,20,$A153)&amp;", ")),ISNUMBER(SEARCH(", "&amp;$B153&amp;", ", ", "&amp;INDEX('Form Responses'!$R$1:$R$200,20)&amp;", "))),1,""))</f>
        <v/>
      </c>
      <c r="W153">
        <f>IF(Wizards!$A$21="","",IF(OR(ISNUMBER(SEARCH(", "&amp;$B153&amp;", ", ", "&amp;INDEX('Form Responses'!$I$1:$Q$200,21,$A153)&amp;", ")),ISNUMBER(SEARCH(", "&amp;$B153&amp;", ", ", "&amp;INDEX('Form Responses'!$R$1:$R$200,21)&amp;", "))),1,""))</f>
        <v/>
      </c>
      <c r="X153">
        <f>IF(Wizards!$A$22="","",IF(OR(ISNUMBER(SEARCH(", "&amp;$B153&amp;", ", ", "&amp;INDEX('Form Responses'!$I$1:$Q$200,22,$A153)&amp;", ")),ISNUMBER(SEARCH(", "&amp;$B153&amp;", ", ", "&amp;INDEX('Form Responses'!$R$1:$R$200,22)&amp;", "))),1,""))</f>
        <v/>
      </c>
      <c r="Y153">
        <f>IF(Wizards!$A$23="","",IF(OR(ISNUMBER(SEARCH(", "&amp;$B153&amp;", ", ", "&amp;INDEX('Form Responses'!$I$1:$Q$200,23,$A153)&amp;", ")),ISNUMBER(SEARCH(", "&amp;$B153&amp;", ", ", "&amp;INDEX('Form Responses'!$R$1:$R$200,23)&amp;", "))),1,""))</f>
        <v/>
      </c>
      <c r="Z153">
        <f>IF(Wizards!$A$24="","",IF(OR(ISNUMBER(SEARCH(", "&amp;$B153&amp;", ", ", "&amp;INDEX('Form Responses'!$I$1:$Q$200,24,$A153)&amp;", ")),ISNUMBER(SEARCH(", "&amp;$B153&amp;", ", ", "&amp;INDEX('Form Responses'!$R$1:$R$200,24)&amp;", "))),1,""))</f>
        <v/>
      </c>
      <c r="AA153">
        <f>IF(Wizards!$A$25="","",IF(OR(ISNUMBER(SEARCH(", "&amp;$B153&amp;", ", ", "&amp;INDEX('Form Responses'!$I$1:$Q$200,25,$A153)&amp;", ")),ISNUMBER(SEARCH(", "&amp;$B153&amp;", ", ", "&amp;INDEX('Form Responses'!$R$1:$R$200,25)&amp;", "))),1,""))</f>
        <v/>
      </c>
      <c r="AB153">
        <f>IF(D153=1,", "&amp;D$1,"")</f>
        <v/>
      </c>
      <c r="AC153">
        <f>IF(E153=1,", "&amp;E$1,"")</f>
        <v/>
      </c>
      <c r="AD153">
        <f>IF(F153=1,", "&amp;F$1,"")</f>
        <v/>
      </c>
      <c r="AE153">
        <f>IF(G153=1,", "&amp;G$1,"")</f>
        <v/>
      </c>
      <c r="AF153">
        <f>IF(H153=1,", "&amp;H$1,"")</f>
        <v/>
      </c>
      <c r="AG153">
        <f>IF(I153=1,", "&amp;I$1,"")</f>
        <v/>
      </c>
      <c r="AH153">
        <f>IF(J153=1,", "&amp;J$1,"")</f>
        <v/>
      </c>
      <c r="AI153">
        <f>IF(K153=1,", "&amp;K$1,"")</f>
        <v/>
      </c>
      <c r="AJ153">
        <f>IF(L153=1,", "&amp;L$1,"")</f>
        <v/>
      </c>
      <c r="AK153">
        <f>IF(M153=1,", "&amp;M$1,"")</f>
        <v/>
      </c>
      <c r="AL153">
        <f>IF(N153=1,", "&amp;N$1,"")</f>
        <v/>
      </c>
      <c r="AM153">
        <f>IF(O153=1,", "&amp;O$1,"")</f>
        <v/>
      </c>
      <c r="AN153">
        <f>IF(P153=1,", "&amp;P$1,"")</f>
        <v/>
      </c>
      <c r="AO153">
        <f>IF(Q153=1,", "&amp;Q$1,"")</f>
        <v/>
      </c>
      <c r="AP153">
        <f>IF(R153=1,", "&amp;R$1,"")</f>
        <v/>
      </c>
      <c r="AQ153">
        <f>IF(S153=1,", "&amp;S$1,"")</f>
        <v/>
      </c>
      <c r="AR153">
        <f>IF(T153=1,", "&amp;T$1,"")</f>
        <v/>
      </c>
      <c r="AS153">
        <f>IF(U153=1,", "&amp;U$1,"")</f>
        <v/>
      </c>
      <c r="AT153">
        <f>IF(V153=1,", "&amp;V$1,"")</f>
        <v/>
      </c>
      <c r="AU153">
        <f>IF(W153=1,", "&amp;W$1,"")</f>
        <v/>
      </c>
      <c r="AV153">
        <f>IF(X153=1,", "&amp;X$1,"")</f>
        <v/>
      </c>
      <c r="AW153">
        <f>IF(Y153=1,", "&amp;Y$1,"")</f>
        <v/>
      </c>
      <c r="AX153">
        <f>IF(Z153=1,", "&amp;Z$1,"")</f>
        <v/>
      </c>
      <c r="AY153">
        <f>IF(AA153=1,", "&amp;AA$1,"")</f>
        <v/>
      </c>
      <c r="AZ153">
        <f>MID($AB153&amp;$AC153&amp;$AD153&amp;$AE153&amp;$AF153&amp;$AG153&amp;$AH153&amp;$AI153&amp;$AJ153&amp;$AK153&amp;$AL153&amp;$AM153&amp;$AN153&amp;$AO153&amp;$AP153&amp;$AQ153&amp;$AR153&amp;$AS153&amp;$AT153&amp;$AU153&amp;$AV153&amp;$AW153&amp;$AX153&amp;$AY153,3,32767)</f>
        <v/>
      </c>
      <c r="BA153">
        <f>COUNT($D153:$AA153)</f>
        <v/>
      </c>
    </row>
    <row r="154">
      <c r="A154" t="n">
        <v>3</v>
      </c>
      <c r="B154" t="inlineStr">
        <is>
          <t>Tiny Servant</t>
        </is>
      </c>
      <c r="C154" t="inlineStr">
        <is>
          <t>Transmutation</t>
        </is>
      </c>
      <c r="D154">
        <f>IF(Wizards!$A$2="","",IF(OR(ISNUMBER(SEARCH(", "&amp;$B154&amp;", ", ", "&amp;INDEX('Form Responses'!$I$1:$Q$200,2,$A154)&amp;", ")),ISNUMBER(SEARCH(", "&amp;$B154&amp;", ", ", "&amp;INDEX('Form Responses'!$R$1:$R$200,2)&amp;", "))),1,""))</f>
        <v/>
      </c>
      <c r="E154">
        <f>IF(Wizards!$A$3="","",IF(OR(ISNUMBER(SEARCH(", "&amp;$B154&amp;", ", ", "&amp;INDEX('Form Responses'!$I$1:$Q$200,3,$A154)&amp;", ")),ISNUMBER(SEARCH(", "&amp;$B154&amp;", ", ", "&amp;INDEX('Form Responses'!$R$1:$R$200,3)&amp;", "))),1,""))</f>
        <v/>
      </c>
      <c r="F154">
        <f>IF(Wizards!$A$4="","",IF(OR(ISNUMBER(SEARCH(", "&amp;$B154&amp;", ", ", "&amp;INDEX('Form Responses'!$I$1:$Q$200,4,$A154)&amp;", ")),ISNUMBER(SEARCH(", "&amp;$B154&amp;", ", ", "&amp;INDEX('Form Responses'!$R$1:$R$200,4)&amp;", "))),1,""))</f>
        <v/>
      </c>
      <c r="G154">
        <f>IF(Wizards!$A$5="","",IF(OR(ISNUMBER(SEARCH(", "&amp;$B154&amp;", ", ", "&amp;INDEX('Form Responses'!$I$1:$Q$200,5,$A154)&amp;", ")),ISNUMBER(SEARCH(", "&amp;$B154&amp;", ", ", "&amp;INDEX('Form Responses'!$R$1:$R$200,5)&amp;", "))),1,""))</f>
        <v/>
      </c>
      <c r="H154">
        <f>IF(Wizards!$A$6="","",IF(OR(ISNUMBER(SEARCH(", "&amp;$B154&amp;", ", ", "&amp;INDEX('Form Responses'!$I$1:$Q$200,6,$A154)&amp;", ")),ISNUMBER(SEARCH(", "&amp;$B154&amp;", ", ", "&amp;INDEX('Form Responses'!$R$1:$R$200,6)&amp;", "))),1,""))</f>
        <v/>
      </c>
      <c r="I154">
        <f>IF(Wizards!$A$7="","",IF(OR(ISNUMBER(SEARCH(", "&amp;$B154&amp;", ", ", "&amp;INDEX('Form Responses'!$I$1:$Q$200,7,$A154)&amp;", ")),ISNUMBER(SEARCH(", "&amp;$B154&amp;", ", ", "&amp;INDEX('Form Responses'!$R$1:$R$200,7)&amp;", "))),1,""))</f>
        <v/>
      </c>
      <c r="J154">
        <f>IF(Wizards!$A$8="","",IF(OR(ISNUMBER(SEARCH(", "&amp;$B154&amp;", ", ", "&amp;INDEX('Form Responses'!$I$1:$Q$200,8,$A154)&amp;", ")),ISNUMBER(SEARCH(", "&amp;$B154&amp;", ", ", "&amp;INDEX('Form Responses'!$R$1:$R$200,8)&amp;", "))),1,""))</f>
        <v/>
      </c>
      <c r="K154">
        <f>IF(Wizards!$A$9="","",IF(OR(ISNUMBER(SEARCH(", "&amp;$B154&amp;", ", ", "&amp;INDEX('Form Responses'!$I$1:$Q$200,9,$A154)&amp;", ")),ISNUMBER(SEARCH(", "&amp;$B154&amp;", ", ", "&amp;INDEX('Form Responses'!$R$1:$R$200,9)&amp;", "))),1,""))</f>
        <v/>
      </c>
      <c r="L154">
        <f>IF(Wizards!$A$10="","",IF(OR(ISNUMBER(SEARCH(", "&amp;$B154&amp;", ", ", "&amp;INDEX('Form Responses'!$I$1:$Q$200,10,$A154)&amp;", ")),ISNUMBER(SEARCH(", "&amp;$B154&amp;", ", ", "&amp;INDEX('Form Responses'!$R$1:$R$200,10)&amp;", "))),1,""))</f>
        <v/>
      </c>
      <c r="M154">
        <f>IF(Wizards!$A$11="","",IF(OR(ISNUMBER(SEARCH(", "&amp;$B154&amp;", ", ", "&amp;INDEX('Form Responses'!$I$1:$Q$200,11,$A154)&amp;", ")),ISNUMBER(SEARCH(", "&amp;$B154&amp;", ", ", "&amp;INDEX('Form Responses'!$R$1:$R$200,11)&amp;", "))),1,""))</f>
        <v/>
      </c>
      <c r="N154">
        <f>IF(Wizards!$A$12="","",IF(OR(ISNUMBER(SEARCH(", "&amp;$B154&amp;", ", ", "&amp;INDEX('Form Responses'!$I$1:$Q$200,12,$A154)&amp;", ")),ISNUMBER(SEARCH(", "&amp;$B154&amp;", ", ", "&amp;INDEX('Form Responses'!$R$1:$R$200,12)&amp;", "))),1,""))</f>
        <v/>
      </c>
      <c r="O154">
        <f>IF(Wizards!$A$13="","",IF(OR(ISNUMBER(SEARCH(", "&amp;$B154&amp;", ", ", "&amp;INDEX('Form Responses'!$I$1:$Q$200,13,$A154)&amp;", ")),ISNUMBER(SEARCH(", "&amp;$B154&amp;", ", ", "&amp;INDEX('Form Responses'!$R$1:$R$200,13)&amp;", "))),1,""))</f>
        <v/>
      </c>
      <c r="P154">
        <f>IF(Wizards!$A$14="","",IF(OR(ISNUMBER(SEARCH(", "&amp;$B154&amp;", ", ", "&amp;INDEX('Form Responses'!$I$1:$Q$200,14,$A154)&amp;", ")),ISNUMBER(SEARCH(", "&amp;$B154&amp;", ", ", "&amp;INDEX('Form Responses'!$R$1:$R$200,14)&amp;", "))),1,""))</f>
        <v/>
      </c>
      <c r="Q154">
        <f>IF(Wizards!$A$15="","",IF(OR(ISNUMBER(SEARCH(", "&amp;$B154&amp;", ", ", "&amp;INDEX('Form Responses'!$I$1:$Q$200,15,$A154)&amp;", ")),ISNUMBER(SEARCH(", "&amp;$B154&amp;", ", ", "&amp;INDEX('Form Responses'!$R$1:$R$200,15)&amp;", "))),1,""))</f>
        <v/>
      </c>
      <c r="R154">
        <f>IF(Wizards!$A$16="","",IF(OR(ISNUMBER(SEARCH(", "&amp;$B154&amp;", ", ", "&amp;INDEX('Form Responses'!$I$1:$Q$200,16,$A154)&amp;", ")),ISNUMBER(SEARCH(", "&amp;$B154&amp;", ", ", "&amp;INDEX('Form Responses'!$R$1:$R$200,16)&amp;", "))),1,""))</f>
        <v/>
      </c>
      <c r="S154">
        <f>IF(Wizards!$A$17="","",IF(OR(ISNUMBER(SEARCH(", "&amp;$B154&amp;", ", ", "&amp;INDEX('Form Responses'!$I$1:$Q$200,17,$A154)&amp;", ")),ISNUMBER(SEARCH(", "&amp;$B154&amp;", ", ", "&amp;INDEX('Form Responses'!$R$1:$R$200,17)&amp;", "))),1,""))</f>
        <v/>
      </c>
      <c r="T154">
        <f>IF(Wizards!$A$18="","",IF(OR(ISNUMBER(SEARCH(", "&amp;$B154&amp;", ", ", "&amp;INDEX('Form Responses'!$I$1:$Q$200,18,$A154)&amp;", ")),ISNUMBER(SEARCH(", "&amp;$B154&amp;", ", ", "&amp;INDEX('Form Responses'!$R$1:$R$200,18)&amp;", "))),1,""))</f>
        <v/>
      </c>
      <c r="U154">
        <f>IF(Wizards!$A$19="","",IF(OR(ISNUMBER(SEARCH(", "&amp;$B154&amp;", ", ", "&amp;INDEX('Form Responses'!$I$1:$Q$200,19,$A154)&amp;", ")),ISNUMBER(SEARCH(", "&amp;$B154&amp;", ", ", "&amp;INDEX('Form Responses'!$R$1:$R$200,19)&amp;", "))),1,""))</f>
        <v/>
      </c>
      <c r="V154">
        <f>IF(Wizards!$A$20="","",IF(OR(ISNUMBER(SEARCH(", "&amp;$B154&amp;", ", ", "&amp;INDEX('Form Responses'!$I$1:$Q$200,20,$A154)&amp;", ")),ISNUMBER(SEARCH(", "&amp;$B154&amp;", ", ", "&amp;INDEX('Form Responses'!$R$1:$R$200,20)&amp;", "))),1,""))</f>
        <v/>
      </c>
      <c r="W154">
        <f>IF(Wizards!$A$21="","",IF(OR(ISNUMBER(SEARCH(", "&amp;$B154&amp;", ", ", "&amp;INDEX('Form Responses'!$I$1:$Q$200,21,$A154)&amp;", ")),ISNUMBER(SEARCH(", "&amp;$B154&amp;", ", ", "&amp;INDEX('Form Responses'!$R$1:$R$200,21)&amp;", "))),1,""))</f>
        <v/>
      </c>
      <c r="X154">
        <f>IF(Wizards!$A$22="","",IF(OR(ISNUMBER(SEARCH(", "&amp;$B154&amp;", ", ", "&amp;INDEX('Form Responses'!$I$1:$Q$200,22,$A154)&amp;", ")),ISNUMBER(SEARCH(", "&amp;$B154&amp;", ", ", "&amp;INDEX('Form Responses'!$R$1:$R$200,22)&amp;", "))),1,""))</f>
        <v/>
      </c>
      <c r="Y154">
        <f>IF(Wizards!$A$23="","",IF(OR(ISNUMBER(SEARCH(", "&amp;$B154&amp;", ", ", "&amp;INDEX('Form Responses'!$I$1:$Q$200,23,$A154)&amp;", ")),ISNUMBER(SEARCH(", "&amp;$B154&amp;", ", ", "&amp;INDEX('Form Responses'!$R$1:$R$200,23)&amp;", "))),1,""))</f>
        <v/>
      </c>
      <c r="Z154">
        <f>IF(Wizards!$A$24="","",IF(OR(ISNUMBER(SEARCH(", "&amp;$B154&amp;", ", ", "&amp;INDEX('Form Responses'!$I$1:$Q$200,24,$A154)&amp;", ")),ISNUMBER(SEARCH(", "&amp;$B154&amp;", ", ", "&amp;INDEX('Form Responses'!$R$1:$R$200,24)&amp;", "))),1,""))</f>
        <v/>
      </c>
      <c r="AA154">
        <f>IF(Wizards!$A$25="","",IF(OR(ISNUMBER(SEARCH(", "&amp;$B154&amp;", ", ", "&amp;INDEX('Form Responses'!$I$1:$Q$200,25,$A154)&amp;", ")),ISNUMBER(SEARCH(", "&amp;$B154&amp;", ", ", "&amp;INDEX('Form Responses'!$R$1:$R$200,25)&amp;", "))),1,""))</f>
        <v/>
      </c>
      <c r="AB154">
        <f>IF(D154=1,", "&amp;D$1,"")</f>
        <v/>
      </c>
      <c r="AC154">
        <f>IF(E154=1,", "&amp;E$1,"")</f>
        <v/>
      </c>
      <c r="AD154">
        <f>IF(F154=1,", "&amp;F$1,"")</f>
        <v/>
      </c>
      <c r="AE154">
        <f>IF(G154=1,", "&amp;G$1,"")</f>
        <v/>
      </c>
      <c r="AF154">
        <f>IF(H154=1,", "&amp;H$1,"")</f>
        <v/>
      </c>
      <c r="AG154">
        <f>IF(I154=1,", "&amp;I$1,"")</f>
        <v/>
      </c>
      <c r="AH154">
        <f>IF(J154=1,", "&amp;J$1,"")</f>
        <v/>
      </c>
      <c r="AI154">
        <f>IF(K154=1,", "&amp;K$1,"")</f>
        <v/>
      </c>
      <c r="AJ154">
        <f>IF(L154=1,", "&amp;L$1,"")</f>
        <v/>
      </c>
      <c r="AK154">
        <f>IF(M154=1,", "&amp;M$1,"")</f>
        <v/>
      </c>
      <c r="AL154">
        <f>IF(N154=1,", "&amp;N$1,"")</f>
        <v/>
      </c>
      <c r="AM154">
        <f>IF(O154=1,", "&amp;O$1,"")</f>
        <v/>
      </c>
      <c r="AN154">
        <f>IF(P154=1,", "&amp;P$1,"")</f>
        <v/>
      </c>
      <c r="AO154">
        <f>IF(Q154=1,", "&amp;Q$1,"")</f>
        <v/>
      </c>
      <c r="AP154">
        <f>IF(R154=1,", "&amp;R$1,"")</f>
        <v/>
      </c>
      <c r="AQ154">
        <f>IF(S154=1,", "&amp;S$1,"")</f>
        <v/>
      </c>
      <c r="AR154">
        <f>IF(T154=1,", "&amp;T$1,"")</f>
        <v/>
      </c>
      <c r="AS154">
        <f>IF(U154=1,", "&amp;U$1,"")</f>
        <v/>
      </c>
      <c r="AT154">
        <f>IF(V154=1,", "&amp;V$1,"")</f>
        <v/>
      </c>
      <c r="AU154">
        <f>IF(W154=1,", "&amp;W$1,"")</f>
        <v/>
      </c>
      <c r="AV154">
        <f>IF(X154=1,", "&amp;X$1,"")</f>
        <v/>
      </c>
      <c r="AW154">
        <f>IF(Y154=1,", "&amp;Y$1,"")</f>
        <v/>
      </c>
      <c r="AX154">
        <f>IF(Z154=1,", "&amp;Z$1,"")</f>
        <v/>
      </c>
      <c r="AY154">
        <f>IF(AA154=1,", "&amp;AA$1,"")</f>
        <v/>
      </c>
      <c r="AZ154">
        <f>MID($AB154&amp;$AC154&amp;$AD154&amp;$AE154&amp;$AF154&amp;$AG154&amp;$AH154&amp;$AI154&amp;$AJ154&amp;$AK154&amp;$AL154&amp;$AM154&amp;$AN154&amp;$AO154&amp;$AP154&amp;$AQ154&amp;$AR154&amp;$AS154&amp;$AT154&amp;$AU154&amp;$AV154&amp;$AW154&amp;$AX154&amp;$AY154,3,32767)</f>
        <v/>
      </c>
      <c r="BA154">
        <f>COUNT($D154:$AA154)</f>
        <v/>
      </c>
    </row>
    <row r="155">
      <c r="A155" t="n">
        <v>3</v>
      </c>
      <c r="B155" t="inlineStr">
        <is>
          <t>Tongues</t>
        </is>
      </c>
      <c r="C155" t="inlineStr">
        <is>
          <t>Divination</t>
        </is>
      </c>
      <c r="D155">
        <f>IF(Wizards!$A$2="","",IF(OR(ISNUMBER(SEARCH(", "&amp;$B155&amp;", ", ", "&amp;INDEX('Form Responses'!$I$1:$Q$200,2,$A155)&amp;", ")),ISNUMBER(SEARCH(", "&amp;$B155&amp;", ", ", "&amp;INDEX('Form Responses'!$R$1:$R$200,2)&amp;", "))),1,""))</f>
        <v/>
      </c>
      <c r="E155">
        <f>IF(Wizards!$A$3="","",IF(OR(ISNUMBER(SEARCH(", "&amp;$B155&amp;", ", ", "&amp;INDEX('Form Responses'!$I$1:$Q$200,3,$A155)&amp;", ")),ISNUMBER(SEARCH(", "&amp;$B155&amp;", ", ", "&amp;INDEX('Form Responses'!$R$1:$R$200,3)&amp;", "))),1,""))</f>
        <v/>
      </c>
      <c r="F155">
        <f>IF(Wizards!$A$4="","",IF(OR(ISNUMBER(SEARCH(", "&amp;$B155&amp;", ", ", "&amp;INDEX('Form Responses'!$I$1:$Q$200,4,$A155)&amp;", ")),ISNUMBER(SEARCH(", "&amp;$B155&amp;", ", ", "&amp;INDEX('Form Responses'!$R$1:$R$200,4)&amp;", "))),1,""))</f>
        <v/>
      </c>
      <c r="G155">
        <f>IF(Wizards!$A$5="","",IF(OR(ISNUMBER(SEARCH(", "&amp;$B155&amp;", ", ", "&amp;INDEX('Form Responses'!$I$1:$Q$200,5,$A155)&amp;", ")),ISNUMBER(SEARCH(", "&amp;$B155&amp;", ", ", "&amp;INDEX('Form Responses'!$R$1:$R$200,5)&amp;", "))),1,""))</f>
        <v/>
      </c>
      <c r="H155">
        <f>IF(Wizards!$A$6="","",IF(OR(ISNUMBER(SEARCH(", "&amp;$B155&amp;", ", ", "&amp;INDEX('Form Responses'!$I$1:$Q$200,6,$A155)&amp;", ")),ISNUMBER(SEARCH(", "&amp;$B155&amp;", ", ", "&amp;INDEX('Form Responses'!$R$1:$R$200,6)&amp;", "))),1,""))</f>
        <v/>
      </c>
      <c r="I155">
        <f>IF(Wizards!$A$7="","",IF(OR(ISNUMBER(SEARCH(", "&amp;$B155&amp;", ", ", "&amp;INDEX('Form Responses'!$I$1:$Q$200,7,$A155)&amp;", ")),ISNUMBER(SEARCH(", "&amp;$B155&amp;", ", ", "&amp;INDEX('Form Responses'!$R$1:$R$200,7)&amp;", "))),1,""))</f>
        <v/>
      </c>
      <c r="J155">
        <f>IF(Wizards!$A$8="","",IF(OR(ISNUMBER(SEARCH(", "&amp;$B155&amp;", ", ", "&amp;INDEX('Form Responses'!$I$1:$Q$200,8,$A155)&amp;", ")),ISNUMBER(SEARCH(", "&amp;$B155&amp;", ", ", "&amp;INDEX('Form Responses'!$R$1:$R$200,8)&amp;", "))),1,""))</f>
        <v/>
      </c>
      <c r="K155">
        <f>IF(Wizards!$A$9="","",IF(OR(ISNUMBER(SEARCH(", "&amp;$B155&amp;", ", ", "&amp;INDEX('Form Responses'!$I$1:$Q$200,9,$A155)&amp;", ")),ISNUMBER(SEARCH(", "&amp;$B155&amp;", ", ", "&amp;INDEX('Form Responses'!$R$1:$R$200,9)&amp;", "))),1,""))</f>
        <v/>
      </c>
      <c r="L155">
        <f>IF(Wizards!$A$10="","",IF(OR(ISNUMBER(SEARCH(", "&amp;$B155&amp;", ", ", "&amp;INDEX('Form Responses'!$I$1:$Q$200,10,$A155)&amp;", ")),ISNUMBER(SEARCH(", "&amp;$B155&amp;", ", ", "&amp;INDEX('Form Responses'!$R$1:$R$200,10)&amp;", "))),1,""))</f>
        <v/>
      </c>
      <c r="M155">
        <f>IF(Wizards!$A$11="","",IF(OR(ISNUMBER(SEARCH(", "&amp;$B155&amp;", ", ", "&amp;INDEX('Form Responses'!$I$1:$Q$200,11,$A155)&amp;", ")),ISNUMBER(SEARCH(", "&amp;$B155&amp;", ", ", "&amp;INDEX('Form Responses'!$R$1:$R$200,11)&amp;", "))),1,""))</f>
        <v/>
      </c>
      <c r="N155">
        <f>IF(Wizards!$A$12="","",IF(OR(ISNUMBER(SEARCH(", "&amp;$B155&amp;", ", ", "&amp;INDEX('Form Responses'!$I$1:$Q$200,12,$A155)&amp;", ")),ISNUMBER(SEARCH(", "&amp;$B155&amp;", ", ", "&amp;INDEX('Form Responses'!$R$1:$R$200,12)&amp;", "))),1,""))</f>
        <v/>
      </c>
      <c r="O155">
        <f>IF(Wizards!$A$13="","",IF(OR(ISNUMBER(SEARCH(", "&amp;$B155&amp;", ", ", "&amp;INDEX('Form Responses'!$I$1:$Q$200,13,$A155)&amp;", ")),ISNUMBER(SEARCH(", "&amp;$B155&amp;", ", ", "&amp;INDEX('Form Responses'!$R$1:$R$200,13)&amp;", "))),1,""))</f>
        <v/>
      </c>
      <c r="P155">
        <f>IF(Wizards!$A$14="","",IF(OR(ISNUMBER(SEARCH(", "&amp;$B155&amp;", ", ", "&amp;INDEX('Form Responses'!$I$1:$Q$200,14,$A155)&amp;", ")),ISNUMBER(SEARCH(", "&amp;$B155&amp;", ", ", "&amp;INDEX('Form Responses'!$R$1:$R$200,14)&amp;", "))),1,""))</f>
        <v/>
      </c>
      <c r="Q155">
        <f>IF(Wizards!$A$15="","",IF(OR(ISNUMBER(SEARCH(", "&amp;$B155&amp;", ", ", "&amp;INDEX('Form Responses'!$I$1:$Q$200,15,$A155)&amp;", ")),ISNUMBER(SEARCH(", "&amp;$B155&amp;", ", ", "&amp;INDEX('Form Responses'!$R$1:$R$200,15)&amp;", "))),1,""))</f>
        <v/>
      </c>
      <c r="R155">
        <f>IF(Wizards!$A$16="","",IF(OR(ISNUMBER(SEARCH(", "&amp;$B155&amp;", ", ", "&amp;INDEX('Form Responses'!$I$1:$Q$200,16,$A155)&amp;", ")),ISNUMBER(SEARCH(", "&amp;$B155&amp;", ", ", "&amp;INDEX('Form Responses'!$R$1:$R$200,16)&amp;", "))),1,""))</f>
        <v/>
      </c>
      <c r="S155">
        <f>IF(Wizards!$A$17="","",IF(OR(ISNUMBER(SEARCH(", "&amp;$B155&amp;", ", ", "&amp;INDEX('Form Responses'!$I$1:$Q$200,17,$A155)&amp;", ")),ISNUMBER(SEARCH(", "&amp;$B155&amp;", ", ", "&amp;INDEX('Form Responses'!$R$1:$R$200,17)&amp;", "))),1,""))</f>
        <v/>
      </c>
      <c r="T155">
        <f>IF(Wizards!$A$18="","",IF(OR(ISNUMBER(SEARCH(", "&amp;$B155&amp;", ", ", "&amp;INDEX('Form Responses'!$I$1:$Q$200,18,$A155)&amp;", ")),ISNUMBER(SEARCH(", "&amp;$B155&amp;", ", ", "&amp;INDEX('Form Responses'!$R$1:$R$200,18)&amp;", "))),1,""))</f>
        <v/>
      </c>
      <c r="U155">
        <f>IF(Wizards!$A$19="","",IF(OR(ISNUMBER(SEARCH(", "&amp;$B155&amp;", ", ", "&amp;INDEX('Form Responses'!$I$1:$Q$200,19,$A155)&amp;", ")),ISNUMBER(SEARCH(", "&amp;$B155&amp;", ", ", "&amp;INDEX('Form Responses'!$R$1:$R$200,19)&amp;", "))),1,""))</f>
        <v/>
      </c>
      <c r="V155">
        <f>IF(Wizards!$A$20="","",IF(OR(ISNUMBER(SEARCH(", "&amp;$B155&amp;", ", ", "&amp;INDEX('Form Responses'!$I$1:$Q$200,20,$A155)&amp;", ")),ISNUMBER(SEARCH(", "&amp;$B155&amp;", ", ", "&amp;INDEX('Form Responses'!$R$1:$R$200,20)&amp;", "))),1,""))</f>
        <v/>
      </c>
      <c r="W155">
        <f>IF(Wizards!$A$21="","",IF(OR(ISNUMBER(SEARCH(", "&amp;$B155&amp;", ", ", "&amp;INDEX('Form Responses'!$I$1:$Q$200,21,$A155)&amp;", ")),ISNUMBER(SEARCH(", "&amp;$B155&amp;", ", ", "&amp;INDEX('Form Responses'!$R$1:$R$200,21)&amp;", "))),1,""))</f>
        <v/>
      </c>
      <c r="X155">
        <f>IF(Wizards!$A$22="","",IF(OR(ISNUMBER(SEARCH(", "&amp;$B155&amp;", ", ", "&amp;INDEX('Form Responses'!$I$1:$Q$200,22,$A155)&amp;", ")),ISNUMBER(SEARCH(", "&amp;$B155&amp;", ", ", "&amp;INDEX('Form Responses'!$R$1:$R$200,22)&amp;", "))),1,""))</f>
        <v/>
      </c>
      <c r="Y155">
        <f>IF(Wizards!$A$23="","",IF(OR(ISNUMBER(SEARCH(", "&amp;$B155&amp;", ", ", "&amp;INDEX('Form Responses'!$I$1:$Q$200,23,$A155)&amp;", ")),ISNUMBER(SEARCH(", "&amp;$B155&amp;", ", ", "&amp;INDEX('Form Responses'!$R$1:$R$200,23)&amp;", "))),1,""))</f>
        <v/>
      </c>
      <c r="Z155">
        <f>IF(Wizards!$A$24="","",IF(OR(ISNUMBER(SEARCH(", "&amp;$B155&amp;", ", ", "&amp;INDEX('Form Responses'!$I$1:$Q$200,24,$A155)&amp;", ")),ISNUMBER(SEARCH(", "&amp;$B155&amp;", ", ", "&amp;INDEX('Form Responses'!$R$1:$R$200,24)&amp;", "))),1,""))</f>
        <v/>
      </c>
      <c r="AA155">
        <f>IF(Wizards!$A$25="","",IF(OR(ISNUMBER(SEARCH(", "&amp;$B155&amp;", ", ", "&amp;INDEX('Form Responses'!$I$1:$Q$200,25,$A155)&amp;", ")),ISNUMBER(SEARCH(", "&amp;$B155&amp;", ", ", "&amp;INDEX('Form Responses'!$R$1:$R$200,25)&amp;", "))),1,""))</f>
        <v/>
      </c>
      <c r="AB155">
        <f>IF(D155=1,", "&amp;D$1,"")</f>
        <v/>
      </c>
      <c r="AC155">
        <f>IF(E155=1,", "&amp;E$1,"")</f>
        <v/>
      </c>
      <c r="AD155">
        <f>IF(F155=1,", "&amp;F$1,"")</f>
        <v/>
      </c>
      <c r="AE155">
        <f>IF(G155=1,", "&amp;G$1,"")</f>
        <v/>
      </c>
      <c r="AF155">
        <f>IF(H155=1,", "&amp;H$1,"")</f>
        <v/>
      </c>
      <c r="AG155">
        <f>IF(I155=1,", "&amp;I$1,"")</f>
        <v/>
      </c>
      <c r="AH155">
        <f>IF(J155=1,", "&amp;J$1,"")</f>
        <v/>
      </c>
      <c r="AI155">
        <f>IF(K155=1,", "&amp;K$1,"")</f>
        <v/>
      </c>
      <c r="AJ155">
        <f>IF(L155=1,", "&amp;L$1,"")</f>
        <v/>
      </c>
      <c r="AK155">
        <f>IF(M155=1,", "&amp;M$1,"")</f>
        <v/>
      </c>
      <c r="AL155">
        <f>IF(N155=1,", "&amp;N$1,"")</f>
        <v/>
      </c>
      <c r="AM155">
        <f>IF(O155=1,", "&amp;O$1,"")</f>
        <v/>
      </c>
      <c r="AN155">
        <f>IF(P155=1,", "&amp;P$1,"")</f>
        <v/>
      </c>
      <c r="AO155">
        <f>IF(Q155=1,", "&amp;Q$1,"")</f>
        <v/>
      </c>
      <c r="AP155">
        <f>IF(R155=1,", "&amp;R$1,"")</f>
        <v/>
      </c>
      <c r="AQ155">
        <f>IF(S155=1,", "&amp;S$1,"")</f>
        <v/>
      </c>
      <c r="AR155">
        <f>IF(T155=1,", "&amp;T$1,"")</f>
        <v/>
      </c>
      <c r="AS155">
        <f>IF(U155=1,", "&amp;U$1,"")</f>
        <v/>
      </c>
      <c r="AT155">
        <f>IF(V155=1,", "&amp;V$1,"")</f>
        <v/>
      </c>
      <c r="AU155">
        <f>IF(W155=1,", "&amp;W$1,"")</f>
        <v/>
      </c>
      <c r="AV155">
        <f>IF(X155=1,", "&amp;X$1,"")</f>
        <v/>
      </c>
      <c r="AW155">
        <f>IF(Y155=1,", "&amp;Y$1,"")</f>
        <v/>
      </c>
      <c r="AX155">
        <f>IF(Z155=1,", "&amp;Z$1,"")</f>
        <v/>
      </c>
      <c r="AY155">
        <f>IF(AA155=1,", "&amp;AA$1,"")</f>
        <v/>
      </c>
      <c r="AZ155">
        <f>MID($AB155&amp;$AC155&amp;$AD155&amp;$AE155&amp;$AF155&amp;$AG155&amp;$AH155&amp;$AI155&amp;$AJ155&amp;$AK155&amp;$AL155&amp;$AM155&amp;$AN155&amp;$AO155&amp;$AP155&amp;$AQ155&amp;$AR155&amp;$AS155&amp;$AT155&amp;$AU155&amp;$AV155&amp;$AW155&amp;$AX155&amp;$AY155,3,32767)</f>
        <v/>
      </c>
      <c r="BA155">
        <f>COUNT($D155:$AA155)</f>
        <v/>
      </c>
    </row>
    <row r="156">
      <c r="A156" t="n">
        <v>3</v>
      </c>
      <c r="B156" t="inlineStr">
        <is>
          <t>Vampiric Touch</t>
        </is>
      </c>
      <c r="C156" t="inlineStr">
        <is>
          <t>Necromancy</t>
        </is>
      </c>
      <c r="D156">
        <f>IF(Wizards!$A$2="","",IF(OR(ISNUMBER(SEARCH(", "&amp;$B156&amp;", ", ", "&amp;INDEX('Form Responses'!$I$1:$Q$200,2,$A156)&amp;", ")),ISNUMBER(SEARCH(", "&amp;$B156&amp;", ", ", "&amp;INDEX('Form Responses'!$R$1:$R$200,2)&amp;", "))),1,""))</f>
        <v/>
      </c>
      <c r="E156">
        <f>IF(Wizards!$A$3="","",IF(OR(ISNUMBER(SEARCH(", "&amp;$B156&amp;", ", ", "&amp;INDEX('Form Responses'!$I$1:$Q$200,3,$A156)&amp;", ")),ISNUMBER(SEARCH(", "&amp;$B156&amp;", ", ", "&amp;INDEX('Form Responses'!$R$1:$R$200,3)&amp;", "))),1,""))</f>
        <v/>
      </c>
      <c r="F156">
        <f>IF(Wizards!$A$4="","",IF(OR(ISNUMBER(SEARCH(", "&amp;$B156&amp;", ", ", "&amp;INDEX('Form Responses'!$I$1:$Q$200,4,$A156)&amp;", ")),ISNUMBER(SEARCH(", "&amp;$B156&amp;", ", ", "&amp;INDEX('Form Responses'!$R$1:$R$200,4)&amp;", "))),1,""))</f>
        <v/>
      </c>
      <c r="G156">
        <f>IF(Wizards!$A$5="","",IF(OR(ISNUMBER(SEARCH(", "&amp;$B156&amp;", ", ", "&amp;INDEX('Form Responses'!$I$1:$Q$200,5,$A156)&amp;", ")),ISNUMBER(SEARCH(", "&amp;$B156&amp;", ", ", "&amp;INDEX('Form Responses'!$R$1:$R$200,5)&amp;", "))),1,""))</f>
        <v/>
      </c>
      <c r="H156">
        <f>IF(Wizards!$A$6="","",IF(OR(ISNUMBER(SEARCH(", "&amp;$B156&amp;", ", ", "&amp;INDEX('Form Responses'!$I$1:$Q$200,6,$A156)&amp;", ")),ISNUMBER(SEARCH(", "&amp;$B156&amp;", ", ", "&amp;INDEX('Form Responses'!$R$1:$R$200,6)&amp;", "))),1,""))</f>
        <v/>
      </c>
      <c r="I156">
        <f>IF(Wizards!$A$7="","",IF(OR(ISNUMBER(SEARCH(", "&amp;$B156&amp;", ", ", "&amp;INDEX('Form Responses'!$I$1:$Q$200,7,$A156)&amp;", ")),ISNUMBER(SEARCH(", "&amp;$B156&amp;", ", ", "&amp;INDEX('Form Responses'!$R$1:$R$200,7)&amp;", "))),1,""))</f>
        <v/>
      </c>
      <c r="J156">
        <f>IF(Wizards!$A$8="","",IF(OR(ISNUMBER(SEARCH(", "&amp;$B156&amp;", ", ", "&amp;INDEX('Form Responses'!$I$1:$Q$200,8,$A156)&amp;", ")),ISNUMBER(SEARCH(", "&amp;$B156&amp;", ", ", "&amp;INDEX('Form Responses'!$R$1:$R$200,8)&amp;", "))),1,""))</f>
        <v/>
      </c>
      <c r="K156">
        <f>IF(Wizards!$A$9="","",IF(OR(ISNUMBER(SEARCH(", "&amp;$B156&amp;", ", ", "&amp;INDEX('Form Responses'!$I$1:$Q$200,9,$A156)&amp;", ")),ISNUMBER(SEARCH(", "&amp;$B156&amp;", ", ", "&amp;INDEX('Form Responses'!$R$1:$R$200,9)&amp;", "))),1,""))</f>
        <v/>
      </c>
      <c r="L156">
        <f>IF(Wizards!$A$10="","",IF(OR(ISNUMBER(SEARCH(", "&amp;$B156&amp;", ", ", "&amp;INDEX('Form Responses'!$I$1:$Q$200,10,$A156)&amp;", ")),ISNUMBER(SEARCH(", "&amp;$B156&amp;", ", ", "&amp;INDEX('Form Responses'!$R$1:$R$200,10)&amp;", "))),1,""))</f>
        <v/>
      </c>
      <c r="M156">
        <f>IF(Wizards!$A$11="","",IF(OR(ISNUMBER(SEARCH(", "&amp;$B156&amp;", ", ", "&amp;INDEX('Form Responses'!$I$1:$Q$200,11,$A156)&amp;", ")),ISNUMBER(SEARCH(", "&amp;$B156&amp;", ", ", "&amp;INDEX('Form Responses'!$R$1:$R$200,11)&amp;", "))),1,""))</f>
        <v/>
      </c>
      <c r="N156">
        <f>IF(Wizards!$A$12="","",IF(OR(ISNUMBER(SEARCH(", "&amp;$B156&amp;", ", ", "&amp;INDEX('Form Responses'!$I$1:$Q$200,12,$A156)&amp;", ")),ISNUMBER(SEARCH(", "&amp;$B156&amp;", ", ", "&amp;INDEX('Form Responses'!$R$1:$R$200,12)&amp;", "))),1,""))</f>
        <v/>
      </c>
      <c r="O156">
        <f>IF(Wizards!$A$13="","",IF(OR(ISNUMBER(SEARCH(", "&amp;$B156&amp;", ", ", "&amp;INDEX('Form Responses'!$I$1:$Q$200,13,$A156)&amp;", ")),ISNUMBER(SEARCH(", "&amp;$B156&amp;", ", ", "&amp;INDEX('Form Responses'!$R$1:$R$200,13)&amp;", "))),1,""))</f>
        <v/>
      </c>
      <c r="P156">
        <f>IF(Wizards!$A$14="","",IF(OR(ISNUMBER(SEARCH(", "&amp;$B156&amp;", ", ", "&amp;INDEX('Form Responses'!$I$1:$Q$200,14,$A156)&amp;", ")),ISNUMBER(SEARCH(", "&amp;$B156&amp;", ", ", "&amp;INDEX('Form Responses'!$R$1:$R$200,14)&amp;", "))),1,""))</f>
        <v/>
      </c>
      <c r="Q156">
        <f>IF(Wizards!$A$15="","",IF(OR(ISNUMBER(SEARCH(", "&amp;$B156&amp;", ", ", "&amp;INDEX('Form Responses'!$I$1:$Q$200,15,$A156)&amp;", ")),ISNUMBER(SEARCH(", "&amp;$B156&amp;", ", ", "&amp;INDEX('Form Responses'!$R$1:$R$200,15)&amp;", "))),1,""))</f>
        <v/>
      </c>
      <c r="R156">
        <f>IF(Wizards!$A$16="","",IF(OR(ISNUMBER(SEARCH(", "&amp;$B156&amp;", ", ", "&amp;INDEX('Form Responses'!$I$1:$Q$200,16,$A156)&amp;", ")),ISNUMBER(SEARCH(", "&amp;$B156&amp;", ", ", "&amp;INDEX('Form Responses'!$R$1:$R$200,16)&amp;", "))),1,""))</f>
        <v/>
      </c>
      <c r="S156">
        <f>IF(Wizards!$A$17="","",IF(OR(ISNUMBER(SEARCH(", "&amp;$B156&amp;", ", ", "&amp;INDEX('Form Responses'!$I$1:$Q$200,17,$A156)&amp;", ")),ISNUMBER(SEARCH(", "&amp;$B156&amp;", ", ", "&amp;INDEX('Form Responses'!$R$1:$R$200,17)&amp;", "))),1,""))</f>
        <v/>
      </c>
      <c r="T156">
        <f>IF(Wizards!$A$18="","",IF(OR(ISNUMBER(SEARCH(", "&amp;$B156&amp;", ", ", "&amp;INDEX('Form Responses'!$I$1:$Q$200,18,$A156)&amp;", ")),ISNUMBER(SEARCH(", "&amp;$B156&amp;", ", ", "&amp;INDEX('Form Responses'!$R$1:$R$200,18)&amp;", "))),1,""))</f>
        <v/>
      </c>
      <c r="U156">
        <f>IF(Wizards!$A$19="","",IF(OR(ISNUMBER(SEARCH(", "&amp;$B156&amp;", ", ", "&amp;INDEX('Form Responses'!$I$1:$Q$200,19,$A156)&amp;", ")),ISNUMBER(SEARCH(", "&amp;$B156&amp;", ", ", "&amp;INDEX('Form Responses'!$R$1:$R$200,19)&amp;", "))),1,""))</f>
        <v/>
      </c>
      <c r="V156">
        <f>IF(Wizards!$A$20="","",IF(OR(ISNUMBER(SEARCH(", "&amp;$B156&amp;", ", ", "&amp;INDEX('Form Responses'!$I$1:$Q$200,20,$A156)&amp;", ")),ISNUMBER(SEARCH(", "&amp;$B156&amp;", ", ", "&amp;INDEX('Form Responses'!$R$1:$R$200,20)&amp;", "))),1,""))</f>
        <v/>
      </c>
      <c r="W156">
        <f>IF(Wizards!$A$21="","",IF(OR(ISNUMBER(SEARCH(", "&amp;$B156&amp;", ", ", "&amp;INDEX('Form Responses'!$I$1:$Q$200,21,$A156)&amp;", ")),ISNUMBER(SEARCH(", "&amp;$B156&amp;", ", ", "&amp;INDEX('Form Responses'!$R$1:$R$200,21)&amp;", "))),1,""))</f>
        <v/>
      </c>
      <c r="X156">
        <f>IF(Wizards!$A$22="","",IF(OR(ISNUMBER(SEARCH(", "&amp;$B156&amp;", ", ", "&amp;INDEX('Form Responses'!$I$1:$Q$200,22,$A156)&amp;", ")),ISNUMBER(SEARCH(", "&amp;$B156&amp;", ", ", "&amp;INDEX('Form Responses'!$R$1:$R$200,22)&amp;", "))),1,""))</f>
        <v/>
      </c>
      <c r="Y156">
        <f>IF(Wizards!$A$23="","",IF(OR(ISNUMBER(SEARCH(", "&amp;$B156&amp;", ", ", "&amp;INDEX('Form Responses'!$I$1:$Q$200,23,$A156)&amp;", ")),ISNUMBER(SEARCH(", "&amp;$B156&amp;", ", ", "&amp;INDEX('Form Responses'!$R$1:$R$200,23)&amp;", "))),1,""))</f>
        <v/>
      </c>
      <c r="Z156">
        <f>IF(Wizards!$A$24="","",IF(OR(ISNUMBER(SEARCH(", "&amp;$B156&amp;", ", ", "&amp;INDEX('Form Responses'!$I$1:$Q$200,24,$A156)&amp;", ")),ISNUMBER(SEARCH(", "&amp;$B156&amp;", ", ", "&amp;INDEX('Form Responses'!$R$1:$R$200,24)&amp;", "))),1,""))</f>
        <v/>
      </c>
      <c r="AA156">
        <f>IF(Wizards!$A$25="","",IF(OR(ISNUMBER(SEARCH(", "&amp;$B156&amp;", ", ", "&amp;INDEX('Form Responses'!$I$1:$Q$200,25,$A156)&amp;", ")),ISNUMBER(SEARCH(", "&amp;$B156&amp;", ", ", "&amp;INDEX('Form Responses'!$R$1:$R$200,25)&amp;", "))),1,""))</f>
        <v/>
      </c>
      <c r="AB156">
        <f>IF(D156=1,", "&amp;D$1,"")</f>
        <v/>
      </c>
      <c r="AC156">
        <f>IF(E156=1,", "&amp;E$1,"")</f>
        <v/>
      </c>
      <c r="AD156">
        <f>IF(F156=1,", "&amp;F$1,"")</f>
        <v/>
      </c>
      <c r="AE156">
        <f>IF(G156=1,", "&amp;G$1,"")</f>
        <v/>
      </c>
      <c r="AF156">
        <f>IF(H156=1,", "&amp;H$1,"")</f>
        <v/>
      </c>
      <c r="AG156">
        <f>IF(I156=1,", "&amp;I$1,"")</f>
        <v/>
      </c>
      <c r="AH156">
        <f>IF(J156=1,", "&amp;J$1,"")</f>
        <v/>
      </c>
      <c r="AI156">
        <f>IF(K156=1,", "&amp;K$1,"")</f>
        <v/>
      </c>
      <c r="AJ156">
        <f>IF(L156=1,", "&amp;L$1,"")</f>
        <v/>
      </c>
      <c r="AK156">
        <f>IF(M156=1,", "&amp;M$1,"")</f>
        <v/>
      </c>
      <c r="AL156">
        <f>IF(N156=1,", "&amp;N$1,"")</f>
        <v/>
      </c>
      <c r="AM156">
        <f>IF(O156=1,", "&amp;O$1,"")</f>
        <v/>
      </c>
      <c r="AN156">
        <f>IF(P156=1,", "&amp;P$1,"")</f>
        <v/>
      </c>
      <c r="AO156">
        <f>IF(Q156=1,", "&amp;Q$1,"")</f>
        <v/>
      </c>
      <c r="AP156">
        <f>IF(R156=1,", "&amp;R$1,"")</f>
        <v/>
      </c>
      <c r="AQ156">
        <f>IF(S156=1,", "&amp;S$1,"")</f>
        <v/>
      </c>
      <c r="AR156">
        <f>IF(T156=1,", "&amp;T$1,"")</f>
        <v/>
      </c>
      <c r="AS156">
        <f>IF(U156=1,", "&amp;U$1,"")</f>
        <v/>
      </c>
      <c r="AT156">
        <f>IF(V156=1,", "&amp;V$1,"")</f>
        <v/>
      </c>
      <c r="AU156">
        <f>IF(W156=1,", "&amp;W$1,"")</f>
        <v/>
      </c>
      <c r="AV156">
        <f>IF(X156=1,", "&amp;X$1,"")</f>
        <v/>
      </c>
      <c r="AW156">
        <f>IF(Y156=1,", "&amp;Y$1,"")</f>
        <v/>
      </c>
      <c r="AX156">
        <f>IF(Z156=1,", "&amp;Z$1,"")</f>
        <v/>
      </c>
      <c r="AY156">
        <f>IF(AA156=1,", "&amp;AA$1,"")</f>
        <v/>
      </c>
      <c r="AZ156">
        <f>MID($AB156&amp;$AC156&amp;$AD156&amp;$AE156&amp;$AF156&amp;$AG156&amp;$AH156&amp;$AI156&amp;$AJ156&amp;$AK156&amp;$AL156&amp;$AM156&amp;$AN156&amp;$AO156&amp;$AP156&amp;$AQ156&amp;$AR156&amp;$AS156&amp;$AT156&amp;$AU156&amp;$AV156&amp;$AW156&amp;$AX156&amp;$AY156,3,32767)</f>
        <v/>
      </c>
      <c r="BA156">
        <f>COUNT($D156:$AA156)</f>
        <v/>
      </c>
    </row>
    <row r="157">
      <c r="A157" t="n">
        <v>3</v>
      </c>
      <c r="B157" t="inlineStr">
        <is>
          <t>Wall of Sand</t>
        </is>
      </c>
      <c r="C157" t="inlineStr">
        <is>
          <t>Evocation</t>
        </is>
      </c>
      <c r="D157">
        <f>IF(Wizards!$A$2="","",IF(OR(ISNUMBER(SEARCH(", "&amp;$B157&amp;", ", ", "&amp;INDEX('Form Responses'!$I$1:$Q$200,2,$A157)&amp;", ")),ISNUMBER(SEARCH(", "&amp;$B157&amp;", ", ", "&amp;INDEX('Form Responses'!$R$1:$R$200,2)&amp;", "))),1,""))</f>
        <v/>
      </c>
      <c r="E157">
        <f>IF(Wizards!$A$3="","",IF(OR(ISNUMBER(SEARCH(", "&amp;$B157&amp;", ", ", "&amp;INDEX('Form Responses'!$I$1:$Q$200,3,$A157)&amp;", ")),ISNUMBER(SEARCH(", "&amp;$B157&amp;", ", ", "&amp;INDEX('Form Responses'!$R$1:$R$200,3)&amp;", "))),1,""))</f>
        <v/>
      </c>
      <c r="F157">
        <f>IF(Wizards!$A$4="","",IF(OR(ISNUMBER(SEARCH(", "&amp;$B157&amp;", ", ", "&amp;INDEX('Form Responses'!$I$1:$Q$200,4,$A157)&amp;", ")),ISNUMBER(SEARCH(", "&amp;$B157&amp;", ", ", "&amp;INDEX('Form Responses'!$R$1:$R$200,4)&amp;", "))),1,""))</f>
        <v/>
      </c>
      <c r="G157">
        <f>IF(Wizards!$A$5="","",IF(OR(ISNUMBER(SEARCH(", "&amp;$B157&amp;", ", ", "&amp;INDEX('Form Responses'!$I$1:$Q$200,5,$A157)&amp;", ")),ISNUMBER(SEARCH(", "&amp;$B157&amp;", ", ", "&amp;INDEX('Form Responses'!$R$1:$R$200,5)&amp;", "))),1,""))</f>
        <v/>
      </c>
      <c r="H157">
        <f>IF(Wizards!$A$6="","",IF(OR(ISNUMBER(SEARCH(", "&amp;$B157&amp;", ", ", "&amp;INDEX('Form Responses'!$I$1:$Q$200,6,$A157)&amp;", ")),ISNUMBER(SEARCH(", "&amp;$B157&amp;", ", ", "&amp;INDEX('Form Responses'!$R$1:$R$200,6)&amp;", "))),1,""))</f>
        <v/>
      </c>
      <c r="I157">
        <f>IF(Wizards!$A$7="","",IF(OR(ISNUMBER(SEARCH(", "&amp;$B157&amp;", ", ", "&amp;INDEX('Form Responses'!$I$1:$Q$200,7,$A157)&amp;", ")),ISNUMBER(SEARCH(", "&amp;$B157&amp;", ", ", "&amp;INDEX('Form Responses'!$R$1:$R$200,7)&amp;", "))),1,""))</f>
        <v/>
      </c>
      <c r="J157">
        <f>IF(Wizards!$A$8="","",IF(OR(ISNUMBER(SEARCH(", "&amp;$B157&amp;", ", ", "&amp;INDEX('Form Responses'!$I$1:$Q$200,8,$A157)&amp;", ")),ISNUMBER(SEARCH(", "&amp;$B157&amp;", ", ", "&amp;INDEX('Form Responses'!$R$1:$R$200,8)&amp;", "))),1,""))</f>
        <v/>
      </c>
      <c r="K157">
        <f>IF(Wizards!$A$9="","",IF(OR(ISNUMBER(SEARCH(", "&amp;$B157&amp;", ", ", "&amp;INDEX('Form Responses'!$I$1:$Q$200,9,$A157)&amp;", ")),ISNUMBER(SEARCH(", "&amp;$B157&amp;", ", ", "&amp;INDEX('Form Responses'!$R$1:$R$200,9)&amp;", "))),1,""))</f>
        <v/>
      </c>
      <c r="L157">
        <f>IF(Wizards!$A$10="","",IF(OR(ISNUMBER(SEARCH(", "&amp;$B157&amp;", ", ", "&amp;INDEX('Form Responses'!$I$1:$Q$200,10,$A157)&amp;", ")),ISNUMBER(SEARCH(", "&amp;$B157&amp;", ", ", "&amp;INDEX('Form Responses'!$R$1:$R$200,10)&amp;", "))),1,""))</f>
        <v/>
      </c>
      <c r="M157">
        <f>IF(Wizards!$A$11="","",IF(OR(ISNUMBER(SEARCH(", "&amp;$B157&amp;", ", ", "&amp;INDEX('Form Responses'!$I$1:$Q$200,11,$A157)&amp;", ")),ISNUMBER(SEARCH(", "&amp;$B157&amp;", ", ", "&amp;INDEX('Form Responses'!$R$1:$R$200,11)&amp;", "))),1,""))</f>
        <v/>
      </c>
      <c r="N157">
        <f>IF(Wizards!$A$12="","",IF(OR(ISNUMBER(SEARCH(", "&amp;$B157&amp;", ", ", "&amp;INDEX('Form Responses'!$I$1:$Q$200,12,$A157)&amp;", ")),ISNUMBER(SEARCH(", "&amp;$B157&amp;", ", ", "&amp;INDEX('Form Responses'!$R$1:$R$200,12)&amp;", "))),1,""))</f>
        <v/>
      </c>
      <c r="O157">
        <f>IF(Wizards!$A$13="","",IF(OR(ISNUMBER(SEARCH(", "&amp;$B157&amp;", ", ", "&amp;INDEX('Form Responses'!$I$1:$Q$200,13,$A157)&amp;", ")),ISNUMBER(SEARCH(", "&amp;$B157&amp;", ", ", "&amp;INDEX('Form Responses'!$R$1:$R$200,13)&amp;", "))),1,""))</f>
        <v/>
      </c>
      <c r="P157">
        <f>IF(Wizards!$A$14="","",IF(OR(ISNUMBER(SEARCH(", "&amp;$B157&amp;", ", ", "&amp;INDEX('Form Responses'!$I$1:$Q$200,14,$A157)&amp;", ")),ISNUMBER(SEARCH(", "&amp;$B157&amp;", ", ", "&amp;INDEX('Form Responses'!$R$1:$R$200,14)&amp;", "))),1,""))</f>
        <v/>
      </c>
      <c r="Q157">
        <f>IF(Wizards!$A$15="","",IF(OR(ISNUMBER(SEARCH(", "&amp;$B157&amp;", ", ", "&amp;INDEX('Form Responses'!$I$1:$Q$200,15,$A157)&amp;", ")),ISNUMBER(SEARCH(", "&amp;$B157&amp;", ", ", "&amp;INDEX('Form Responses'!$R$1:$R$200,15)&amp;", "))),1,""))</f>
        <v/>
      </c>
      <c r="R157">
        <f>IF(Wizards!$A$16="","",IF(OR(ISNUMBER(SEARCH(", "&amp;$B157&amp;", ", ", "&amp;INDEX('Form Responses'!$I$1:$Q$200,16,$A157)&amp;", ")),ISNUMBER(SEARCH(", "&amp;$B157&amp;", ", ", "&amp;INDEX('Form Responses'!$R$1:$R$200,16)&amp;", "))),1,""))</f>
        <v/>
      </c>
      <c r="S157">
        <f>IF(Wizards!$A$17="","",IF(OR(ISNUMBER(SEARCH(", "&amp;$B157&amp;", ", ", "&amp;INDEX('Form Responses'!$I$1:$Q$200,17,$A157)&amp;", ")),ISNUMBER(SEARCH(", "&amp;$B157&amp;", ", ", "&amp;INDEX('Form Responses'!$R$1:$R$200,17)&amp;", "))),1,""))</f>
        <v/>
      </c>
      <c r="T157">
        <f>IF(Wizards!$A$18="","",IF(OR(ISNUMBER(SEARCH(", "&amp;$B157&amp;", ", ", "&amp;INDEX('Form Responses'!$I$1:$Q$200,18,$A157)&amp;", ")),ISNUMBER(SEARCH(", "&amp;$B157&amp;", ", ", "&amp;INDEX('Form Responses'!$R$1:$R$200,18)&amp;", "))),1,""))</f>
        <v/>
      </c>
      <c r="U157">
        <f>IF(Wizards!$A$19="","",IF(OR(ISNUMBER(SEARCH(", "&amp;$B157&amp;", ", ", "&amp;INDEX('Form Responses'!$I$1:$Q$200,19,$A157)&amp;", ")),ISNUMBER(SEARCH(", "&amp;$B157&amp;", ", ", "&amp;INDEX('Form Responses'!$R$1:$R$200,19)&amp;", "))),1,""))</f>
        <v/>
      </c>
      <c r="V157">
        <f>IF(Wizards!$A$20="","",IF(OR(ISNUMBER(SEARCH(", "&amp;$B157&amp;", ", ", "&amp;INDEX('Form Responses'!$I$1:$Q$200,20,$A157)&amp;", ")),ISNUMBER(SEARCH(", "&amp;$B157&amp;", ", ", "&amp;INDEX('Form Responses'!$R$1:$R$200,20)&amp;", "))),1,""))</f>
        <v/>
      </c>
      <c r="W157">
        <f>IF(Wizards!$A$21="","",IF(OR(ISNUMBER(SEARCH(", "&amp;$B157&amp;", ", ", "&amp;INDEX('Form Responses'!$I$1:$Q$200,21,$A157)&amp;", ")),ISNUMBER(SEARCH(", "&amp;$B157&amp;", ", ", "&amp;INDEX('Form Responses'!$R$1:$R$200,21)&amp;", "))),1,""))</f>
        <v/>
      </c>
      <c r="X157">
        <f>IF(Wizards!$A$22="","",IF(OR(ISNUMBER(SEARCH(", "&amp;$B157&amp;", ", ", "&amp;INDEX('Form Responses'!$I$1:$Q$200,22,$A157)&amp;", ")),ISNUMBER(SEARCH(", "&amp;$B157&amp;", ", ", "&amp;INDEX('Form Responses'!$R$1:$R$200,22)&amp;", "))),1,""))</f>
        <v/>
      </c>
      <c r="Y157">
        <f>IF(Wizards!$A$23="","",IF(OR(ISNUMBER(SEARCH(", "&amp;$B157&amp;", ", ", "&amp;INDEX('Form Responses'!$I$1:$Q$200,23,$A157)&amp;", ")),ISNUMBER(SEARCH(", "&amp;$B157&amp;", ", ", "&amp;INDEX('Form Responses'!$R$1:$R$200,23)&amp;", "))),1,""))</f>
        <v/>
      </c>
      <c r="Z157">
        <f>IF(Wizards!$A$24="","",IF(OR(ISNUMBER(SEARCH(", "&amp;$B157&amp;", ", ", "&amp;INDEX('Form Responses'!$I$1:$Q$200,24,$A157)&amp;", ")),ISNUMBER(SEARCH(", "&amp;$B157&amp;", ", ", "&amp;INDEX('Form Responses'!$R$1:$R$200,24)&amp;", "))),1,""))</f>
        <v/>
      </c>
      <c r="AA157">
        <f>IF(Wizards!$A$25="","",IF(OR(ISNUMBER(SEARCH(", "&amp;$B157&amp;", ", ", "&amp;INDEX('Form Responses'!$I$1:$Q$200,25,$A157)&amp;", ")),ISNUMBER(SEARCH(", "&amp;$B157&amp;", ", ", "&amp;INDEX('Form Responses'!$R$1:$R$200,25)&amp;", "))),1,""))</f>
        <v/>
      </c>
      <c r="AB157">
        <f>IF(D157=1,", "&amp;D$1,"")</f>
        <v/>
      </c>
      <c r="AC157">
        <f>IF(E157=1,", "&amp;E$1,"")</f>
        <v/>
      </c>
      <c r="AD157">
        <f>IF(F157=1,", "&amp;F$1,"")</f>
        <v/>
      </c>
      <c r="AE157">
        <f>IF(G157=1,", "&amp;G$1,"")</f>
        <v/>
      </c>
      <c r="AF157">
        <f>IF(H157=1,", "&amp;H$1,"")</f>
        <v/>
      </c>
      <c r="AG157">
        <f>IF(I157=1,", "&amp;I$1,"")</f>
        <v/>
      </c>
      <c r="AH157">
        <f>IF(J157=1,", "&amp;J$1,"")</f>
        <v/>
      </c>
      <c r="AI157">
        <f>IF(K157=1,", "&amp;K$1,"")</f>
        <v/>
      </c>
      <c r="AJ157">
        <f>IF(L157=1,", "&amp;L$1,"")</f>
        <v/>
      </c>
      <c r="AK157">
        <f>IF(M157=1,", "&amp;M$1,"")</f>
        <v/>
      </c>
      <c r="AL157">
        <f>IF(N157=1,", "&amp;N$1,"")</f>
        <v/>
      </c>
      <c r="AM157">
        <f>IF(O157=1,", "&amp;O$1,"")</f>
        <v/>
      </c>
      <c r="AN157">
        <f>IF(P157=1,", "&amp;P$1,"")</f>
        <v/>
      </c>
      <c r="AO157">
        <f>IF(Q157=1,", "&amp;Q$1,"")</f>
        <v/>
      </c>
      <c r="AP157">
        <f>IF(R157=1,", "&amp;R$1,"")</f>
        <v/>
      </c>
      <c r="AQ157">
        <f>IF(S157=1,", "&amp;S$1,"")</f>
        <v/>
      </c>
      <c r="AR157">
        <f>IF(T157=1,", "&amp;T$1,"")</f>
        <v/>
      </c>
      <c r="AS157">
        <f>IF(U157=1,", "&amp;U$1,"")</f>
        <v/>
      </c>
      <c r="AT157">
        <f>IF(V157=1,", "&amp;V$1,"")</f>
        <v/>
      </c>
      <c r="AU157">
        <f>IF(W157=1,", "&amp;W$1,"")</f>
        <v/>
      </c>
      <c r="AV157">
        <f>IF(X157=1,", "&amp;X$1,"")</f>
        <v/>
      </c>
      <c r="AW157">
        <f>IF(Y157=1,", "&amp;Y$1,"")</f>
        <v/>
      </c>
      <c r="AX157">
        <f>IF(Z157=1,", "&amp;Z$1,"")</f>
        <v/>
      </c>
      <c r="AY157">
        <f>IF(AA157=1,", "&amp;AA$1,"")</f>
        <v/>
      </c>
      <c r="AZ157">
        <f>MID($AB157&amp;$AC157&amp;$AD157&amp;$AE157&amp;$AF157&amp;$AG157&amp;$AH157&amp;$AI157&amp;$AJ157&amp;$AK157&amp;$AL157&amp;$AM157&amp;$AN157&amp;$AO157&amp;$AP157&amp;$AQ157&amp;$AR157&amp;$AS157&amp;$AT157&amp;$AU157&amp;$AV157&amp;$AW157&amp;$AX157&amp;$AY157,3,32767)</f>
        <v/>
      </c>
      <c r="BA157">
        <f>COUNT($D157:$AA157)</f>
        <v/>
      </c>
    </row>
    <row r="158">
      <c r="A158" t="n">
        <v>3</v>
      </c>
      <c r="B158" t="inlineStr">
        <is>
          <t>Wall of Water</t>
        </is>
      </c>
      <c r="C158" t="inlineStr">
        <is>
          <t>Evocation</t>
        </is>
      </c>
      <c r="D158">
        <f>IF(Wizards!$A$2="","",IF(OR(ISNUMBER(SEARCH(", "&amp;$B158&amp;", ", ", "&amp;INDEX('Form Responses'!$I$1:$Q$200,2,$A158)&amp;", ")),ISNUMBER(SEARCH(", "&amp;$B158&amp;", ", ", "&amp;INDEX('Form Responses'!$R$1:$R$200,2)&amp;", "))),1,""))</f>
        <v/>
      </c>
      <c r="E158">
        <f>IF(Wizards!$A$3="","",IF(OR(ISNUMBER(SEARCH(", "&amp;$B158&amp;", ", ", "&amp;INDEX('Form Responses'!$I$1:$Q$200,3,$A158)&amp;", ")),ISNUMBER(SEARCH(", "&amp;$B158&amp;", ", ", "&amp;INDEX('Form Responses'!$R$1:$R$200,3)&amp;", "))),1,""))</f>
        <v/>
      </c>
      <c r="F158">
        <f>IF(Wizards!$A$4="","",IF(OR(ISNUMBER(SEARCH(", "&amp;$B158&amp;", ", ", "&amp;INDEX('Form Responses'!$I$1:$Q$200,4,$A158)&amp;", ")),ISNUMBER(SEARCH(", "&amp;$B158&amp;", ", ", "&amp;INDEX('Form Responses'!$R$1:$R$200,4)&amp;", "))),1,""))</f>
        <v/>
      </c>
      <c r="G158">
        <f>IF(Wizards!$A$5="","",IF(OR(ISNUMBER(SEARCH(", "&amp;$B158&amp;", ", ", "&amp;INDEX('Form Responses'!$I$1:$Q$200,5,$A158)&amp;", ")),ISNUMBER(SEARCH(", "&amp;$B158&amp;", ", ", "&amp;INDEX('Form Responses'!$R$1:$R$200,5)&amp;", "))),1,""))</f>
        <v/>
      </c>
      <c r="H158">
        <f>IF(Wizards!$A$6="","",IF(OR(ISNUMBER(SEARCH(", "&amp;$B158&amp;", ", ", "&amp;INDEX('Form Responses'!$I$1:$Q$200,6,$A158)&amp;", ")),ISNUMBER(SEARCH(", "&amp;$B158&amp;", ", ", "&amp;INDEX('Form Responses'!$R$1:$R$200,6)&amp;", "))),1,""))</f>
        <v/>
      </c>
      <c r="I158">
        <f>IF(Wizards!$A$7="","",IF(OR(ISNUMBER(SEARCH(", "&amp;$B158&amp;", ", ", "&amp;INDEX('Form Responses'!$I$1:$Q$200,7,$A158)&amp;", ")),ISNUMBER(SEARCH(", "&amp;$B158&amp;", ", ", "&amp;INDEX('Form Responses'!$R$1:$R$200,7)&amp;", "))),1,""))</f>
        <v/>
      </c>
      <c r="J158">
        <f>IF(Wizards!$A$8="","",IF(OR(ISNUMBER(SEARCH(", "&amp;$B158&amp;", ", ", "&amp;INDEX('Form Responses'!$I$1:$Q$200,8,$A158)&amp;", ")),ISNUMBER(SEARCH(", "&amp;$B158&amp;", ", ", "&amp;INDEX('Form Responses'!$R$1:$R$200,8)&amp;", "))),1,""))</f>
        <v/>
      </c>
      <c r="K158">
        <f>IF(Wizards!$A$9="","",IF(OR(ISNUMBER(SEARCH(", "&amp;$B158&amp;", ", ", "&amp;INDEX('Form Responses'!$I$1:$Q$200,9,$A158)&amp;", ")),ISNUMBER(SEARCH(", "&amp;$B158&amp;", ", ", "&amp;INDEX('Form Responses'!$R$1:$R$200,9)&amp;", "))),1,""))</f>
        <v/>
      </c>
      <c r="L158">
        <f>IF(Wizards!$A$10="","",IF(OR(ISNUMBER(SEARCH(", "&amp;$B158&amp;", ", ", "&amp;INDEX('Form Responses'!$I$1:$Q$200,10,$A158)&amp;", ")),ISNUMBER(SEARCH(", "&amp;$B158&amp;", ", ", "&amp;INDEX('Form Responses'!$R$1:$R$200,10)&amp;", "))),1,""))</f>
        <v/>
      </c>
      <c r="M158">
        <f>IF(Wizards!$A$11="","",IF(OR(ISNUMBER(SEARCH(", "&amp;$B158&amp;", ", ", "&amp;INDEX('Form Responses'!$I$1:$Q$200,11,$A158)&amp;", ")),ISNUMBER(SEARCH(", "&amp;$B158&amp;", ", ", "&amp;INDEX('Form Responses'!$R$1:$R$200,11)&amp;", "))),1,""))</f>
        <v/>
      </c>
      <c r="N158">
        <f>IF(Wizards!$A$12="","",IF(OR(ISNUMBER(SEARCH(", "&amp;$B158&amp;", ", ", "&amp;INDEX('Form Responses'!$I$1:$Q$200,12,$A158)&amp;", ")),ISNUMBER(SEARCH(", "&amp;$B158&amp;", ", ", "&amp;INDEX('Form Responses'!$R$1:$R$200,12)&amp;", "))),1,""))</f>
        <v/>
      </c>
      <c r="O158">
        <f>IF(Wizards!$A$13="","",IF(OR(ISNUMBER(SEARCH(", "&amp;$B158&amp;", ", ", "&amp;INDEX('Form Responses'!$I$1:$Q$200,13,$A158)&amp;", ")),ISNUMBER(SEARCH(", "&amp;$B158&amp;", ", ", "&amp;INDEX('Form Responses'!$R$1:$R$200,13)&amp;", "))),1,""))</f>
        <v/>
      </c>
      <c r="P158">
        <f>IF(Wizards!$A$14="","",IF(OR(ISNUMBER(SEARCH(", "&amp;$B158&amp;", ", ", "&amp;INDEX('Form Responses'!$I$1:$Q$200,14,$A158)&amp;", ")),ISNUMBER(SEARCH(", "&amp;$B158&amp;", ", ", "&amp;INDEX('Form Responses'!$R$1:$R$200,14)&amp;", "))),1,""))</f>
        <v/>
      </c>
      <c r="Q158">
        <f>IF(Wizards!$A$15="","",IF(OR(ISNUMBER(SEARCH(", "&amp;$B158&amp;", ", ", "&amp;INDEX('Form Responses'!$I$1:$Q$200,15,$A158)&amp;", ")),ISNUMBER(SEARCH(", "&amp;$B158&amp;", ", ", "&amp;INDEX('Form Responses'!$R$1:$R$200,15)&amp;", "))),1,""))</f>
        <v/>
      </c>
      <c r="R158">
        <f>IF(Wizards!$A$16="","",IF(OR(ISNUMBER(SEARCH(", "&amp;$B158&amp;", ", ", "&amp;INDEX('Form Responses'!$I$1:$Q$200,16,$A158)&amp;", ")),ISNUMBER(SEARCH(", "&amp;$B158&amp;", ", ", "&amp;INDEX('Form Responses'!$R$1:$R$200,16)&amp;", "))),1,""))</f>
        <v/>
      </c>
      <c r="S158">
        <f>IF(Wizards!$A$17="","",IF(OR(ISNUMBER(SEARCH(", "&amp;$B158&amp;", ", ", "&amp;INDEX('Form Responses'!$I$1:$Q$200,17,$A158)&amp;", ")),ISNUMBER(SEARCH(", "&amp;$B158&amp;", ", ", "&amp;INDEX('Form Responses'!$R$1:$R$200,17)&amp;", "))),1,""))</f>
        <v/>
      </c>
      <c r="T158">
        <f>IF(Wizards!$A$18="","",IF(OR(ISNUMBER(SEARCH(", "&amp;$B158&amp;", ", ", "&amp;INDEX('Form Responses'!$I$1:$Q$200,18,$A158)&amp;", ")),ISNUMBER(SEARCH(", "&amp;$B158&amp;", ", ", "&amp;INDEX('Form Responses'!$R$1:$R$200,18)&amp;", "))),1,""))</f>
        <v/>
      </c>
      <c r="U158">
        <f>IF(Wizards!$A$19="","",IF(OR(ISNUMBER(SEARCH(", "&amp;$B158&amp;", ", ", "&amp;INDEX('Form Responses'!$I$1:$Q$200,19,$A158)&amp;", ")),ISNUMBER(SEARCH(", "&amp;$B158&amp;", ", ", "&amp;INDEX('Form Responses'!$R$1:$R$200,19)&amp;", "))),1,""))</f>
        <v/>
      </c>
      <c r="V158">
        <f>IF(Wizards!$A$20="","",IF(OR(ISNUMBER(SEARCH(", "&amp;$B158&amp;", ", ", "&amp;INDEX('Form Responses'!$I$1:$Q$200,20,$A158)&amp;", ")),ISNUMBER(SEARCH(", "&amp;$B158&amp;", ", ", "&amp;INDEX('Form Responses'!$R$1:$R$200,20)&amp;", "))),1,""))</f>
        <v/>
      </c>
      <c r="W158">
        <f>IF(Wizards!$A$21="","",IF(OR(ISNUMBER(SEARCH(", "&amp;$B158&amp;", ", ", "&amp;INDEX('Form Responses'!$I$1:$Q$200,21,$A158)&amp;", ")),ISNUMBER(SEARCH(", "&amp;$B158&amp;", ", ", "&amp;INDEX('Form Responses'!$R$1:$R$200,21)&amp;", "))),1,""))</f>
        <v/>
      </c>
      <c r="X158">
        <f>IF(Wizards!$A$22="","",IF(OR(ISNUMBER(SEARCH(", "&amp;$B158&amp;", ", ", "&amp;INDEX('Form Responses'!$I$1:$Q$200,22,$A158)&amp;", ")),ISNUMBER(SEARCH(", "&amp;$B158&amp;", ", ", "&amp;INDEX('Form Responses'!$R$1:$R$200,22)&amp;", "))),1,""))</f>
        <v/>
      </c>
      <c r="Y158">
        <f>IF(Wizards!$A$23="","",IF(OR(ISNUMBER(SEARCH(", "&amp;$B158&amp;", ", ", "&amp;INDEX('Form Responses'!$I$1:$Q$200,23,$A158)&amp;", ")),ISNUMBER(SEARCH(", "&amp;$B158&amp;", ", ", "&amp;INDEX('Form Responses'!$R$1:$R$200,23)&amp;", "))),1,""))</f>
        <v/>
      </c>
      <c r="Z158">
        <f>IF(Wizards!$A$24="","",IF(OR(ISNUMBER(SEARCH(", "&amp;$B158&amp;", ", ", "&amp;INDEX('Form Responses'!$I$1:$Q$200,24,$A158)&amp;", ")),ISNUMBER(SEARCH(", "&amp;$B158&amp;", ", ", "&amp;INDEX('Form Responses'!$R$1:$R$200,24)&amp;", "))),1,""))</f>
        <v/>
      </c>
      <c r="AA158">
        <f>IF(Wizards!$A$25="","",IF(OR(ISNUMBER(SEARCH(", "&amp;$B158&amp;", ", ", "&amp;INDEX('Form Responses'!$I$1:$Q$200,25,$A158)&amp;", ")),ISNUMBER(SEARCH(", "&amp;$B158&amp;", ", ", "&amp;INDEX('Form Responses'!$R$1:$R$200,25)&amp;", "))),1,""))</f>
        <v/>
      </c>
      <c r="AB158">
        <f>IF(D158=1,", "&amp;D$1,"")</f>
        <v/>
      </c>
      <c r="AC158">
        <f>IF(E158=1,", "&amp;E$1,"")</f>
        <v/>
      </c>
      <c r="AD158">
        <f>IF(F158=1,", "&amp;F$1,"")</f>
        <v/>
      </c>
      <c r="AE158">
        <f>IF(G158=1,", "&amp;G$1,"")</f>
        <v/>
      </c>
      <c r="AF158">
        <f>IF(H158=1,", "&amp;H$1,"")</f>
        <v/>
      </c>
      <c r="AG158">
        <f>IF(I158=1,", "&amp;I$1,"")</f>
        <v/>
      </c>
      <c r="AH158">
        <f>IF(J158=1,", "&amp;J$1,"")</f>
        <v/>
      </c>
      <c r="AI158">
        <f>IF(K158=1,", "&amp;K$1,"")</f>
        <v/>
      </c>
      <c r="AJ158">
        <f>IF(L158=1,", "&amp;L$1,"")</f>
        <v/>
      </c>
      <c r="AK158">
        <f>IF(M158=1,", "&amp;M$1,"")</f>
        <v/>
      </c>
      <c r="AL158">
        <f>IF(N158=1,", "&amp;N$1,"")</f>
        <v/>
      </c>
      <c r="AM158">
        <f>IF(O158=1,", "&amp;O$1,"")</f>
        <v/>
      </c>
      <c r="AN158">
        <f>IF(P158=1,", "&amp;P$1,"")</f>
        <v/>
      </c>
      <c r="AO158">
        <f>IF(Q158=1,", "&amp;Q$1,"")</f>
        <v/>
      </c>
      <c r="AP158">
        <f>IF(R158=1,", "&amp;R$1,"")</f>
        <v/>
      </c>
      <c r="AQ158">
        <f>IF(S158=1,", "&amp;S$1,"")</f>
        <v/>
      </c>
      <c r="AR158">
        <f>IF(T158=1,", "&amp;T$1,"")</f>
        <v/>
      </c>
      <c r="AS158">
        <f>IF(U158=1,", "&amp;U$1,"")</f>
        <v/>
      </c>
      <c r="AT158">
        <f>IF(V158=1,", "&amp;V$1,"")</f>
        <v/>
      </c>
      <c r="AU158">
        <f>IF(W158=1,", "&amp;W$1,"")</f>
        <v/>
      </c>
      <c r="AV158">
        <f>IF(X158=1,", "&amp;X$1,"")</f>
        <v/>
      </c>
      <c r="AW158">
        <f>IF(Y158=1,", "&amp;Y$1,"")</f>
        <v/>
      </c>
      <c r="AX158">
        <f>IF(Z158=1,", "&amp;Z$1,"")</f>
        <v/>
      </c>
      <c r="AY158">
        <f>IF(AA158=1,", "&amp;AA$1,"")</f>
        <v/>
      </c>
      <c r="AZ158">
        <f>MID($AB158&amp;$AC158&amp;$AD158&amp;$AE158&amp;$AF158&amp;$AG158&amp;$AH158&amp;$AI158&amp;$AJ158&amp;$AK158&amp;$AL158&amp;$AM158&amp;$AN158&amp;$AO158&amp;$AP158&amp;$AQ158&amp;$AR158&amp;$AS158&amp;$AT158&amp;$AU158&amp;$AV158&amp;$AW158&amp;$AX158&amp;$AY158,3,32767)</f>
        <v/>
      </c>
      <c r="BA158">
        <f>COUNT($D158:$AA158)</f>
        <v/>
      </c>
    </row>
    <row r="159">
      <c r="A159" t="n">
        <v>3</v>
      </c>
      <c r="B159" t="inlineStr">
        <is>
          <t>Water Breathing</t>
        </is>
      </c>
      <c r="C159" t="inlineStr">
        <is>
          <t>Transmutation</t>
        </is>
      </c>
      <c r="D159">
        <f>IF(Wizards!$A$2="","",IF(OR(ISNUMBER(SEARCH(", "&amp;$B159&amp;", ", ", "&amp;INDEX('Form Responses'!$I$1:$Q$200,2,$A159)&amp;", ")),ISNUMBER(SEARCH(", "&amp;$B159&amp;", ", ", "&amp;INDEX('Form Responses'!$R$1:$R$200,2)&amp;", "))),1,""))</f>
        <v/>
      </c>
      <c r="E159">
        <f>IF(Wizards!$A$3="","",IF(OR(ISNUMBER(SEARCH(", "&amp;$B159&amp;", ", ", "&amp;INDEX('Form Responses'!$I$1:$Q$200,3,$A159)&amp;", ")),ISNUMBER(SEARCH(", "&amp;$B159&amp;", ", ", "&amp;INDEX('Form Responses'!$R$1:$R$200,3)&amp;", "))),1,""))</f>
        <v/>
      </c>
      <c r="F159">
        <f>IF(Wizards!$A$4="","",IF(OR(ISNUMBER(SEARCH(", "&amp;$B159&amp;", ", ", "&amp;INDEX('Form Responses'!$I$1:$Q$200,4,$A159)&amp;", ")),ISNUMBER(SEARCH(", "&amp;$B159&amp;", ", ", "&amp;INDEX('Form Responses'!$R$1:$R$200,4)&amp;", "))),1,""))</f>
        <v/>
      </c>
      <c r="G159">
        <f>IF(Wizards!$A$5="","",IF(OR(ISNUMBER(SEARCH(", "&amp;$B159&amp;", ", ", "&amp;INDEX('Form Responses'!$I$1:$Q$200,5,$A159)&amp;", ")),ISNUMBER(SEARCH(", "&amp;$B159&amp;", ", ", "&amp;INDEX('Form Responses'!$R$1:$R$200,5)&amp;", "))),1,""))</f>
        <v/>
      </c>
      <c r="H159">
        <f>IF(Wizards!$A$6="","",IF(OR(ISNUMBER(SEARCH(", "&amp;$B159&amp;", ", ", "&amp;INDEX('Form Responses'!$I$1:$Q$200,6,$A159)&amp;", ")),ISNUMBER(SEARCH(", "&amp;$B159&amp;", ", ", "&amp;INDEX('Form Responses'!$R$1:$R$200,6)&amp;", "))),1,""))</f>
        <v/>
      </c>
      <c r="I159">
        <f>IF(Wizards!$A$7="","",IF(OR(ISNUMBER(SEARCH(", "&amp;$B159&amp;", ", ", "&amp;INDEX('Form Responses'!$I$1:$Q$200,7,$A159)&amp;", ")),ISNUMBER(SEARCH(", "&amp;$B159&amp;", ", ", "&amp;INDEX('Form Responses'!$R$1:$R$200,7)&amp;", "))),1,""))</f>
        <v/>
      </c>
      <c r="J159">
        <f>IF(Wizards!$A$8="","",IF(OR(ISNUMBER(SEARCH(", "&amp;$B159&amp;", ", ", "&amp;INDEX('Form Responses'!$I$1:$Q$200,8,$A159)&amp;", ")),ISNUMBER(SEARCH(", "&amp;$B159&amp;", ", ", "&amp;INDEX('Form Responses'!$R$1:$R$200,8)&amp;", "))),1,""))</f>
        <v/>
      </c>
      <c r="K159">
        <f>IF(Wizards!$A$9="","",IF(OR(ISNUMBER(SEARCH(", "&amp;$B159&amp;", ", ", "&amp;INDEX('Form Responses'!$I$1:$Q$200,9,$A159)&amp;", ")),ISNUMBER(SEARCH(", "&amp;$B159&amp;", ", ", "&amp;INDEX('Form Responses'!$R$1:$R$200,9)&amp;", "))),1,""))</f>
        <v/>
      </c>
      <c r="L159">
        <f>IF(Wizards!$A$10="","",IF(OR(ISNUMBER(SEARCH(", "&amp;$B159&amp;", ", ", "&amp;INDEX('Form Responses'!$I$1:$Q$200,10,$A159)&amp;", ")),ISNUMBER(SEARCH(", "&amp;$B159&amp;", ", ", "&amp;INDEX('Form Responses'!$R$1:$R$200,10)&amp;", "))),1,""))</f>
        <v/>
      </c>
      <c r="M159">
        <f>IF(Wizards!$A$11="","",IF(OR(ISNUMBER(SEARCH(", "&amp;$B159&amp;", ", ", "&amp;INDEX('Form Responses'!$I$1:$Q$200,11,$A159)&amp;", ")),ISNUMBER(SEARCH(", "&amp;$B159&amp;", ", ", "&amp;INDEX('Form Responses'!$R$1:$R$200,11)&amp;", "))),1,""))</f>
        <v/>
      </c>
      <c r="N159">
        <f>IF(Wizards!$A$12="","",IF(OR(ISNUMBER(SEARCH(", "&amp;$B159&amp;", ", ", "&amp;INDEX('Form Responses'!$I$1:$Q$200,12,$A159)&amp;", ")),ISNUMBER(SEARCH(", "&amp;$B159&amp;", ", ", "&amp;INDEX('Form Responses'!$R$1:$R$200,12)&amp;", "))),1,""))</f>
        <v/>
      </c>
      <c r="O159">
        <f>IF(Wizards!$A$13="","",IF(OR(ISNUMBER(SEARCH(", "&amp;$B159&amp;", ", ", "&amp;INDEX('Form Responses'!$I$1:$Q$200,13,$A159)&amp;", ")),ISNUMBER(SEARCH(", "&amp;$B159&amp;", ", ", "&amp;INDEX('Form Responses'!$R$1:$R$200,13)&amp;", "))),1,""))</f>
        <v/>
      </c>
      <c r="P159">
        <f>IF(Wizards!$A$14="","",IF(OR(ISNUMBER(SEARCH(", "&amp;$B159&amp;", ", ", "&amp;INDEX('Form Responses'!$I$1:$Q$200,14,$A159)&amp;", ")),ISNUMBER(SEARCH(", "&amp;$B159&amp;", ", ", "&amp;INDEX('Form Responses'!$R$1:$R$200,14)&amp;", "))),1,""))</f>
        <v/>
      </c>
      <c r="Q159">
        <f>IF(Wizards!$A$15="","",IF(OR(ISNUMBER(SEARCH(", "&amp;$B159&amp;", ", ", "&amp;INDEX('Form Responses'!$I$1:$Q$200,15,$A159)&amp;", ")),ISNUMBER(SEARCH(", "&amp;$B159&amp;", ", ", "&amp;INDEX('Form Responses'!$R$1:$R$200,15)&amp;", "))),1,""))</f>
        <v/>
      </c>
      <c r="R159">
        <f>IF(Wizards!$A$16="","",IF(OR(ISNUMBER(SEARCH(", "&amp;$B159&amp;", ", ", "&amp;INDEX('Form Responses'!$I$1:$Q$200,16,$A159)&amp;", ")),ISNUMBER(SEARCH(", "&amp;$B159&amp;", ", ", "&amp;INDEX('Form Responses'!$R$1:$R$200,16)&amp;", "))),1,""))</f>
        <v/>
      </c>
      <c r="S159">
        <f>IF(Wizards!$A$17="","",IF(OR(ISNUMBER(SEARCH(", "&amp;$B159&amp;", ", ", "&amp;INDEX('Form Responses'!$I$1:$Q$200,17,$A159)&amp;", ")),ISNUMBER(SEARCH(", "&amp;$B159&amp;", ", ", "&amp;INDEX('Form Responses'!$R$1:$R$200,17)&amp;", "))),1,""))</f>
        <v/>
      </c>
      <c r="T159">
        <f>IF(Wizards!$A$18="","",IF(OR(ISNUMBER(SEARCH(", "&amp;$B159&amp;", ", ", "&amp;INDEX('Form Responses'!$I$1:$Q$200,18,$A159)&amp;", ")),ISNUMBER(SEARCH(", "&amp;$B159&amp;", ", ", "&amp;INDEX('Form Responses'!$R$1:$R$200,18)&amp;", "))),1,""))</f>
        <v/>
      </c>
      <c r="U159">
        <f>IF(Wizards!$A$19="","",IF(OR(ISNUMBER(SEARCH(", "&amp;$B159&amp;", ", ", "&amp;INDEX('Form Responses'!$I$1:$Q$200,19,$A159)&amp;", ")),ISNUMBER(SEARCH(", "&amp;$B159&amp;", ", ", "&amp;INDEX('Form Responses'!$R$1:$R$200,19)&amp;", "))),1,""))</f>
        <v/>
      </c>
      <c r="V159">
        <f>IF(Wizards!$A$20="","",IF(OR(ISNUMBER(SEARCH(", "&amp;$B159&amp;", ", ", "&amp;INDEX('Form Responses'!$I$1:$Q$200,20,$A159)&amp;", ")),ISNUMBER(SEARCH(", "&amp;$B159&amp;", ", ", "&amp;INDEX('Form Responses'!$R$1:$R$200,20)&amp;", "))),1,""))</f>
        <v/>
      </c>
      <c r="W159">
        <f>IF(Wizards!$A$21="","",IF(OR(ISNUMBER(SEARCH(", "&amp;$B159&amp;", ", ", "&amp;INDEX('Form Responses'!$I$1:$Q$200,21,$A159)&amp;", ")),ISNUMBER(SEARCH(", "&amp;$B159&amp;", ", ", "&amp;INDEX('Form Responses'!$R$1:$R$200,21)&amp;", "))),1,""))</f>
        <v/>
      </c>
      <c r="X159">
        <f>IF(Wizards!$A$22="","",IF(OR(ISNUMBER(SEARCH(", "&amp;$B159&amp;", ", ", "&amp;INDEX('Form Responses'!$I$1:$Q$200,22,$A159)&amp;", ")),ISNUMBER(SEARCH(", "&amp;$B159&amp;", ", ", "&amp;INDEX('Form Responses'!$R$1:$R$200,22)&amp;", "))),1,""))</f>
        <v/>
      </c>
      <c r="Y159">
        <f>IF(Wizards!$A$23="","",IF(OR(ISNUMBER(SEARCH(", "&amp;$B159&amp;", ", ", "&amp;INDEX('Form Responses'!$I$1:$Q$200,23,$A159)&amp;", ")),ISNUMBER(SEARCH(", "&amp;$B159&amp;", ", ", "&amp;INDEX('Form Responses'!$R$1:$R$200,23)&amp;", "))),1,""))</f>
        <v/>
      </c>
      <c r="Z159">
        <f>IF(Wizards!$A$24="","",IF(OR(ISNUMBER(SEARCH(", "&amp;$B159&amp;", ", ", "&amp;INDEX('Form Responses'!$I$1:$Q$200,24,$A159)&amp;", ")),ISNUMBER(SEARCH(", "&amp;$B159&amp;", ", ", "&amp;INDEX('Form Responses'!$R$1:$R$200,24)&amp;", "))),1,""))</f>
        <v/>
      </c>
      <c r="AA159">
        <f>IF(Wizards!$A$25="","",IF(OR(ISNUMBER(SEARCH(", "&amp;$B159&amp;", ", ", "&amp;INDEX('Form Responses'!$I$1:$Q$200,25,$A159)&amp;", ")),ISNUMBER(SEARCH(", "&amp;$B159&amp;", ", ", "&amp;INDEX('Form Responses'!$R$1:$R$200,25)&amp;", "))),1,""))</f>
        <v/>
      </c>
      <c r="AB159">
        <f>IF(D159=1,", "&amp;D$1,"")</f>
        <v/>
      </c>
      <c r="AC159">
        <f>IF(E159=1,", "&amp;E$1,"")</f>
        <v/>
      </c>
      <c r="AD159">
        <f>IF(F159=1,", "&amp;F$1,"")</f>
        <v/>
      </c>
      <c r="AE159">
        <f>IF(G159=1,", "&amp;G$1,"")</f>
        <v/>
      </c>
      <c r="AF159">
        <f>IF(H159=1,", "&amp;H$1,"")</f>
        <v/>
      </c>
      <c r="AG159">
        <f>IF(I159=1,", "&amp;I$1,"")</f>
        <v/>
      </c>
      <c r="AH159">
        <f>IF(J159=1,", "&amp;J$1,"")</f>
        <v/>
      </c>
      <c r="AI159">
        <f>IF(K159=1,", "&amp;K$1,"")</f>
        <v/>
      </c>
      <c r="AJ159">
        <f>IF(L159=1,", "&amp;L$1,"")</f>
        <v/>
      </c>
      <c r="AK159">
        <f>IF(M159=1,", "&amp;M$1,"")</f>
        <v/>
      </c>
      <c r="AL159">
        <f>IF(N159=1,", "&amp;N$1,"")</f>
        <v/>
      </c>
      <c r="AM159">
        <f>IF(O159=1,", "&amp;O$1,"")</f>
        <v/>
      </c>
      <c r="AN159">
        <f>IF(P159=1,", "&amp;P$1,"")</f>
        <v/>
      </c>
      <c r="AO159">
        <f>IF(Q159=1,", "&amp;Q$1,"")</f>
        <v/>
      </c>
      <c r="AP159">
        <f>IF(R159=1,", "&amp;R$1,"")</f>
        <v/>
      </c>
      <c r="AQ159">
        <f>IF(S159=1,", "&amp;S$1,"")</f>
        <v/>
      </c>
      <c r="AR159">
        <f>IF(T159=1,", "&amp;T$1,"")</f>
        <v/>
      </c>
      <c r="AS159">
        <f>IF(U159=1,", "&amp;U$1,"")</f>
        <v/>
      </c>
      <c r="AT159">
        <f>IF(V159=1,", "&amp;V$1,"")</f>
        <v/>
      </c>
      <c r="AU159">
        <f>IF(W159=1,", "&amp;W$1,"")</f>
        <v/>
      </c>
      <c r="AV159">
        <f>IF(X159=1,", "&amp;X$1,"")</f>
        <v/>
      </c>
      <c r="AW159">
        <f>IF(Y159=1,", "&amp;Y$1,"")</f>
        <v/>
      </c>
      <c r="AX159">
        <f>IF(Z159=1,", "&amp;Z$1,"")</f>
        <v/>
      </c>
      <c r="AY159">
        <f>IF(AA159=1,", "&amp;AA$1,"")</f>
        <v/>
      </c>
      <c r="AZ159">
        <f>MID($AB159&amp;$AC159&amp;$AD159&amp;$AE159&amp;$AF159&amp;$AG159&amp;$AH159&amp;$AI159&amp;$AJ159&amp;$AK159&amp;$AL159&amp;$AM159&amp;$AN159&amp;$AO159&amp;$AP159&amp;$AQ159&amp;$AR159&amp;$AS159&amp;$AT159&amp;$AU159&amp;$AV159&amp;$AW159&amp;$AX159&amp;$AY159,3,32767)</f>
        <v/>
      </c>
      <c r="BA159">
        <f>COUNT($D159:$AA159)</f>
        <v/>
      </c>
    </row>
    <row r="160">
      <c r="A160" t="n">
        <v>4</v>
      </c>
      <c r="B160" t="inlineStr">
        <is>
          <t>Arcane Eye</t>
        </is>
      </c>
      <c r="C160" t="inlineStr">
        <is>
          <t>Divination</t>
        </is>
      </c>
      <c r="D160">
        <f>IF(Wizards!$A$2="","",IF(OR(ISNUMBER(SEARCH(", "&amp;$B160&amp;", ", ", "&amp;INDEX('Form Responses'!$I$1:$Q$200,2,$A160)&amp;", ")),ISNUMBER(SEARCH(", "&amp;$B160&amp;", ", ", "&amp;INDEX('Form Responses'!$R$1:$R$200,2)&amp;", "))),1,""))</f>
        <v/>
      </c>
      <c r="E160">
        <f>IF(Wizards!$A$3="","",IF(OR(ISNUMBER(SEARCH(", "&amp;$B160&amp;", ", ", "&amp;INDEX('Form Responses'!$I$1:$Q$200,3,$A160)&amp;", ")),ISNUMBER(SEARCH(", "&amp;$B160&amp;", ", ", "&amp;INDEX('Form Responses'!$R$1:$R$200,3)&amp;", "))),1,""))</f>
        <v/>
      </c>
      <c r="F160">
        <f>IF(Wizards!$A$4="","",IF(OR(ISNUMBER(SEARCH(", "&amp;$B160&amp;", ", ", "&amp;INDEX('Form Responses'!$I$1:$Q$200,4,$A160)&amp;", ")),ISNUMBER(SEARCH(", "&amp;$B160&amp;", ", ", "&amp;INDEX('Form Responses'!$R$1:$R$200,4)&amp;", "))),1,""))</f>
        <v/>
      </c>
      <c r="G160">
        <f>IF(Wizards!$A$5="","",IF(OR(ISNUMBER(SEARCH(", "&amp;$B160&amp;", ", ", "&amp;INDEX('Form Responses'!$I$1:$Q$200,5,$A160)&amp;", ")),ISNUMBER(SEARCH(", "&amp;$B160&amp;", ", ", "&amp;INDEX('Form Responses'!$R$1:$R$200,5)&amp;", "))),1,""))</f>
        <v/>
      </c>
      <c r="H160">
        <f>IF(Wizards!$A$6="","",IF(OR(ISNUMBER(SEARCH(", "&amp;$B160&amp;", ", ", "&amp;INDEX('Form Responses'!$I$1:$Q$200,6,$A160)&amp;", ")),ISNUMBER(SEARCH(", "&amp;$B160&amp;", ", ", "&amp;INDEX('Form Responses'!$R$1:$R$200,6)&amp;", "))),1,""))</f>
        <v/>
      </c>
      <c r="I160">
        <f>IF(Wizards!$A$7="","",IF(OR(ISNUMBER(SEARCH(", "&amp;$B160&amp;", ", ", "&amp;INDEX('Form Responses'!$I$1:$Q$200,7,$A160)&amp;", ")),ISNUMBER(SEARCH(", "&amp;$B160&amp;", ", ", "&amp;INDEX('Form Responses'!$R$1:$R$200,7)&amp;", "))),1,""))</f>
        <v/>
      </c>
      <c r="J160">
        <f>IF(Wizards!$A$8="","",IF(OR(ISNUMBER(SEARCH(", "&amp;$B160&amp;", ", ", "&amp;INDEX('Form Responses'!$I$1:$Q$200,8,$A160)&amp;", ")),ISNUMBER(SEARCH(", "&amp;$B160&amp;", ", ", "&amp;INDEX('Form Responses'!$R$1:$R$200,8)&amp;", "))),1,""))</f>
        <v/>
      </c>
      <c r="K160">
        <f>IF(Wizards!$A$9="","",IF(OR(ISNUMBER(SEARCH(", "&amp;$B160&amp;", ", ", "&amp;INDEX('Form Responses'!$I$1:$Q$200,9,$A160)&amp;", ")),ISNUMBER(SEARCH(", "&amp;$B160&amp;", ", ", "&amp;INDEX('Form Responses'!$R$1:$R$200,9)&amp;", "))),1,""))</f>
        <v/>
      </c>
      <c r="L160">
        <f>IF(Wizards!$A$10="","",IF(OR(ISNUMBER(SEARCH(", "&amp;$B160&amp;", ", ", "&amp;INDEX('Form Responses'!$I$1:$Q$200,10,$A160)&amp;", ")),ISNUMBER(SEARCH(", "&amp;$B160&amp;", ", ", "&amp;INDEX('Form Responses'!$R$1:$R$200,10)&amp;", "))),1,""))</f>
        <v/>
      </c>
      <c r="M160">
        <f>IF(Wizards!$A$11="","",IF(OR(ISNUMBER(SEARCH(", "&amp;$B160&amp;", ", ", "&amp;INDEX('Form Responses'!$I$1:$Q$200,11,$A160)&amp;", ")),ISNUMBER(SEARCH(", "&amp;$B160&amp;", ", ", "&amp;INDEX('Form Responses'!$R$1:$R$200,11)&amp;", "))),1,""))</f>
        <v/>
      </c>
      <c r="N160">
        <f>IF(Wizards!$A$12="","",IF(OR(ISNUMBER(SEARCH(", "&amp;$B160&amp;", ", ", "&amp;INDEX('Form Responses'!$I$1:$Q$200,12,$A160)&amp;", ")),ISNUMBER(SEARCH(", "&amp;$B160&amp;", ", ", "&amp;INDEX('Form Responses'!$R$1:$R$200,12)&amp;", "))),1,""))</f>
        <v/>
      </c>
      <c r="O160">
        <f>IF(Wizards!$A$13="","",IF(OR(ISNUMBER(SEARCH(", "&amp;$B160&amp;", ", ", "&amp;INDEX('Form Responses'!$I$1:$Q$200,13,$A160)&amp;", ")),ISNUMBER(SEARCH(", "&amp;$B160&amp;", ", ", "&amp;INDEX('Form Responses'!$R$1:$R$200,13)&amp;", "))),1,""))</f>
        <v/>
      </c>
      <c r="P160">
        <f>IF(Wizards!$A$14="","",IF(OR(ISNUMBER(SEARCH(", "&amp;$B160&amp;", ", ", "&amp;INDEX('Form Responses'!$I$1:$Q$200,14,$A160)&amp;", ")),ISNUMBER(SEARCH(", "&amp;$B160&amp;", ", ", "&amp;INDEX('Form Responses'!$R$1:$R$200,14)&amp;", "))),1,""))</f>
        <v/>
      </c>
      <c r="Q160">
        <f>IF(Wizards!$A$15="","",IF(OR(ISNUMBER(SEARCH(", "&amp;$B160&amp;", ", ", "&amp;INDEX('Form Responses'!$I$1:$Q$200,15,$A160)&amp;", ")),ISNUMBER(SEARCH(", "&amp;$B160&amp;", ", ", "&amp;INDEX('Form Responses'!$R$1:$R$200,15)&amp;", "))),1,""))</f>
        <v/>
      </c>
      <c r="R160">
        <f>IF(Wizards!$A$16="","",IF(OR(ISNUMBER(SEARCH(", "&amp;$B160&amp;", ", ", "&amp;INDEX('Form Responses'!$I$1:$Q$200,16,$A160)&amp;", ")),ISNUMBER(SEARCH(", "&amp;$B160&amp;", ", ", "&amp;INDEX('Form Responses'!$R$1:$R$200,16)&amp;", "))),1,""))</f>
        <v/>
      </c>
      <c r="S160">
        <f>IF(Wizards!$A$17="","",IF(OR(ISNUMBER(SEARCH(", "&amp;$B160&amp;", ", ", "&amp;INDEX('Form Responses'!$I$1:$Q$200,17,$A160)&amp;", ")),ISNUMBER(SEARCH(", "&amp;$B160&amp;", ", ", "&amp;INDEX('Form Responses'!$R$1:$R$200,17)&amp;", "))),1,""))</f>
        <v/>
      </c>
      <c r="T160">
        <f>IF(Wizards!$A$18="","",IF(OR(ISNUMBER(SEARCH(", "&amp;$B160&amp;", ", ", "&amp;INDEX('Form Responses'!$I$1:$Q$200,18,$A160)&amp;", ")),ISNUMBER(SEARCH(", "&amp;$B160&amp;", ", ", "&amp;INDEX('Form Responses'!$R$1:$R$200,18)&amp;", "))),1,""))</f>
        <v/>
      </c>
      <c r="U160">
        <f>IF(Wizards!$A$19="","",IF(OR(ISNUMBER(SEARCH(", "&amp;$B160&amp;", ", ", "&amp;INDEX('Form Responses'!$I$1:$Q$200,19,$A160)&amp;", ")),ISNUMBER(SEARCH(", "&amp;$B160&amp;", ", ", "&amp;INDEX('Form Responses'!$R$1:$R$200,19)&amp;", "))),1,""))</f>
        <v/>
      </c>
      <c r="V160">
        <f>IF(Wizards!$A$20="","",IF(OR(ISNUMBER(SEARCH(", "&amp;$B160&amp;", ", ", "&amp;INDEX('Form Responses'!$I$1:$Q$200,20,$A160)&amp;", ")),ISNUMBER(SEARCH(", "&amp;$B160&amp;", ", ", "&amp;INDEX('Form Responses'!$R$1:$R$200,20)&amp;", "))),1,""))</f>
        <v/>
      </c>
      <c r="W160">
        <f>IF(Wizards!$A$21="","",IF(OR(ISNUMBER(SEARCH(", "&amp;$B160&amp;", ", ", "&amp;INDEX('Form Responses'!$I$1:$Q$200,21,$A160)&amp;", ")),ISNUMBER(SEARCH(", "&amp;$B160&amp;", ", ", "&amp;INDEX('Form Responses'!$R$1:$R$200,21)&amp;", "))),1,""))</f>
        <v/>
      </c>
      <c r="X160">
        <f>IF(Wizards!$A$22="","",IF(OR(ISNUMBER(SEARCH(", "&amp;$B160&amp;", ", ", "&amp;INDEX('Form Responses'!$I$1:$Q$200,22,$A160)&amp;", ")),ISNUMBER(SEARCH(", "&amp;$B160&amp;", ", ", "&amp;INDEX('Form Responses'!$R$1:$R$200,22)&amp;", "))),1,""))</f>
        <v/>
      </c>
      <c r="Y160">
        <f>IF(Wizards!$A$23="","",IF(OR(ISNUMBER(SEARCH(", "&amp;$B160&amp;", ", ", "&amp;INDEX('Form Responses'!$I$1:$Q$200,23,$A160)&amp;", ")),ISNUMBER(SEARCH(", "&amp;$B160&amp;", ", ", "&amp;INDEX('Form Responses'!$R$1:$R$200,23)&amp;", "))),1,""))</f>
        <v/>
      </c>
      <c r="Z160">
        <f>IF(Wizards!$A$24="","",IF(OR(ISNUMBER(SEARCH(", "&amp;$B160&amp;", ", ", "&amp;INDEX('Form Responses'!$I$1:$Q$200,24,$A160)&amp;", ")),ISNUMBER(SEARCH(", "&amp;$B160&amp;", ", ", "&amp;INDEX('Form Responses'!$R$1:$R$200,24)&amp;", "))),1,""))</f>
        <v/>
      </c>
      <c r="AA160">
        <f>IF(Wizards!$A$25="","",IF(OR(ISNUMBER(SEARCH(", "&amp;$B160&amp;", ", ", "&amp;INDEX('Form Responses'!$I$1:$Q$200,25,$A160)&amp;", ")),ISNUMBER(SEARCH(", "&amp;$B160&amp;", ", ", "&amp;INDEX('Form Responses'!$R$1:$R$200,25)&amp;", "))),1,""))</f>
        <v/>
      </c>
      <c r="AB160">
        <f>IF(D160=1,", "&amp;D$1,"")</f>
        <v/>
      </c>
      <c r="AC160">
        <f>IF(E160=1,", "&amp;E$1,"")</f>
        <v/>
      </c>
      <c r="AD160">
        <f>IF(F160=1,", "&amp;F$1,"")</f>
        <v/>
      </c>
      <c r="AE160">
        <f>IF(G160=1,", "&amp;G$1,"")</f>
        <v/>
      </c>
      <c r="AF160">
        <f>IF(H160=1,", "&amp;H$1,"")</f>
        <v/>
      </c>
      <c r="AG160">
        <f>IF(I160=1,", "&amp;I$1,"")</f>
        <v/>
      </c>
      <c r="AH160">
        <f>IF(J160=1,", "&amp;J$1,"")</f>
        <v/>
      </c>
      <c r="AI160">
        <f>IF(K160=1,", "&amp;K$1,"")</f>
        <v/>
      </c>
      <c r="AJ160">
        <f>IF(L160=1,", "&amp;L$1,"")</f>
        <v/>
      </c>
      <c r="AK160">
        <f>IF(M160=1,", "&amp;M$1,"")</f>
        <v/>
      </c>
      <c r="AL160">
        <f>IF(N160=1,", "&amp;N$1,"")</f>
        <v/>
      </c>
      <c r="AM160">
        <f>IF(O160=1,", "&amp;O$1,"")</f>
        <v/>
      </c>
      <c r="AN160">
        <f>IF(P160=1,", "&amp;P$1,"")</f>
        <v/>
      </c>
      <c r="AO160">
        <f>IF(Q160=1,", "&amp;Q$1,"")</f>
        <v/>
      </c>
      <c r="AP160">
        <f>IF(R160=1,", "&amp;R$1,"")</f>
        <v/>
      </c>
      <c r="AQ160">
        <f>IF(S160=1,", "&amp;S$1,"")</f>
        <v/>
      </c>
      <c r="AR160">
        <f>IF(T160=1,", "&amp;T$1,"")</f>
        <v/>
      </c>
      <c r="AS160">
        <f>IF(U160=1,", "&amp;U$1,"")</f>
        <v/>
      </c>
      <c r="AT160">
        <f>IF(V160=1,", "&amp;V$1,"")</f>
        <v/>
      </c>
      <c r="AU160">
        <f>IF(W160=1,", "&amp;W$1,"")</f>
        <v/>
      </c>
      <c r="AV160">
        <f>IF(X160=1,", "&amp;X$1,"")</f>
        <v/>
      </c>
      <c r="AW160">
        <f>IF(Y160=1,", "&amp;Y$1,"")</f>
        <v/>
      </c>
      <c r="AX160">
        <f>IF(Z160=1,", "&amp;Z$1,"")</f>
        <v/>
      </c>
      <c r="AY160">
        <f>IF(AA160=1,", "&amp;AA$1,"")</f>
        <v/>
      </c>
      <c r="AZ160">
        <f>MID($AB160&amp;$AC160&amp;$AD160&amp;$AE160&amp;$AF160&amp;$AG160&amp;$AH160&amp;$AI160&amp;$AJ160&amp;$AK160&amp;$AL160&amp;$AM160&amp;$AN160&amp;$AO160&amp;$AP160&amp;$AQ160&amp;$AR160&amp;$AS160&amp;$AT160&amp;$AU160&amp;$AV160&amp;$AW160&amp;$AX160&amp;$AY160,3,32767)</f>
        <v/>
      </c>
      <c r="BA160">
        <f>COUNT($D160:$AA160)</f>
        <v/>
      </c>
    </row>
    <row r="161">
      <c r="A161" t="n">
        <v>4</v>
      </c>
      <c r="B161" t="inlineStr">
        <is>
          <t>Backlash</t>
        </is>
      </c>
      <c r="C161" t="inlineStr">
        <is>
          <t>Abjuration</t>
        </is>
      </c>
      <c r="D161">
        <f>IF(Wizards!$A$2="","",IF(OR(ISNUMBER(SEARCH(", "&amp;$B161&amp;", ", ", "&amp;INDEX('Form Responses'!$I$1:$Q$200,2,$A161)&amp;", ")),ISNUMBER(SEARCH(", "&amp;$B161&amp;", ", ", "&amp;INDEX('Form Responses'!$R$1:$R$200,2)&amp;", "))),1,""))</f>
        <v/>
      </c>
      <c r="E161">
        <f>IF(Wizards!$A$3="","",IF(OR(ISNUMBER(SEARCH(", "&amp;$B161&amp;", ", ", "&amp;INDEX('Form Responses'!$I$1:$Q$200,3,$A161)&amp;", ")),ISNUMBER(SEARCH(", "&amp;$B161&amp;", ", ", "&amp;INDEX('Form Responses'!$R$1:$R$200,3)&amp;", "))),1,""))</f>
        <v/>
      </c>
      <c r="F161">
        <f>IF(Wizards!$A$4="","",IF(OR(ISNUMBER(SEARCH(", "&amp;$B161&amp;", ", ", "&amp;INDEX('Form Responses'!$I$1:$Q$200,4,$A161)&amp;", ")),ISNUMBER(SEARCH(", "&amp;$B161&amp;", ", ", "&amp;INDEX('Form Responses'!$R$1:$R$200,4)&amp;", "))),1,""))</f>
        <v/>
      </c>
      <c r="G161">
        <f>IF(Wizards!$A$5="","",IF(OR(ISNUMBER(SEARCH(", "&amp;$B161&amp;", ", ", "&amp;INDEX('Form Responses'!$I$1:$Q$200,5,$A161)&amp;", ")),ISNUMBER(SEARCH(", "&amp;$B161&amp;", ", ", "&amp;INDEX('Form Responses'!$R$1:$R$200,5)&amp;", "))),1,""))</f>
        <v/>
      </c>
      <c r="H161">
        <f>IF(Wizards!$A$6="","",IF(OR(ISNUMBER(SEARCH(", "&amp;$B161&amp;", ", ", "&amp;INDEX('Form Responses'!$I$1:$Q$200,6,$A161)&amp;", ")),ISNUMBER(SEARCH(", "&amp;$B161&amp;", ", ", "&amp;INDEX('Form Responses'!$R$1:$R$200,6)&amp;", "))),1,""))</f>
        <v/>
      </c>
      <c r="I161">
        <f>IF(Wizards!$A$7="","",IF(OR(ISNUMBER(SEARCH(", "&amp;$B161&amp;", ", ", "&amp;INDEX('Form Responses'!$I$1:$Q$200,7,$A161)&amp;", ")),ISNUMBER(SEARCH(", "&amp;$B161&amp;", ", ", "&amp;INDEX('Form Responses'!$R$1:$R$200,7)&amp;", "))),1,""))</f>
        <v/>
      </c>
      <c r="J161">
        <f>IF(Wizards!$A$8="","",IF(OR(ISNUMBER(SEARCH(", "&amp;$B161&amp;", ", ", "&amp;INDEX('Form Responses'!$I$1:$Q$200,8,$A161)&amp;", ")),ISNUMBER(SEARCH(", "&amp;$B161&amp;", ", ", "&amp;INDEX('Form Responses'!$R$1:$R$200,8)&amp;", "))),1,""))</f>
        <v/>
      </c>
      <c r="K161">
        <f>IF(Wizards!$A$9="","",IF(OR(ISNUMBER(SEARCH(", "&amp;$B161&amp;", ", ", "&amp;INDEX('Form Responses'!$I$1:$Q$200,9,$A161)&amp;", ")),ISNUMBER(SEARCH(", "&amp;$B161&amp;", ", ", "&amp;INDEX('Form Responses'!$R$1:$R$200,9)&amp;", "))),1,""))</f>
        <v/>
      </c>
      <c r="L161">
        <f>IF(Wizards!$A$10="","",IF(OR(ISNUMBER(SEARCH(", "&amp;$B161&amp;", ", ", "&amp;INDEX('Form Responses'!$I$1:$Q$200,10,$A161)&amp;", ")),ISNUMBER(SEARCH(", "&amp;$B161&amp;", ", ", "&amp;INDEX('Form Responses'!$R$1:$R$200,10)&amp;", "))),1,""))</f>
        <v/>
      </c>
      <c r="M161">
        <f>IF(Wizards!$A$11="","",IF(OR(ISNUMBER(SEARCH(", "&amp;$B161&amp;", ", ", "&amp;INDEX('Form Responses'!$I$1:$Q$200,11,$A161)&amp;", ")),ISNUMBER(SEARCH(", "&amp;$B161&amp;", ", ", "&amp;INDEX('Form Responses'!$R$1:$R$200,11)&amp;", "))),1,""))</f>
        <v/>
      </c>
      <c r="N161">
        <f>IF(Wizards!$A$12="","",IF(OR(ISNUMBER(SEARCH(", "&amp;$B161&amp;", ", ", "&amp;INDEX('Form Responses'!$I$1:$Q$200,12,$A161)&amp;", ")),ISNUMBER(SEARCH(", "&amp;$B161&amp;", ", ", "&amp;INDEX('Form Responses'!$R$1:$R$200,12)&amp;", "))),1,""))</f>
        <v/>
      </c>
      <c r="O161">
        <f>IF(Wizards!$A$13="","",IF(OR(ISNUMBER(SEARCH(", "&amp;$B161&amp;", ", ", "&amp;INDEX('Form Responses'!$I$1:$Q$200,13,$A161)&amp;", ")),ISNUMBER(SEARCH(", "&amp;$B161&amp;", ", ", "&amp;INDEX('Form Responses'!$R$1:$R$200,13)&amp;", "))),1,""))</f>
        <v/>
      </c>
      <c r="P161">
        <f>IF(Wizards!$A$14="","",IF(OR(ISNUMBER(SEARCH(", "&amp;$B161&amp;", ", ", "&amp;INDEX('Form Responses'!$I$1:$Q$200,14,$A161)&amp;", ")),ISNUMBER(SEARCH(", "&amp;$B161&amp;", ", ", "&amp;INDEX('Form Responses'!$R$1:$R$200,14)&amp;", "))),1,""))</f>
        <v/>
      </c>
      <c r="Q161">
        <f>IF(Wizards!$A$15="","",IF(OR(ISNUMBER(SEARCH(", "&amp;$B161&amp;", ", ", "&amp;INDEX('Form Responses'!$I$1:$Q$200,15,$A161)&amp;", ")),ISNUMBER(SEARCH(", "&amp;$B161&amp;", ", ", "&amp;INDEX('Form Responses'!$R$1:$R$200,15)&amp;", "))),1,""))</f>
        <v/>
      </c>
      <c r="R161">
        <f>IF(Wizards!$A$16="","",IF(OR(ISNUMBER(SEARCH(", "&amp;$B161&amp;", ", ", "&amp;INDEX('Form Responses'!$I$1:$Q$200,16,$A161)&amp;", ")),ISNUMBER(SEARCH(", "&amp;$B161&amp;", ", ", "&amp;INDEX('Form Responses'!$R$1:$R$200,16)&amp;", "))),1,""))</f>
        <v/>
      </c>
      <c r="S161">
        <f>IF(Wizards!$A$17="","",IF(OR(ISNUMBER(SEARCH(", "&amp;$B161&amp;", ", ", "&amp;INDEX('Form Responses'!$I$1:$Q$200,17,$A161)&amp;", ")),ISNUMBER(SEARCH(", "&amp;$B161&amp;", ", ", "&amp;INDEX('Form Responses'!$R$1:$R$200,17)&amp;", "))),1,""))</f>
        <v/>
      </c>
      <c r="T161">
        <f>IF(Wizards!$A$18="","",IF(OR(ISNUMBER(SEARCH(", "&amp;$B161&amp;", ", ", "&amp;INDEX('Form Responses'!$I$1:$Q$200,18,$A161)&amp;", ")),ISNUMBER(SEARCH(", "&amp;$B161&amp;", ", ", "&amp;INDEX('Form Responses'!$R$1:$R$200,18)&amp;", "))),1,""))</f>
        <v/>
      </c>
      <c r="U161">
        <f>IF(Wizards!$A$19="","",IF(OR(ISNUMBER(SEARCH(", "&amp;$B161&amp;", ", ", "&amp;INDEX('Form Responses'!$I$1:$Q$200,19,$A161)&amp;", ")),ISNUMBER(SEARCH(", "&amp;$B161&amp;", ", ", "&amp;INDEX('Form Responses'!$R$1:$R$200,19)&amp;", "))),1,""))</f>
        <v/>
      </c>
      <c r="V161">
        <f>IF(Wizards!$A$20="","",IF(OR(ISNUMBER(SEARCH(", "&amp;$B161&amp;", ", ", "&amp;INDEX('Form Responses'!$I$1:$Q$200,20,$A161)&amp;", ")),ISNUMBER(SEARCH(", "&amp;$B161&amp;", ", ", "&amp;INDEX('Form Responses'!$R$1:$R$200,20)&amp;", "))),1,""))</f>
        <v/>
      </c>
      <c r="W161">
        <f>IF(Wizards!$A$21="","",IF(OR(ISNUMBER(SEARCH(", "&amp;$B161&amp;", ", ", "&amp;INDEX('Form Responses'!$I$1:$Q$200,21,$A161)&amp;", ")),ISNUMBER(SEARCH(", "&amp;$B161&amp;", ", ", "&amp;INDEX('Form Responses'!$R$1:$R$200,21)&amp;", "))),1,""))</f>
        <v/>
      </c>
      <c r="X161">
        <f>IF(Wizards!$A$22="","",IF(OR(ISNUMBER(SEARCH(", "&amp;$B161&amp;", ", ", "&amp;INDEX('Form Responses'!$I$1:$Q$200,22,$A161)&amp;", ")),ISNUMBER(SEARCH(", "&amp;$B161&amp;", ", ", "&amp;INDEX('Form Responses'!$R$1:$R$200,22)&amp;", "))),1,""))</f>
        <v/>
      </c>
      <c r="Y161">
        <f>IF(Wizards!$A$23="","",IF(OR(ISNUMBER(SEARCH(", "&amp;$B161&amp;", ", ", "&amp;INDEX('Form Responses'!$I$1:$Q$200,23,$A161)&amp;", ")),ISNUMBER(SEARCH(", "&amp;$B161&amp;", ", ", "&amp;INDEX('Form Responses'!$R$1:$R$200,23)&amp;", "))),1,""))</f>
        <v/>
      </c>
      <c r="Z161">
        <f>IF(Wizards!$A$24="","",IF(OR(ISNUMBER(SEARCH(", "&amp;$B161&amp;", ", ", "&amp;INDEX('Form Responses'!$I$1:$Q$200,24,$A161)&amp;", ")),ISNUMBER(SEARCH(", "&amp;$B161&amp;", ", ", "&amp;INDEX('Form Responses'!$R$1:$R$200,24)&amp;", "))),1,""))</f>
        <v/>
      </c>
      <c r="AA161">
        <f>IF(Wizards!$A$25="","",IF(OR(ISNUMBER(SEARCH(", "&amp;$B161&amp;", ", ", "&amp;INDEX('Form Responses'!$I$1:$Q$200,25,$A161)&amp;", ")),ISNUMBER(SEARCH(", "&amp;$B161&amp;", ", ", "&amp;INDEX('Form Responses'!$R$1:$R$200,25)&amp;", "))),1,""))</f>
        <v/>
      </c>
      <c r="AB161">
        <f>IF(D161=1,", "&amp;D$1,"")</f>
        <v/>
      </c>
      <c r="AC161">
        <f>IF(E161=1,", "&amp;E$1,"")</f>
        <v/>
      </c>
      <c r="AD161">
        <f>IF(F161=1,", "&amp;F$1,"")</f>
        <v/>
      </c>
      <c r="AE161">
        <f>IF(G161=1,", "&amp;G$1,"")</f>
        <v/>
      </c>
      <c r="AF161">
        <f>IF(H161=1,", "&amp;H$1,"")</f>
        <v/>
      </c>
      <c r="AG161">
        <f>IF(I161=1,", "&amp;I$1,"")</f>
        <v/>
      </c>
      <c r="AH161">
        <f>IF(J161=1,", "&amp;J$1,"")</f>
        <v/>
      </c>
      <c r="AI161">
        <f>IF(K161=1,", "&amp;K$1,"")</f>
        <v/>
      </c>
      <c r="AJ161">
        <f>IF(L161=1,", "&amp;L$1,"")</f>
        <v/>
      </c>
      <c r="AK161">
        <f>IF(M161=1,", "&amp;M$1,"")</f>
        <v/>
      </c>
      <c r="AL161">
        <f>IF(N161=1,", "&amp;N$1,"")</f>
        <v/>
      </c>
      <c r="AM161">
        <f>IF(O161=1,", "&amp;O$1,"")</f>
        <v/>
      </c>
      <c r="AN161">
        <f>IF(P161=1,", "&amp;P$1,"")</f>
        <v/>
      </c>
      <c r="AO161">
        <f>IF(Q161=1,", "&amp;Q$1,"")</f>
        <v/>
      </c>
      <c r="AP161">
        <f>IF(R161=1,", "&amp;R$1,"")</f>
        <v/>
      </c>
      <c r="AQ161">
        <f>IF(S161=1,", "&amp;S$1,"")</f>
        <v/>
      </c>
      <c r="AR161">
        <f>IF(T161=1,", "&amp;T$1,"")</f>
        <v/>
      </c>
      <c r="AS161">
        <f>IF(U161=1,", "&amp;U$1,"")</f>
        <v/>
      </c>
      <c r="AT161">
        <f>IF(V161=1,", "&amp;V$1,"")</f>
        <v/>
      </c>
      <c r="AU161">
        <f>IF(W161=1,", "&amp;W$1,"")</f>
        <v/>
      </c>
      <c r="AV161">
        <f>IF(X161=1,", "&amp;X$1,"")</f>
        <v/>
      </c>
      <c r="AW161">
        <f>IF(Y161=1,", "&amp;Y$1,"")</f>
        <v/>
      </c>
      <c r="AX161">
        <f>IF(Z161=1,", "&amp;Z$1,"")</f>
        <v/>
      </c>
      <c r="AY161">
        <f>IF(AA161=1,", "&amp;AA$1,"")</f>
        <v/>
      </c>
      <c r="AZ161">
        <f>MID($AB161&amp;$AC161&amp;$AD161&amp;$AE161&amp;$AF161&amp;$AG161&amp;$AH161&amp;$AI161&amp;$AJ161&amp;$AK161&amp;$AL161&amp;$AM161&amp;$AN161&amp;$AO161&amp;$AP161&amp;$AQ161&amp;$AR161&amp;$AS161&amp;$AT161&amp;$AU161&amp;$AV161&amp;$AW161&amp;$AX161&amp;$AY161,3,32767)</f>
        <v/>
      </c>
      <c r="BA161">
        <f>COUNT($D161:$AA161)</f>
        <v/>
      </c>
    </row>
    <row r="162">
      <c r="A162" t="n">
        <v>4</v>
      </c>
      <c r="B162" t="inlineStr">
        <is>
          <t>Banishment</t>
        </is>
      </c>
      <c r="C162" t="inlineStr">
        <is>
          <t>Abjuration</t>
        </is>
      </c>
      <c r="D162">
        <f>IF(Wizards!$A$2="","",IF(OR(ISNUMBER(SEARCH(", "&amp;$B162&amp;", ", ", "&amp;INDEX('Form Responses'!$I$1:$Q$200,2,$A162)&amp;", ")),ISNUMBER(SEARCH(", "&amp;$B162&amp;", ", ", "&amp;INDEX('Form Responses'!$R$1:$R$200,2)&amp;", "))),1,""))</f>
        <v/>
      </c>
      <c r="E162">
        <f>IF(Wizards!$A$3="","",IF(OR(ISNUMBER(SEARCH(", "&amp;$B162&amp;", ", ", "&amp;INDEX('Form Responses'!$I$1:$Q$200,3,$A162)&amp;", ")),ISNUMBER(SEARCH(", "&amp;$B162&amp;", ", ", "&amp;INDEX('Form Responses'!$R$1:$R$200,3)&amp;", "))),1,""))</f>
        <v/>
      </c>
      <c r="F162">
        <f>IF(Wizards!$A$4="","",IF(OR(ISNUMBER(SEARCH(", "&amp;$B162&amp;", ", ", "&amp;INDEX('Form Responses'!$I$1:$Q$200,4,$A162)&amp;", ")),ISNUMBER(SEARCH(", "&amp;$B162&amp;", ", ", "&amp;INDEX('Form Responses'!$R$1:$R$200,4)&amp;", "))),1,""))</f>
        <v/>
      </c>
      <c r="G162">
        <f>IF(Wizards!$A$5="","",IF(OR(ISNUMBER(SEARCH(", "&amp;$B162&amp;", ", ", "&amp;INDEX('Form Responses'!$I$1:$Q$200,5,$A162)&amp;", ")),ISNUMBER(SEARCH(", "&amp;$B162&amp;", ", ", "&amp;INDEX('Form Responses'!$R$1:$R$200,5)&amp;", "))),1,""))</f>
        <v/>
      </c>
      <c r="H162">
        <f>IF(Wizards!$A$6="","",IF(OR(ISNUMBER(SEARCH(", "&amp;$B162&amp;", ", ", "&amp;INDEX('Form Responses'!$I$1:$Q$200,6,$A162)&amp;", ")),ISNUMBER(SEARCH(", "&amp;$B162&amp;", ", ", "&amp;INDEX('Form Responses'!$R$1:$R$200,6)&amp;", "))),1,""))</f>
        <v/>
      </c>
      <c r="I162">
        <f>IF(Wizards!$A$7="","",IF(OR(ISNUMBER(SEARCH(", "&amp;$B162&amp;", ", ", "&amp;INDEX('Form Responses'!$I$1:$Q$200,7,$A162)&amp;", ")),ISNUMBER(SEARCH(", "&amp;$B162&amp;", ", ", "&amp;INDEX('Form Responses'!$R$1:$R$200,7)&amp;", "))),1,""))</f>
        <v/>
      </c>
      <c r="J162">
        <f>IF(Wizards!$A$8="","",IF(OR(ISNUMBER(SEARCH(", "&amp;$B162&amp;", ", ", "&amp;INDEX('Form Responses'!$I$1:$Q$200,8,$A162)&amp;", ")),ISNUMBER(SEARCH(", "&amp;$B162&amp;", ", ", "&amp;INDEX('Form Responses'!$R$1:$R$200,8)&amp;", "))),1,""))</f>
        <v/>
      </c>
      <c r="K162">
        <f>IF(Wizards!$A$9="","",IF(OR(ISNUMBER(SEARCH(", "&amp;$B162&amp;", ", ", "&amp;INDEX('Form Responses'!$I$1:$Q$200,9,$A162)&amp;", ")),ISNUMBER(SEARCH(", "&amp;$B162&amp;", ", ", "&amp;INDEX('Form Responses'!$R$1:$R$200,9)&amp;", "))),1,""))</f>
        <v/>
      </c>
      <c r="L162">
        <f>IF(Wizards!$A$10="","",IF(OR(ISNUMBER(SEARCH(", "&amp;$B162&amp;", ", ", "&amp;INDEX('Form Responses'!$I$1:$Q$200,10,$A162)&amp;", ")),ISNUMBER(SEARCH(", "&amp;$B162&amp;", ", ", "&amp;INDEX('Form Responses'!$R$1:$R$200,10)&amp;", "))),1,""))</f>
        <v/>
      </c>
      <c r="M162">
        <f>IF(Wizards!$A$11="","",IF(OR(ISNUMBER(SEARCH(", "&amp;$B162&amp;", ", ", "&amp;INDEX('Form Responses'!$I$1:$Q$200,11,$A162)&amp;", ")),ISNUMBER(SEARCH(", "&amp;$B162&amp;", ", ", "&amp;INDEX('Form Responses'!$R$1:$R$200,11)&amp;", "))),1,""))</f>
        <v/>
      </c>
      <c r="N162">
        <f>IF(Wizards!$A$12="","",IF(OR(ISNUMBER(SEARCH(", "&amp;$B162&amp;", ", ", "&amp;INDEX('Form Responses'!$I$1:$Q$200,12,$A162)&amp;", ")),ISNUMBER(SEARCH(", "&amp;$B162&amp;", ", ", "&amp;INDEX('Form Responses'!$R$1:$R$200,12)&amp;", "))),1,""))</f>
        <v/>
      </c>
      <c r="O162">
        <f>IF(Wizards!$A$13="","",IF(OR(ISNUMBER(SEARCH(", "&amp;$B162&amp;", ", ", "&amp;INDEX('Form Responses'!$I$1:$Q$200,13,$A162)&amp;", ")),ISNUMBER(SEARCH(", "&amp;$B162&amp;", ", ", "&amp;INDEX('Form Responses'!$R$1:$R$200,13)&amp;", "))),1,""))</f>
        <v/>
      </c>
      <c r="P162">
        <f>IF(Wizards!$A$14="","",IF(OR(ISNUMBER(SEARCH(", "&amp;$B162&amp;", ", ", "&amp;INDEX('Form Responses'!$I$1:$Q$200,14,$A162)&amp;", ")),ISNUMBER(SEARCH(", "&amp;$B162&amp;", ", ", "&amp;INDEX('Form Responses'!$R$1:$R$200,14)&amp;", "))),1,""))</f>
        <v/>
      </c>
      <c r="Q162">
        <f>IF(Wizards!$A$15="","",IF(OR(ISNUMBER(SEARCH(", "&amp;$B162&amp;", ", ", "&amp;INDEX('Form Responses'!$I$1:$Q$200,15,$A162)&amp;", ")),ISNUMBER(SEARCH(", "&amp;$B162&amp;", ", ", "&amp;INDEX('Form Responses'!$R$1:$R$200,15)&amp;", "))),1,""))</f>
        <v/>
      </c>
      <c r="R162">
        <f>IF(Wizards!$A$16="","",IF(OR(ISNUMBER(SEARCH(", "&amp;$B162&amp;", ", ", "&amp;INDEX('Form Responses'!$I$1:$Q$200,16,$A162)&amp;", ")),ISNUMBER(SEARCH(", "&amp;$B162&amp;", ", ", "&amp;INDEX('Form Responses'!$R$1:$R$200,16)&amp;", "))),1,""))</f>
        <v/>
      </c>
      <c r="S162">
        <f>IF(Wizards!$A$17="","",IF(OR(ISNUMBER(SEARCH(", "&amp;$B162&amp;", ", ", "&amp;INDEX('Form Responses'!$I$1:$Q$200,17,$A162)&amp;", ")),ISNUMBER(SEARCH(", "&amp;$B162&amp;", ", ", "&amp;INDEX('Form Responses'!$R$1:$R$200,17)&amp;", "))),1,""))</f>
        <v/>
      </c>
      <c r="T162">
        <f>IF(Wizards!$A$18="","",IF(OR(ISNUMBER(SEARCH(", "&amp;$B162&amp;", ", ", "&amp;INDEX('Form Responses'!$I$1:$Q$200,18,$A162)&amp;", ")),ISNUMBER(SEARCH(", "&amp;$B162&amp;", ", ", "&amp;INDEX('Form Responses'!$R$1:$R$200,18)&amp;", "))),1,""))</f>
        <v/>
      </c>
      <c r="U162">
        <f>IF(Wizards!$A$19="","",IF(OR(ISNUMBER(SEARCH(", "&amp;$B162&amp;", ", ", "&amp;INDEX('Form Responses'!$I$1:$Q$200,19,$A162)&amp;", ")),ISNUMBER(SEARCH(", "&amp;$B162&amp;", ", ", "&amp;INDEX('Form Responses'!$R$1:$R$200,19)&amp;", "))),1,""))</f>
        <v/>
      </c>
      <c r="V162">
        <f>IF(Wizards!$A$20="","",IF(OR(ISNUMBER(SEARCH(", "&amp;$B162&amp;", ", ", "&amp;INDEX('Form Responses'!$I$1:$Q$200,20,$A162)&amp;", ")),ISNUMBER(SEARCH(", "&amp;$B162&amp;", ", ", "&amp;INDEX('Form Responses'!$R$1:$R$200,20)&amp;", "))),1,""))</f>
        <v/>
      </c>
      <c r="W162">
        <f>IF(Wizards!$A$21="","",IF(OR(ISNUMBER(SEARCH(", "&amp;$B162&amp;", ", ", "&amp;INDEX('Form Responses'!$I$1:$Q$200,21,$A162)&amp;", ")),ISNUMBER(SEARCH(", "&amp;$B162&amp;", ", ", "&amp;INDEX('Form Responses'!$R$1:$R$200,21)&amp;", "))),1,""))</f>
        <v/>
      </c>
      <c r="X162">
        <f>IF(Wizards!$A$22="","",IF(OR(ISNUMBER(SEARCH(", "&amp;$B162&amp;", ", ", "&amp;INDEX('Form Responses'!$I$1:$Q$200,22,$A162)&amp;", ")),ISNUMBER(SEARCH(", "&amp;$B162&amp;", ", ", "&amp;INDEX('Form Responses'!$R$1:$R$200,22)&amp;", "))),1,""))</f>
        <v/>
      </c>
      <c r="Y162">
        <f>IF(Wizards!$A$23="","",IF(OR(ISNUMBER(SEARCH(", "&amp;$B162&amp;", ", ", "&amp;INDEX('Form Responses'!$I$1:$Q$200,23,$A162)&amp;", ")),ISNUMBER(SEARCH(", "&amp;$B162&amp;", ", ", "&amp;INDEX('Form Responses'!$R$1:$R$200,23)&amp;", "))),1,""))</f>
        <v/>
      </c>
      <c r="Z162">
        <f>IF(Wizards!$A$24="","",IF(OR(ISNUMBER(SEARCH(", "&amp;$B162&amp;", ", ", "&amp;INDEX('Form Responses'!$I$1:$Q$200,24,$A162)&amp;", ")),ISNUMBER(SEARCH(", "&amp;$B162&amp;", ", ", "&amp;INDEX('Form Responses'!$R$1:$R$200,24)&amp;", "))),1,""))</f>
        <v/>
      </c>
      <c r="AA162">
        <f>IF(Wizards!$A$25="","",IF(OR(ISNUMBER(SEARCH(", "&amp;$B162&amp;", ", ", "&amp;INDEX('Form Responses'!$I$1:$Q$200,25,$A162)&amp;", ")),ISNUMBER(SEARCH(", "&amp;$B162&amp;", ", ", "&amp;INDEX('Form Responses'!$R$1:$R$200,25)&amp;", "))),1,""))</f>
        <v/>
      </c>
      <c r="AB162">
        <f>IF(D162=1,", "&amp;D$1,"")</f>
        <v/>
      </c>
      <c r="AC162">
        <f>IF(E162=1,", "&amp;E$1,"")</f>
        <v/>
      </c>
      <c r="AD162">
        <f>IF(F162=1,", "&amp;F$1,"")</f>
        <v/>
      </c>
      <c r="AE162">
        <f>IF(G162=1,", "&amp;G$1,"")</f>
        <v/>
      </c>
      <c r="AF162">
        <f>IF(H162=1,", "&amp;H$1,"")</f>
        <v/>
      </c>
      <c r="AG162">
        <f>IF(I162=1,", "&amp;I$1,"")</f>
        <v/>
      </c>
      <c r="AH162">
        <f>IF(J162=1,", "&amp;J$1,"")</f>
        <v/>
      </c>
      <c r="AI162">
        <f>IF(K162=1,", "&amp;K$1,"")</f>
        <v/>
      </c>
      <c r="AJ162">
        <f>IF(L162=1,", "&amp;L$1,"")</f>
        <v/>
      </c>
      <c r="AK162">
        <f>IF(M162=1,", "&amp;M$1,"")</f>
        <v/>
      </c>
      <c r="AL162">
        <f>IF(N162=1,", "&amp;N$1,"")</f>
        <v/>
      </c>
      <c r="AM162">
        <f>IF(O162=1,", "&amp;O$1,"")</f>
        <v/>
      </c>
      <c r="AN162">
        <f>IF(P162=1,", "&amp;P$1,"")</f>
        <v/>
      </c>
      <c r="AO162">
        <f>IF(Q162=1,", "&amp;Q$1,"")</f>
        <v/>
      </c>
      <c r="AP162">
        <f>IF(R162=1,", "&amp;R$1,"")</f>
        <v/>
      </c>
      <c r="AQ162">
        <f>IF(S162=1,", "&amp;S$1,"")</f>
        <v/>
      </c>
      <c r="AR162">
        <f>IF(T162=1,", "&amp;T$1,"")</f>
        <v/>
      </c>
      <c r="AS162">
        <f>IF(U162=1,", "&amp;U$1,"")</f>
        <v/>
      </c>
      <c r="AT162">
        <f>IF(V162=1,", "&amp;V$1,"")</f>
        <v/>
      </c>
      <c r="AU162">
        <f>IF(W162=1,", "&amp;W$1,"")</f>
        <v/>
      </c>
      <c r="AV162">
        <f>IF(X162=1,", "&amp;X$1,"")</f>
        <v/>
      </c>
      <c r="AW162">
        <f>IF(Y162=1,", "&amp;Y$1,"")</f>
        <v/>
      </c>
      <c r="AX162">
        <f>IF(Z162=1,", "&amp;Z$1,"")</f>
        <v/>
      </c>
      <c r="AY162">
        <f>IF(AA162=1,", "&amp;AA$1,"")</f>
        <v/>
      </c>
      <c r="AZ162">
        <f>MID($AB162&amp;$AC162&amp;$AD162&amp;$AE162&amp;$AF162&amp;$AG162&amp;$AH162&amp;$AI162&amp;$AJ162&amp;$AK162&amp;$AL162&amp;$AM162&amp;$AN162&amp;$AO162&amp;$AP162&amp;$AQ162&amp;$AR162&amp;$AS162&amp;$AT162&amp;$AU162&amp;$AV162&amp;$AW162&amp;$AX162&amp;$AY162,3,32767)</f>
        <v/>
      </c>
      <c r="BA162">
        <f>COUNT($D162:$AA162)</f>
        <v/>
      </c>
    </row>
    <row r="163">
      <c r="A163" t="n">
        <v>4</v>
      </c>
      <c r="B163" t="inlineStr">
        <is>
          <t>Blight</t>
        </is>
      </c>
      <c r="C163" t="inlineStr">
        <is>
          <t>Necromancy</t>
        </is>
      </c>
      <c r="D163">
        <f>IF(Wizards!$A$2="","",IF(OR(ISNUMBER(SEARCH(", "&amp;$B163&amp;", ", ", "&amp;INDEX('Form Responses'!$I$1:$Q$200,2,$A163)&amp;", ")),ISNUMBER(SEARCH(", "&amp;$B163&amp;", ", ", "&amp;INDEX('Form Responses'!$R$1:$R$200,2)&amp;", "))),1,""))</f>
        <v/>
      </c>
      <c r="E163">
        <f>IF(Wizards!$A$3="","",IF(OR(ISNUMBER(SEARCH(", "&amp;$B163&amp;", ", ", "&amp;INDEX('Form Responses'!$I$1:$Q$200,3,$A163)&amp;", ")),ISNUMBER(SEARCH(", "&amp;$B163&amp;", ", ", "&amp;INDEX('Form Responses'!$R$1:$R$200,3)&amp;", "))),1,""))</f>
        <v/>
      </c>
      <c r="F163">
        <f>IF(Wizards!$A$4="","",IF(OR(ISNUMBER(SEARCH(", "&amp;$B163&amp;", ", ", "&amp;INDEX('Form Responses'!$I$1:$Q$200,4,$A163)&amp;", ")),ISNUMBER(SEARCH(", "&amp;$B163&amp;", ", ", "&amp;INDEX('Form Responses'!$R$1:$R$200,4)&amp;", "))),1,""))</f>
        <v/>
      </c>
      <c r="G163">
        <f>IF(Wizards!$A$5="","",IF(OR(ISNUMBER(SEARCH(", "&amp;$B163&amp;", ", ", "&amp;INDEX('Form Responses'!$I$1:$Q$200,5,$A163)&amp;", ")),ISNUMBER(SEARCH(", "&amp;$B163&amp;", ", ", "&amp;INDEX('Form Responses'!$R$1:$R$200,5)&amp;", "))),1,""))</f>
        <v/>
      </c>
      <c r="H163">
        <f>IF(Wizards!$A$6="","",IF(OR(ISNUMBER(SEARCH(", "&amp;$B163&amp;", ", ", "&amp;INDEX('Form Responses'!$I$1:$Q$200,6,$A163)&amp;", ")),ISNUMBER(SEARCH(", "&amp;$B163&amp;", ", ", "&amp;INDEX('Form Responses'!$R$1:$R$200,6)&amp;", "))),1,""))</f>
        <v/>
      </c>
      <c r="I163">
        <f>IF(Wizards!$A$7="","",IF(OR(ISNUMBER(SEARCH(", "&amp;$B163&amp;", ", ", "&amp;INDEX('Form Responses'!$I$1:$Q$200,7,$A163)&amp;", ")),ISNUMBER(SEARCH(", "&amp;$B163&amp;", ", ", "&amp;INDEX('Form Responses'!$R$1:$R$200,7)&amp;", "))),1,""))</f>
        <v/>
      </c>
      <c r="J163">
        <f>IF(Wizards!$A$8="","",IF(OR(ISNUMBER(SEARCH(", "&amp;$B163&amp;", ", ", "&amp;INDEX('Form Responses'!$I$1:$Q$200,8,$A163)&amp;", ")),ISNUMBER(SEARCH(", "&amp;$B163&amp;", ", ", "&amp;INDEX('Form Responses'!$R$1:$R$200,8)&amp;", "))),1,""))</f>
        <v/>
      </c>
      <c r="K163">
        <f>IF(Wizards!$A$9="","",IF(OR(ISNUMBER(SEARCH(", "&amp;$B163&amp;", ", ", "&amp;INDEX('Form Responses'!$I$1:$Q$200,9,$A163)&amp;", ")),ISNUMBER(SEARCH(", "&amp;$B163&amp;", ", ", "&amp;INDEX('Form Responses'!$R$1:$R$200,9)&amp;", "))),1,""))</f>
        <v/>
      </c>
      <c r="L163">
        <f>IF(Wizards!$A$10="","",IF(OR(ISNUMBER(SEARCH(", "&amp;$B163&amp;", ", ", "&amp;INDEX('Form Responses'!$I$1:$Q$200,10,$A163)&amp;", ")),ISNUMBER(SEARCH(", "&amp;$B163&amp;", ", ", "&amp;INDEX('Form Responses'!$R$1:$R$200,10)&amp;", "))),1,""))</f>
        <v/>
      </c>
      <c r="M163">
        <f>IF(Wizards!$A$11="","",IF(OR(ISNUMBER(SEARCH(", "&amp;$B163&amp;", ", ", "&amp;INDEX('Form Responses'!$I$1:$Q$200,11,$A163)&amp;", ")),ISNUMBER(SEARCH(", "&amp;$B163&amp;", ", ", "&amp;INDEX('Form Responses'!$R$1:$R$200,11)&amp;", "))),1,""))</f>
        <v/>
      </c>
      <c r="N163">
        <f>IF(Wizards!$A$12="","",IF(OR(ISNUMBER(SEARCH(", "&amp;$B163&amp;", ", ", "&amp;INDEX('Form Responses'!$I$1:$Q$200,12,$A163)&amp;", ")),ISNUMBER(SEARCH(", "&amp;$B163&amp;", ", ", "&amp;INDEX('Form Responses'!$R$1:$R$200,12)&amp;", "))),1,""))</f>
        <v/>
      </c>
      <c r="O163">
        <f>IF(Wizards!$A$13="","",IF(OR(ISNUMBER(SEARCH(", "&amp;$B163&amp;", ", ", "&amp;INDEX('Form Responses'!$I$1:$Q$200,13,$A163)&amp;", ")),ISNUMBER(SEARCH(", "&amp;$B163&amp;", ", ", "&amp;INDEX('Form Responses'!$R$1:$R$200,13)&amp;", "))),1,""))</f>
        <v/>
      </c>
      <c r="P163">
        <f>IF(Wizards!$A$14="","",IF(OR(ISNUMBER(SEARCH(", "&amp;$B163&amp;", ", ", "&amp;INDEX('Form Responses'!$I$1:$Q$200,14,$A163)&amp;", ")),ISNUMBER(SEARCH(", "&amp;$B163&amp;", ", ", "&amp;INDEX('Form Responses'!$R$1:$R$200,14)&amp;", "))),1,""))</f>
        <v/>
      </c>
      <c r="Q163">
        <f>IF(Wizards!$A$15="","",IF(OR(ISNUMBER(SEARCH(", "&amp;$B163&amp;", ", ", "&amp;INDEX('Form Responses'!$I$1:$Q$200,15,$A163)&amp;", ")),ISNUMBER(SEARCH(", "&amp;$B163&amp;", ", ", "&amp;INDEX('Form Responses'!$R$1:$R$200,15)&amp;", "))),1,""))</f>
        <v/>
      </c>
      <c r="R163">
        <f>IF(Wizards!$A$16="","",IF(OR(ISNUMBER(SEARCH(", "&amp;$B163&amp;", ", ", "&amp;INDEX('Form Responses'!$I$1:$Q$200,16,$A163)&amp;", ")),ISNUMBER(SEARCH(", "&amp;$B163&amp;", ", ", "&amp;INDEX('Form Responses'!$R$1:$R$200,16)&amp;", "))),1,""))</f>
        <v/>
      </c>
      <c r="S163">
        <f>IF(Wizards!$A$17="","",IF(OR(ISNUMBER(SEARCH(", "&amp;$B163&amp;", ", ", "&amp;INDEX('Form Responses'!$I$1:$Q$200,17,$A163)&amp;", ")),ISNUMBER(SEARCH(", "&amp;$B163&amp;", ", ", "&amp;INDEX('Form Responses'!$R$1:$R$200,17)&amp;", "))),1,""))</f>
        <v/>
      </c>
      <c r="T163">
        <f>IF(Wizards!$A$18="","",IF(OR(ISNUMBER(SEARCH(", "&amp;$B163&amp;", ", ", "&amp;INDEX('Form Responses'!$I$1:$Q$200,18,$A163)&amp;", ")),ISNUMBER(SEARCH(", "&amp;$B163&amp;", ", ", "&amp;INDEX('Form Responses'!$R$1:$R$200,18)&amp;", "))),1,""))</f>
        <v/>
      </c>
      <c r="U163">
        <f>IF(Wizards!$A$19="","",IF(OR(ISNUMBER(SEARCH(", "&amp;$B163&amp;", ", ", "&amp;INDEX('Form Responses'!$I$1:$Q$200,19,$A163)&amp;", ")),ISNUMBER(SEARCH(", "&amp;$B163&amp;", ", ", "&amp;INDEX('Form Responses'!$R$1:$R$200,19)&amp;", "))),1,""))</f>
        <v/>
      </c>
      <c r="V163">
        <f>IF(Wizards!$A$20="","",IF(OR(ISNUMBER(SEARCH(", "&amp;$B163&amp;", ", ", "&amp;INDEX('Form Responses'!$I$1:$Q$200,20,$A163)&amp;", ")),ISNUMBER(SEARCH(", "&amp;$B163&amp;", ", ", "&amp;INDEX('Form Responses'!$R$1:$R$200,20)&amp;", "))),1,""))</f>
        <v/>
      </c>
      <c r="W163">
        <f>IF(Wizards!$A$21="","",IF(OR(ISNUMBER(SEARCH(", "&amp;$B163&amp;", ", ", "&amp;INDEX('Form Responses'!$I$1:$Q$200,21,$A163)&amp;", ")),ISNUMBER(SEARCH(", "&amp;$B163&amp;", ", ", "&amp;INDEX('Form Responses'!$R$1:$R$200,21)&amp;", "))),1,""))</f>
        <v/>
      </c>
      <c r="X163">
        <f>IF(Wizards!$A$22="","",IF(OR(ISNUMBER(SEARCH(", "&amp;$B163&amp;", ", ", "&amp;INDEX('Form Responses'!$I$1:$Q$200,22,$A163)&amp;", ")),ISNUMBER(SEARCH(", "&amp;$B163&amp;", ", ", "&amp;INDEX('Form Responses'!$R$1:$R$200,22)&amp;", "))),1,""))</f>
        <v/>
      </c>
      <c r="Y163">
        <f>IF(Wizards!$A$23="","",IF(OR(ISNUMBER(SEARCH(", "&amp;$B163&amp;", ", ", "&amp;INDEX('Form Responses'!$I$1:$Q$200,23,$A163)&amp;", ")),ISNUMBER(SEARCH(", "&amp;$B163&amp;", ", ", "&amp;INDEX('Form Responses'!$R$1:$R$200,23)&amp;", "))),1,""))</f>
        <v/>
      </c>
      <c r="Z163">
        <f>IF(Wizards!$A$24="","",IF(OR(ISNUMBER(SEARCH(", "&amp;$B163&amp;", ", ", "&amp;INDEX('Form Responses'!$I$1:$Q$200,24,$A163)&amp;", ")),ISNUMBER(SEARCH(", "&amp;$B163&amp;", ", ", "&amp;INDEX('Form Responses'!$R$1:$R$200,24)&amp;", "))),1,""))</f>
        <v/>
      </c>
      <c r="AA163">
        <f>IF(Wizards!$A$25="","",IF(OR(ISNUMBER(SEARCH(", "&amp;$B163&amp;", ", ", "&amp;INDEX('Form Responses'!$I$1:$Q$200,25,$A163)&amp;", ")),ISNUMBER(SEARCH(", "&amp;$B163&amp;", ", ", "&amp;INDEX('Form Responses'!$R$1:$R$200,25)&amp;", "))),1,""))</f>
        <v/>
      </c>
      <c r="AB163">
        <f>IF(D163=1,", "&amp;D$1,"")</f>
        <v/>
      </c>
      <c r="AC163">
        <f>IF(E163=1,", "&amp;E$1,"")</f>
        <v/>
      </c>
      <c r="AD163">
        <f>IF(F163=1,", "&amp;F$1,"")</f>
        <v/>
      </c>
      <c r="AE163">
        <f>IF(G163=1,", "&amp;G$1,"")</f>
        <v/>
      </c>
      <c r="AF163">
        <f>IF(H163=1,", "&amp;H$1,"")</f>
        <v/>
      </c>
      <c r="AG163">
        <f>IF(I163=1,", "&amp;I$1,"")</f>
        <v/>
      </c>
      <c r="AH163">
        <f>IF(J163=1,", "&amp;J$1,"")</f>
        <v/>
      </c>
      <c r="AI163">
        <f>IF(K163=1,", "&amp;K$1,"")</f>
        <v/>
      </c>
      <c r="AJ163">
        <f>IF(L163=1,", "&amp;L$1,"")</f>
        <v/>
      </c>
      <c r="AK163">
        <f>IF(M163=1,", "&amp;M$1,"")</f>
        <v/>
      </c>
      <c r="AL163">
        <f>IF(N163=1,", "&amp;N$1,"")</f>
        <v/>
      </c>
      <c r="AM163">
        <f>IF(O163=1,", "&amp;O$1,"")</f>
        <v/>
      </c>
      <c r="AN163">
        <f>IF(P163=1,", "&amp;P$1,"")</f>
        <v/>
      </c>
      <c r="AO163">
        <f>IF(Q163=1,", "&amp;Q$1,"")</f>
        <v/>
      </c>
      <c r="AP163">
        <f>IF(R163=1,", "&amp;R$1,"")</f>
        <v/>
      </c>
      <c r="AQ163">
        <f>IF(S163=1,", "&amp;S$1,"")</f>
        <v/>
      </c>
      <c r="AR163">
        <f>IF(T163=1,", "&amp;T$1,"")</f>
        <v/>
      </c>
      <c r="AS163">
        <f>IF(U163=1,", "&amp;U$1,"")</f>
        <v/>
      </c>
      <c r="AT163">
        <f>IF(V163=1,", "&amp;V$1,"")</f>
        <v/>
      </c>
      <c r="AU163">
        <f>IF(W163=1,", "&amp;W$1,"")</f>
        <v/>
      </c>
      <c r="AV163">
        <f>IF(X163=1,", "&amp;X$1,"")</f>
        <v/>
      </c>
      <c r="AW163">
        <f>IF(Y163=1,", "&amp;Y$1,"")</f>
        <v/>
      </c>
      <c r="AX163">
        <f>IF(Z163=1,", "&amp;Z$1,"")</f>
        <v/>
      </c>
      <c r="AY163">
        <f>IF(AA163=1,", "&amp;AA$1,"")</f>
        <v/>
      </c>
      <c r="AZ163">
        <f>MID($AB163&amp;$AC163&amp;$AD163&amp;$AE163&amp;$AF163&amp;$AG163&amp;$AH163&amp;$AI163&amp;$AJ163&amp;$AK163&amp;$AL163&amp;$AM163&amp;$AN163&amp;$AO163&amp;$AP163&amp;$AQ163&amp;$AR163&amp;$AS163&amp;$AT163&amp;$AU163&amp;$AV163&amp;$AW163&amp;$AX163&amp;$AY163,3,32767)</f>
        <v/>
      </c>
      <c r="BA163">
        <f>COUNT($D163:$AA163)</f>
        <v/>
      </c>
    </row>
    <row r="164">
      <c r="A164" t="n">
        <v>4</v>
      </c>
      <c r="B164" t="inlineStr">
        <is>
          <t>Charm Monster</t>
        </is>
      </c>
      <c r="C164" t="inlineStr">
        <is>
          <t>Enchantment</t>
        </is>
      </c>
      <c r="D164">
        <f>IF(Wizards!$A$2="","",IF(OR(ISNUMBER(SEARCH(", "&amp;$B164&amp;", ", ", "&amp;INDEX('Form Responses'!$I$1:$Q$200,2,$A164)&amp;", ")),ISNUMBER(SEARCH(", "&amp;$B164&amp;", ", ", "&amp;INDEX('Form Responses'!$R$1:$R$200,2)&amp;", "))),1,""))</f>
        <v/>
      </c>
      <c r="E164">
        <f>IF(Wizards!$A$3="","",IF(OR(ISNUMBER(SEARCH(", "&amp;$B164&amp;", ", ", "&amp;INDEX('Form Responses'!$I$1:$Q$200,3,$A164)&amp;", ")),ISNUMBER(SEARCH(", "&amp;$B164&amp;", ", ", "&amp;INDEX('Form Responses'!$R$1:$R$200,3)&amp;", "))),1,""))</f>
        <v/>
      </c>
      <c r="F164">
        <f>IF(Wizards!$A$4="","",IF(OR(ISNUMBER(SEARCH(", "&amp;$B164&amp;", ", ", "&amp;INDEX('Form Responses'!$I$1:$Q$200,4,$A164)&amp;", ")),ISNUMBER(SEARCH(", "&amp;$B164&amp;", ", ", "&amp;INDEX('Form Responses'!$R$1:$R$200,4)&amp;", "))),1,""))</f>
        <v/>
      </c>
      <c r="G164">
        <f>IF(Wizards!$A$5="","",IF(OR(ISNUMBER(SEARCH(", "&amp;$B164&amp;", ", ", "&amp;INDEX('Form Responses'!$I$1:$Q$200,5,$A164)&amp;", ")),ISNUMBER(SEARCH(", "&amp;$B164&amp;", ", ", "&amp;INDEX('Form Responses'!$R$1:$R$200,5)&amp;", "))),1,""))</f>
        <v/>
      </c>
      <c r="H164">
        <f>IF(Wizards!$A$6="","",IF(OR(ISNUMBER(SEARCH(", "&amp;$B164&amp;", ", ", "&amp;INDEX('Form Responses'!$I$1:$Q$200,6,$A164)&amp;", ")),ISNUMBER(SEARCH(", "&amp;$B164&amp;", ", ", "&amp;INDEX('Form Responses'!$R$1:$R$200,6)&amp;", "))),1,""))</f>
        <v/>
      </c>
      <c r="I164">
        <f>IF(Wizards!$A$7="","",IF(OR(ISNUMBER(SEARCH(", "&amp;$B164&amp;", ", ", "&amp;INDEX('Form Responses'!$I$1:$Q$200,7,$A164)&amp;", ")),ISNUMBER(SEARCH(", "&amp;$B164&amp;", ", ", "&amp;INDEX('Form Responses'!$R$1:$R$200,7)&amp;", "))),1,""))</f>
        <v/>
      </c>
      <c r="J164">
        <f>IF(Wizards!$A$8="","",IF(OR(ISNUMBER(SEARCH(", "&amp;$B164&amp;", ", ", "&amp;INDEX('Form Responses'!$I$1:$Q$200,8,$A164)&amp;", ")),ISNUMBER(SEARCH(", "&amp;$B164&amp;", ", ", "&amp;INDEX('Form Responses'!$R$1:$R$200,8)&amp;", "))),1,""))</f>
        <v/>
      </c>
      <c r="K164">
        <f>IF(Wizards!$A$9="","",IF(OR(ISNUMBER(SEARCH(", "&amp;$B164&amp;", ", ", "&amp;INDEX('Form Responses'!$I$1:$Q$200,9,$A164)&amp;", ")),ISNUMBER(SEARCH(", "&amp;$B164&amp;", ", ", "&amp;INDEX('Form Responses'!$R$1:$R$200,9)&amp;", "))),1,""))</f>
        <v/>
      </c>
      <c r="L164">
        <f>IF(Wizards!$A$10="","",IF(OR(ISNUMBER(SEARCH(", "&amp;$B164&amp;", ", ", "&amp;INDEX('Form Responses'!$I$1:$Q$200,10,$A164)&amp;", ")),ISNUMBER(SEARCH(", "&amp;$B164&amp;", ", ", "&amp;INDEX('Form Responses'!$R$1:$R$200,10)&amp;", "))),1,""))</f>
        <v/>
      </c>
      <c r="M164">
        <f>IF(Wizards!$A$11="","",IF(OR(ISNUMBER(SEARCH(", "&amp;$B164&amp;", ", ", "&amp;INDEX('Form Responses'!$I$1:$Q$200,11,$A164)&amp;", ")),ISNUMBER(SEARCH(", "&amp;$B164&amp;", ", ", "&amp;INDEX('Form Responses'!$R$1:$R$200,11)&amp;", "))),1,""))</f>
        <v/>
      </c>
      <c r="N164">
        <f>IF(Wizards!$A$12="","",IF(OR(ISNUMBER(SEARCH(", "&amp;$B164&amp;", ", ", "&amp;INDEX('Form Responses'!$I$1:$Q$200,12,$A164)&amp;", ")),ISNUMBER(SEARCH(", "&amp;$B164&amp;", ", ", "&amp;INDEX('Form Responses'!$R$1:$R$200,12)&amp;", "))),1,""))</f>
        <v/>
      </c>
      <c r="O164">
        <f>IF(Wizards!$A$13="","",IF(OR(ISNUMBER(SEARCH(", "&amp;$B164&amp;", ", ", "&amp;INDEX('Form Responses'!$I$1:$Q$200,13,$A164)&amp;", ")),ISNUMBER(SEARCH(", "&amp;$B164&amp;", ", ", "&amp;INDEX('Form Responses'!$R$1:$R$200,13)&amp;", "))),1,""))</f>
        <v/>
      </c>
      <c r="P164">
        <f>IF(Wizards!$A$14="","",IF(OR(ISNUMBER(SEARCH(", "&amp;$B164&amp;", ", ", "&amp;INDEX('Form Responses'!$I$1:$Q$200,14,$A164)&amp;", ")),ISNUMBER(SEARCH(", "&amp;$B164&amp;", ", ", "&amp;INDEX('Form Responses'!$R$1:$R$200,14)&amp;", "))),1,""))</f>
        <v/>
      </c>
      <c r="Q164">
        <f>IF(Wizards!$A$15="","",IF(OR(ISNUMBER(SEARCH(", "&amp;$B164&amp;", ", ", "&amp;INDEX('Form Responses'!$I$1:$Q$200,15,$A164)&amp;", ")),ISNUMBER(SEARCH(", "&amp;$B164&amp;", ", ", "&amp;INDEX('Form Responses'!$R$1:$R$200,15)&amp;", "))),1,""))</f>
        <v/>
      </c>
      <c r="R164">
        <f>IF(Wizards!$A$16="","",IF(OR(ISNUMBER(SEARCH(", "&amp;$B164&amp;", ", ", "&amp;INDEX('Form Responses'!$I$1:$Q$200,16,$A164)&amp;", ")),ISNUMBER(SEARCH(", "&amp;$B164&amp;", ", ", "&amp;INDEX('Form Responses'!$R$1:$R$200,16)&amp;", "))),1,""))</f>
        <v/>
      </c>
      <c r="S164">
        <f>IF(Wizards!$A$17="","",IF(OR(ISNUMBER(SEARCH(", "&amp;$B164&amp;", ", ", "&amp;INDEX('Form Responses'!$I$1:$Q$200,17,$A164)&amp;", ")),ISNUMBER(SEARCH(", "&amp;$B164&amp;", ", ", "&amp;INDEX('Form Responses'!$R$1:$R$200,17)&amp;", "))),1,""))</f>
        <v/>
      </c>
      <c r="T164">
        <f>IF(Wizards!$A$18="","",IF(OR(ISNUMBER(SEARCH(", "&amp;$B164&amp;", ", ", "&amp;INDEX('Form Responses'!$I$1:$Q$200,18,$A164)&amp;", ")),ISNUMBER(SEARCH(", "&amp;$B164&amp;", ", ", "&amp;INDEX('Form Responses'!$R$1:$R$200,18)&amp;", "))),1,""))</f>
        <v/>
      </c>
      <c r="U164">
        <f>IF(Wizards!$A$19="","",IF(OR(ISNUMBER(SEARCH(", "&amp;$B164&amp;", ", ", "&amp;INDEX('Form Responses'!$I$1:$Q$200,19,$A164)&amp;", ")),ISNUMBER(SEARCH(", "&amp;$B164&amp;", ", ", "&amp;INDEX('Form Responses'!$R$1:$R$200,19)&amp;", "))),1,""))</f>
        <v/>
      </c>
      <c r="V164">
        <f>IF(Wizards!$A$20="","",IF(OR(ISNUMBER(SEARCH(", "&amp;$B164&amp;", ", ", "&amp;INDEX('Form Responses'!$I$1:$Q$200,20,$A164)&amp;", ")),ISNUMBER(SEARCH(", "&amp;$B164&amp;", ", ", "&amp;INDEX('Form Responses'!$R$1:$R$200,20)&amp;", "))),1,""))</f>
        <v/>
      </c>
      <c r="W164">
        <f>IF(Wizards!$A$21="","",IF(OR(ISNUMBER(SEARCH(", "&amp;$B164&amp;", ", ", "&amp;INDEX('Form Responses'!$I$1:$Q$200,21,$A164)&amp;", ")),ISNUMBER(SEARCH(", "&amp;$B164&amp;", ", ", "&amp;INDEX('Form Responses'!$R$1:$R$200,21)&amp;", "))),1,""))</f>
        <v/>
      </c>
      <c r="X164">
        <f>IF(Wizards!$A$22="","",IF(OR(ISNUMBER(SEARCH(", "&amp;$B164&amp;", ", ", "&amp;INDEX('Form Responses'!$I$1:$Q$200,22,$A164)&amp;", ")),ISNUMBER(SEARCH(", "&amp;$B164&amp;", ", ", "&amp;INDEX('Form Responses'!$R$1:$R$200,22)&amp;", "))),1,""))</f>
        <v/>
      </c>
      <c r="Y164">
        <f>IF(Wizards!$A$23="","",IF(OR(ISNUMBER(SEARCH(", "&amp;$B164&amp;", ", ", "&amp;INDEX('Form Responses'!$I$1:$Q$200,23,$A164)&amp;", ")),ISNUMBER(SEARCH(", "&amp;$B164&amp;", ", ", "&amp;INDEX('Form Responses'!$R$1:$R$200,23)&amp;", "))),1,""))</f>
        <v/>
      </c>
      <c r="Z164">
        <f>IF(Wizards!$A$24="","",IF(OR(ISNUMBER(SEARCH(", "&amp;$B164&amp;", ", ", "&amp;INDEX('Form Responses'!$I$1:$Q$200,24,$A164)&amp;", ")),ISNUMBER(SEARCH(", "&amp;$B164&amp;", ", ", "&amp;INDEX('Form Responses'!$R$1:$R$200,24)&amp;", "))),1,""))</f>
        <v/>
      </c>
      <c r="AA164">
        <f>IF(Wizards!$A$25="","",IF(OR(ISNUMBER(SEARCH(", "&amp;$B164&amp;", ", ", "&amp;INDEX('Form Responses'!$I$1:$Q$200,25,$A164)&amp;", ")),ISNUMBER(SEARCH(", "&amp;$B164&amp;", ", ", "&amp;INDEX('Form Responses'!$R$1:$R$200,25)&amp;", "))),1,""))</f>
        <v/>
      </c>
      <c r="AB164">
        <f>IF(D164=1,", "&amp;D$1,"")</f>
        <v/>
      </c>
      <c r="AC164">
        <f>IF(E164=1,", "&amp;E$1,"")</f>
        <v/>
      </c>
      <c r="AD164">
        <f>IF(F164=1,", "&amp;F$1,"")</f>
        <v/>
      </c>
      <c r="AE164">
        <f>IF(G164=1,", "&amp;G$1,"")</f>
        <v/>
      </c>
      <c r="AF164">
        <f>IF(H164=1,", "&amp;H$1,"")</f>
        <v/>
      </c>
      <c r="AG164">
        <f>IF(I164=1,", "&amp;I$1,"")</f>
        <v/>
      </c>
      <c r="AH164">
        <f>IF(J164=1,", "&amp;J$1,"")</f>
        <v/>
      </c>
      <c r="AI164">
        <f>IF(K164=1,", "&amp;K$1,"")</f>
        <v/>
      </c>
      <c r="AJ164">
        <f>IF(L164=1,", "&amp;L$1,"")</f>
        <v/>
      </c>
      <c r="AK164">
        <f>IF(M164=1,", "&amp;M$1,"")</f>
        <v/>
      </c>
      <c r="AL164">
        <f>IF(N164=1,", "&amp;N$1,"")</f>
        <v/>
      </c>
      <c r="AM164">
        <f>IF(O164=1,", "&amp;O$1,"")</f>
        <v/>
      </c>
      <c r="AN164">
        <f>IF(P164=1,", "&amp;P$1,"")</f>
        <v/>
      </c>
      <c r="AO164">
        <f>IF(Q164=1,", "&amp;Q$1,"")</f>
        <v/>
      </c>
      <c r="AP164">
        <f>IF(R164=1,", "&amp;R$1,"")</f>
        <v/>
      </c>
      <c r="AQ164">
        <f>IF(S164=1,", "&amp;S$1,"")</f>
        <v/>
      </c>
      <c r="AR164">
        <f>IF(T164=1,", "&amp;T$1,"")</f>
        <v/>
      </c>
      <c r="AS164">
        <f>IF(U164=1,", "&amp;U$1,"")</f>
        <v/>
      </c>
      <c r="AT164">
        <f>IF(V164=1,", "&amp;V$1,"")</f>
        <v/>
      </c>
      <c r="AU164">
        <f>IF(W164=1,", "&amp;W$1,"")</f>
        <v/>
      </c>
      <c r="AV164">
        <f>IF(X164=1,", "&amp;X$1,"")</f>
        <v/>
      </c>
      <c r="AW164">
        <f>IF(Y164=1,", "&amp;Y$1,"")</f>
        <v/>
      </c>
      <c r="AX164">
        <f>IF(Z164=1,", "&amp;Z$1,"")</f>
        <v/>
      </c>
      <c r="AY164">
        <f>IF(AA164=1,", "&amp;AA$1,"")</f>
        <v/>
      </c>
      <c r="AZ164">
        <f>MID($AB164&amp;$AC164&amp;$AD164&amp;$AE164&amp;$AF164&amp;$AG164&amp;$AH164&amp;$AI164&amp;$AJ164&amp;$AK164&amp;$AL164&amp;$AM164&amp;$AN164&amp;$AO164&amp;$AP164&amp;$AQ164&amp;$AR164&amp;$AS164&amp;$AT164&amp;$AU164&amp;$AV164&amp;$AW164&amp;$AX164&amp;$AY164,3,32767)</f>
        <v/>
      </c>
      <c r="BA164">
        <f>COUNT($D164:$AA164)</f>
        <v/>
      </c>
    </row>
    <row r="165">
      <c r="A165" t="n">
        <v>4</v>
      </c>
      <c r="B165" t="inlineStr">
        <is>
          <t>Confusion</t>
        </is>
      </c>
      <c r="C165" t="inlineStr">
        <is>
          <t>Enchantment</t>
        </is>
      </c>
      <c r="D165">
        <f>IF(Wizards!$A$2="","",IF(OR(ISNUMBER(SEARCH(", "&amp;$B165&amp;", ", ", "&amp;INDEX('Form Responses'!$I$1:$Q$200,2,$A165)&amp;", ")),ISNUMBER(SEARCH(", "&amp;$B165&amp;", ", ", "&amp;INDEX('Form Responses'!$R$1:$R$200,2)&amp;", "))),1,""))</f>
        <v/>
      </c>
      <c r="E165">
        <f>IF(Wizards!$A$3="","",IF(OR(ISNUMBER(SEARCH(", "&amp;$B165&amp;", ", ", "&amp;INDEX('Form Responses'!$I$1:$Q$200,3,$A165)&amp;", ")),ISNUMBER(SEARCH(", "&amp;$B165&amp;", ", ", "&amp;INDEX('Form Responses'!$R$1:$R$200,3)&amp;", "))),1,""))</f>
        <v/>
      </c>
      <c r="F165">
        <f>IF(Wizards!$A$4="","",IF(OR(ISNUMBER(SEARCH(", "&amp;$B165&amp;", ", ", "&amp;INDEX('Form Responses'!$I$1:$Q$200,4,$A165)&amp;", ")),ISNUMBER(SEARCH(", "&amp;$B165&amp;", ", ", "&amp;INDEX('Form Responses'!$R$1:$R$200,4)&amp;", "))),1,""))</f>
        <v/>
      </c>
      <c r="G165">
        <f>IF(Wizards!$A$5="","",IF(OR(ISNUMBER(SEARCH(", "&amp;$B165&amp;", ", ", "&amp;INDEX('Form Responses'!$I$1:$Q$200,5,$A165)&amp;", ")),ISNUMBER(SEARCH(", "&amp;$B165&amp;", ", ", "&amp;INDEX('Form Responses'!$R$1:$R$200,5)&amp;", "))),1,""))</f>
        <v/>
      </c>
      <c r="H165">
        <f>IF(Wizards!$A$6="","",IF(OR(ISNUMBER(SEARCH(", "&amp;$B165&amp;", ", ", "&amp;INDEX('Form Responses'!$I$1:$Q$200,6,$A165)&amp;", ")),ISNUMBER(SEARCH(", "&amp;$B165&amp;", ", ", "&amp;INDEX('Form Responses'!$R$1:$R$200,6)&amp;", "))),1,""))</f>
        <v/>
      </c>
      <c r="I165">
        <f>IF(Wizards!$A$7="","",IF(OR(ISNUMBER(SEARCH(", "&amp;$B165&amp;", ", ", "&amp;INDEX('Form Responses'!$I$1:$Q$200,7,$A165)&amp;", ")),ISNUMBER(SEARCH(", "&amp;$B165&amp;", ", ", "&amp;INDEX('Form Responses'!$R$1:$R$200,7)&amp;", "))),1,""))</f>
        <v/>
      </c>
      <c r="J165">
        <f>IF(Wizards!$A$8="","",IF(OR(ISNUMBER(SEARCH(", "&amp;$B165&amp;", ", ", "&amp;INDEX('Form Responses'!$I$1:$Q$200,8,$A165)&amp;", ")),ISNUMBER(SEARCH(", "&amp;$B165&amp;", ", ", "&amp;INDEX('Form Responses'!$R$1:$R$200,8)&amp;", "))),1,""))</f>
        <v/>
      </c>
      <c r="K165">
        <f>IF(Wizards!$A$9="","",IF(OR(ISNUMBER(SEARCH(", "&amp;$B165&amp;", ", ", "&amp;INDEX('Form Responses'!$I$1:$Q$200,9,$A165)&amp;", ")),ISNUMBER(SEARCH(", "&amp;$B165&amp;", ", ", "&amp;INDEX('Form Responses'!$R$1:$R$200,9)&amp;", "))),1,""))</f>
        <v/>
      </c>
      <c r="L165">
        <f>IF(Wizards!$A$10="","",IF(OR(ISNUMBER(SEARCH(", "&amp;$B165&amp;", ", ", "&amp;INDEX('Form Responses'!$I$1:$Q$200,10,$A165)&amp;", ")),ISNUMBER(SEARCH(", "&amp;$B165&amp;", ", ", "&amp;INDEX('Form Responses'!$R$1:$R$200,10)&amp;", "))),1,""))</f>
        <v/>
      </c>
      <c r="M165">
        <f>IF(Wizards!$A$11="","",IF(OR(ISNUMBER(SEARCH(", "&amp;$B165&amp;", ", ", "&amp;INDEX('Form Responses'!$I$1:$Q$200,11,$A165)&amp;", ")),ISNUMBER(SEARCH(", "&amp;$B165&amp;", ", ", "&amp;INDEX('Form Responses'!$R$1:$R$200,11)&amp;", "))),1,""))</f>
        <v/>
      </c>
      <c r="N165">
        <f>IF(Wizards!$A$12="","",IF(OR(ISNUMBER(SEARCH(", "&amp;$B165&amp;", ", ", "&amp;INDEX('Form Responses'!$I$1:$Q$200,12,$A165)&amp;", ")),ISNUMBER(SEARCH(", "&amp;$B165&amp;", ", ", "&amp;INDEX('Form Responses'!$R$1:$R$200,12)&amp;", "))),1,""))</f>
        <v/>
      </c>
      <c r="O165">
        <f>IF(Wizards!$A$13="","",IF(OR(ISNUMBER(SEARCH(", "&amp;$B165&amp;", ", ", "&amp;INDEX('Form Responses'!$I$1:$Q$200,13,$A165)&amp;", ")),ISNUMBER(SEARCH(", "&amp;$B165&amp;", ", ", "&amp;INDEX('Form Responses'!$R$1:$R$200,13)&amp;", "))),1,""))</f>
        <v/>
      </c>
      <c r="P165">
        <f>IF(Wizards!$A$14="","",IF(OR(ISNUMBER(SEARCH(", "&amp;$B165&amp;", ", ", "&amp;INDEX('Form Responses'!$I$1:$Q$200,14,$A165)&amp;", ")),ISNUMBER(SEARCH(", "&amp;$B165&amp;", ", ", "&amp;INDEX('Form Responses'!$R$1:$R$200,14)&amp;", "))),1,""))</f>
        <v/>
      </c>
      <c r="Q165">
        <f>IF(Wizards!$A$15="","",IF(OR(ISNUMBER(SEARCH(", "&amp;$B165&amp;", ", ", "&amp;INDEX('Form Responses'!$I$1:$Q$200,15,$A165)&amp;", ")),ISNUMBER(SEARCH(", "&amp;$B165&amp;", ", ", "&amp;INDEX('Form Responses'!$R$1:$R$200,15)&amp;", "))),1,""))</f>
        <v/>
      </c>
      <c r="R165">
        <f>IF(Wizards!$A$16="","",IF(OR(ISNUMBER(SEARCH(", "&amp;$B165&amp;", ", ", "&amp;INDEX('Form Responses'!$I$1:$Q$200,16,$A165)&amp;", ")),ISNUMBER(SEARCH(", "&amp;$B165&amp;", ", ", "&amp;INDEX('Form Responses'!$R$1:$R$200,16)&amp;", "))),1,""))</f>
        <v/>
      </c>
      <c r="S165">
        <f>IF(Wizards!$A$17="","",IF(OR(ISNUMBER(SEARCH(", "&amp;$B165&amp;", ", ", "&amp;INDEX('Form Responses'!$I$1:$Q$200,17,$A165)&amp;", ")),ISNUMBER(SEARCH(", "&amp;$B165&amp;", ", ", "&amp;INDEX('Form Responses'!$R$1:$R$200,17)&amp;", "))),1,""))</f>
        <v/>
      </c>
      <c r="T165">
        <f>IF(Wizards!$A$18="","",IF(OR(ISNUMBER(SEARCH(", "&amp;$B165&amp;", ", ", "&amp;INDEX('Form Responses'!$I$1:$Q$200,18,$A165)&amp;", ")),ISNUMBER(SEARCH(", "&amp;$B165&amp;", ", ", "&amp;INDEX('Form Responses'!$R$1:$R$200,18)&amp;", "))),1,""))</f>
        <v/>
      </c>
      <c r="U165">
        <f>IF(Wizards!$A$19="","",IF(OR(ISNUMBER(SEARCH(", "&amp;$B165&amp;", ", ", "&amp;INDEX('Form Responses'!$I$1:$Q$200,19,$A165)&amp;", ")),ISNUMBER(SEARCH(", "&amp;$B165&amp;", ", ", "&amp;INDEX('Form Responses'!$R$1:$R$200,19)&amp;", "))),1,""))</f>
        <v/>
      </c>
      <c r="V165">
        <f>IF(Wizards!$A$20="","",IF(OR(ISNUMBER(SEARCH(", "&amp;$B165&amp;", ", ", "&amp;INDEX('Form Responses'!$I$1:$Q$200,20,$A165)&amp;", ")),ISNUMBER(SEARCH(", "&amp;$B165&amp;", ", ", "&amp;INDEX('Form Responses'!$R$1:$R$200,20)&amp;", "))),1,""))</f>
        <v/>
      </c>
      <c r="W165">
        <f>IF(Wizards!$A$21="","",IF(OR(ISNUMBER(SEARCH(", "&amp;$B165&amp;", ", ", "&amp;INDEX('Form Responses'!$I$1:$Q$200,21,$A165)&amp;", ")),ISNUMBER(SEARCH(", "&amp;$B165&amp;", ", ", "&amp;INDEX('Form Responses'!$R$1:$R$200,21)&amp;", "))),1,""))</f>
        <v/>
      </c>
      <c r="X165">
        <f>IF(Wizards!$A$22="","",IF(OR(ISNUMBER(SEARCH(", "&amp;$B165&amp;", ", ", "&amp;INDEX('Form Responses'!$I$1:$Q$200,22,$A165)&amp;", ")),ISNUMBER(SEARCH(", "&amp;$B165&amp;", ", ", "&amp;INDEX('Form Responses'!$R$1:$R$200,22)&amp;", "))),1,""))</f>
        <v/>
      </c>
      <c r="Y165">
        <f>IF(Wizards!$A$23="","",IF(OR(ISNUMBER(SEARCH(", "&amp;$B165&amp;", ", ", "&amp;INDEX('Form Responses'!$I$1:$Q$200,23,$A165)&amp;", ")),ISNUMBER(SEARCH(", "&amp;$B165&amp;", ", ", "&amp;INDEX('Form Responses'!$R$1:$R$200,23)&amp;", "))),1,""))</f>
        <v/>
      </c>
      <c r="Z165">
        <f>IF(Wizards!$A$24="","",IF(OR(ISNUMBER(SEARCH(", "&amp;$B165&amp;", ", ", "&amp;INDEX('Form Responses'!$I$1:$Q$200,24,$A165)&amp;", ")),ISNUMBER(SEARCH(", "&amp;$B165&amp;", ", ", "&amp;INDEX('Form Responses'!$R$1:$R$200,24)&amp;", "))),1,""))</f>
        <v/>
      </c>
      <c r="AA165">
        <f>IF(Wizards!$A$25="","",IF(OR(ISNUMBER(SEARCH(", "&amp;$B165&amp;", ", ", "&amp;INDEX('Form Responses'!$I$1:$Q$200,25,$A165)&amp;", ")),ISNUMBER(SEARCH(", "&amp;$B165&amp;", ", ", "&amp;INDEX('Form Responses'!$R$1:$R$200,25)&amp;", "))),1,""))</f>
        <v/>
      </c>
      <c r="AB165">
        <f>IF(D165=1,", "&amp;D$1,"")</f>
        <v/>
      </c>
      <c r="AC165">
        <f>IF(E165=1,", "&amp;E$1,"")</f>
        <v/>
      </c>
      <c r="AD165">
        <f>IF(F165=1,", "&amp;F$1,"")</f>
        <v/>
      </c>
      <c r="AE165">
        <f>IF(G165=1,", "&amp;G$1,"")</f>
        <v/>
      </c>
      <c r="AF165">
        <f>IF(H165=1,", "&amp;H$1,"")</f>
        <v/>
      </c>
      <c r="AG165">
        <f>IF(I165=1,", "&amp;I$1,"")</f>
        <v/>
      </c>
      <c r="AH165">
        <f>IF(J165=1,", "&amp;J$1,"")</f>
        <v/>
      </c>
      <c r="AI165">
        <f>IF(K165=1,", "&amp;K$1,"")</f>
        <v/>
      </c>
      <c r="AJ165">
        <f>IF(L165=1,", "&amp;L$1,"")</f>
        <v/>
      </c>
      <c r="AK165">
        <f>IF(M165=1,", "&amp;M$1,"")</f>
        <v/>
      </c>
      <c r="AL165">
        <f>IF(N165=1,", "&amp;N$1,"")</f>
        <v/>
      </c>
      <c r="AM165">
        <f>IF(O165=1,", "&amp;O$1,"")</f>
        <v/>
      </c>
      <c r="AN165">
        <f>IF(P165=1,", "&amp;P$1,"")</f>
        <v/>
      </c>
      <c r="AO165">
        <f>IF(Q165=1,", "&amp;Q$1,"")</f>
        <v/>
      </c>
      <c r="AP165">
        <f>IF(R165=1,", "&amp;R$1,"")</f>
        <v/>
      </c>
      <c r="AQ165">
        <f>IF(S165=1,", "&amp;S$1,"")</f>
        <v/>
      </c>
      <c r="AR165">
        <f>IF(T165=1,", "&amp;T$1,"")</f>
        <v/>
      </c>
      <c r="AS165">
        <f>IF(U165=1,", "&amp;U$1,"")</f>
        <v/>
      </c>
      <c r="AT165">
        <f>IF(V165=1,", "&amp;V$1,"")</f>
        <v/>
      </c>
      <c r="AU165">
        <f>IF(W165=1,", "&amp;W$1,"")</f>
        <v/>
      </c>
      <c r="AV165">
        <f>IF(X165=1,", "&amp;X$1,"")</f>
        <v/>
      </c>
      <c r="AW165">
        <f>IF(Y165=1,", "&amp;Y$1,"")</f>
        <v/>
      </c>
      <c r="AX165">
        <f>IF(Z165=1,", "&amp;Z$1,"")</f>
        <v/>
      </c>
      <c r="AY165">
        <f>IF(AA165=1,", "&amp;AA$1,"")</f>
        <v/>
      </c>
      <c r="AZ165">
        <f>MID($AB165&amp;$AC165&amp;$AD165&amp;$AE165&amp;$AF165&amp;$AG165&amp;$AH165&amp;$AI165&amp;$AJ165&amp;$AK165&amp;$AL165&amp;$AM165&amp;$AN165&amp;$AO165&amp;$AP165&amp;$AQ165&amp;$AR165&amp;$AS165&amp;$AT165&amp;$AU165&amp;$AV165&amp;$AW165&amp;$AX165&amp;$AY165,3,32767)</f>
        <v/>
      </c>
      <c r="BA165">
        <f>COUNT($D165:$AA165)</f>
        <v/>
      </c>
    </row>
    <row r="166">
      <c r="A166" t="n">
        <v>4</v>
      </c>
      <c r="B166" t="inlineStr">
        <is>
          <t>Conjure Minor Elementals</t>
        </is>
      </c>
      <c r="C166" t="inlineStr">
        <is>
          <t>Conjuration</t>
        </is>
      </c>
      <c r="D166">
        <f>IF(Wizards!$A$2="","",IF(OR(ISNUMBER(SEARCH(", "&amp;$B166&amp;", ", ", "&amp;INDEX('Form Responses'!$I$1:$Q$200,2,$A166)&amp;", ")),ISNUMBER(SEARCH(", "&amp;$B166&amp;", ", ", "&amp;INDEX('Form Responses'!$R$1:$R$200,2)&amp;", "))),1,""))</f>
        <v/>
      </c>
      <c r="E166">
        <f>IF(Wizards!$A$3="","",IF(OR(ISNUMBER(SEARCH(", "&amp;$B166&amp;", ", ", "&amp;INDEX('Form Responses'!$I$1:$Q$200,3,$A166)&amp;", ")),ISNUMBER(SEARCH(", "&amp;$B166&amp;", ", ", "&amp;INDEX('Form Responses'!$R$1:$R$200,3)&amp;", "))),1,""))</f>
        <v/>
      </c>
      <c r="F166">
        <f>IF(Wizards!$A$4="","",IF(OR(ISNUMBER(SEARCH(", "&amp;$B166&amp;", ", ", "&amp;INDEX('Form Responses'!$I$1:$Q$200,4,$A166)&amp;", ")),ISNUMBER(SEARCH(", "&amp;$B166&amp;", ", ", "&amp;INDEX('Form Responses'!$R$1:$R$200,4)&amp;", "))),1,""))</f>
        <v/>
      </c>
      <c r="G166">
        <f>IF(Wizards!$A$5="","",IF(OR(ISNUMBER(SEARCH(", "&amp;$B166&amp;", ", ", "&amp;INDEX('Form Responses'!$I$1:$Q$200,5,$A166)&amp;", ")),ISNUMBER(SEARCH(", "&amp;$B166&amp;", ", ", "&amp;INDEX('Form Responses'!$R$1:$R$200,5)&amp;", "))),1,""))</f>
        <v/>
      </c>
      <c r="H166">
        <f>IF(Wizards!$A$6="","",IF(OR(ISNUMBER(SEARCH(", "&amp;$B166&amp;", ", ", "&amp;INDEX('Form Responses'!$I$1:$Q$200,6,$A166)&amp;", ")),ISNUMBER(SEARCH(", "&amp;$B166&amp;", ", ", "&amp;INDEX('Form Responses'!$R$1:$R$200,6)&amp;", "))),1,""))</f>
        <v/>
      </c>
      <c r="I166">
        <f>IF(Wizards!$A$7="","",IF(OR(ISNUMBER(SEARCH(", "&amp;$B166&amp;", ", ", "&amp;INDEX('Form Responses'!$I$1:$Q$200,7,$A166)&amp;", ")),ISNUMBER(SEARCH(", "&amp;$B166&amp;", ", ", "&amp;INDEX('Form Responses'!$R$1:$R$200,7)&amp;", "))),1,""))</f>
        <v/>
      </c>
      <c r="J166">
        <f>IF(Wizards!$A$8="","",IF(OR(ISNUMBER(SEARCH(", "&amp;$B166&amp;", ", ", "&amp;INDEX('Form Responses'!$I$1:$Q$200,8,$A166)&amp;", ")),ISNUMBER(SEARCH(", "&amp;$B166&amp;", ", ", "&amp;INDEX('Form Responses'!$R$1:$R$200,8)&amp;", "))),1,""))</f>
        <v/>
      </c>
      <c r="K166">
        <f>IF(Wizards!$A$9="","",IF(OR(ISNUMBER(SEARCH(", "&amp;$B166&amp;", ", ", "&amp;INDEX('Form Responses'!$I$1:$Q$200,9,$A166)&amp;", ")),ISNUMBER(SEARCH(", "&amp;$B166&amp;", ", ", "&amp;INDEX('Form Responses'!$R$1:$R$200,9)&amp;", "))),1,""))</f>
        <v/>
      </c>
      <c r="L166">
        <f>IF(Wizards!$A$10="","",IF(OR(ISNUMBER(SEARCH(", "&amp;$B166&amp;", ", ", "&amp;INDEX('Form Responses'!$I$1:$Q$200,10,$A166)&amp;", ")),ISNUMBER(SEARCH(", "&amp;$B166&amp;", ", ", "&amp;INDEX('Form Responses'!$R$1:$R$200,10)&amp;", "))),1,""))</f>
        <v/>
      </c>
      <c r="M166">
        <f>IF(Wizards!$A$11="","",IF(OR(ISNUMBER(SEARCH(", "&amp;$B166&amp;", ", ", "&amp;INDEX('Form Responses'!$I$1:$Q$200,11,$A166)&amp;", ")),ISNUMBER(SEARCH(", "&amp;$B166&amp;", ", ", "&amp;INDEX('Form Responses'!$R$1:$R$200,11)&amp;", "))),1,""))</f>
        <v/>
      </c>
      <c r="N166">
        <f>IF(Wizards!$A$12="","",IF(OR(ISNUMBER(SEARCH(", "&amp;$B166&amp;", ", ", "&amp;INDEX('Form Responses'!$I$1:$Q$200,12,$A166)&amp;", ")),ISNUMBER(SEARCH(", "&amp;$B166&amp;", ", ", "&amp;INDEX('Form Responses'!$R$1:$R$200,12)&amp;", "))),1,""))</f>
        <v/>
      </c>
      <c r="O166">
        <f>IF(Wizards!$A$13="","",IF(OR(ISNUMBER(SEARCH(", "&amp;$B166&amp;", ", ", "&amp;INDEX('Form Responses'!$I$1:$Q$200,13,$A166)&amp;", ")),ISNUMBER(SEARCH(", "&amp;$B166&amp;", ", ", "&amp;INDEX('Form Responses'!$R$1:$R$200,13)&amp;", "))),1,""))</f>
        <v/>
      </c>
      <c r="P166">
        <f>IF(Wizards!$A$14="","",IF(OR(ISNUMBER(SEARCH(", "&amp;$B166&amp;", ", ", "&amp;INDEX('Form Responses'!$I$1:$Q$200,14,$A166)&amp;", ")),ISNUMBER(SEARCH(", "&amp;$B166&amp;", ", ", "&amp;INDEX('Form Responses'!$R$1:$R$200,14)&amp;", "))),1,""))</f>
        <v/>
      </c>
      <c r="Q166">
        <f>IF(Wizards!$A$15="","",IF(OR(ISNUMBER(SEARCH(", "&amp;$B166&amp;", ", ", "&amp;INDEX('Form Responses'!$I$1:$Q$200,15,$A166)&amp;", ")),ISNUMBER(SEARCH(", "&amp;$B166&amp;", ", ", "&amp;INDEX('Form Responses'!$R$1:$R$200,15)&amp;", "))),1,""))</f>
        <v/>
      </c>
      <c r="R166">
        <f>IF(Wizards!$A$16="","",IF(OR(ISNUMBER(SEARCH(", "&amp;$B166&amp;", ", ", "&amp;INDEX('Form Responses'!$I$1:$Q$200,16,$A166)&amp;", ")),ISNUMBER(SEARCH(", "&amp;$B166&amp;", ", ", "&amp;INDEX('Form Responses'!$R$1:$R$200,16)&amp;", "))),1,""))</f>
        <v/>
      </c>
      <c r="S166">
        <f>IF(Wizards!$A$17="","",IF(OR(ISNUMBER(SEARCH(", "&amp;$B166&amp;", ", ", "&amp;INDEX('Form Responses'!$I$1:$Q$200,17,$A166)&amp;", ")),ISNUMBER(SEARCH(", "&amp;$B166&amp;", ", ", "&amp;INDEX('Form Responses'!$R$1:$R$200,17)&amp;", "))),1,""))</f>
        <v/>
      </c>
      <c r="T166">
        <f>IF(Wizards!$A$18="","",IF(OR(ISNUMBER(SEARCH(", "&amp;$B166&amp;", ", ", "&amp;INDEX('Form Responses'!$I$1:$Q$200,18,$A166)&amp;", ")),ISNUMBER(SEARCH(", "&amp;$B166&amp;", ", ", "&amp;INDEX('Form Responses'!$R$1:$R$200,18)&amp;", "))),1,""))</f>
        <v/>
      </c>
      <c r="U166">
        <f>IF(Wizards!$A$19="","",IF(OR(ISNUMBER(SEARCH(", "&amp;$B166&amp;", ", ", "&amp;INDEX('Form Responses'!$I$1:$Q$200,19,$A166)&amp;", ")),ISNUMBER(SEARCH(", "&amp;$B166&amp;", ", ", "&amp;INDEX('Form Responses'!$R$1:$R$200,19)&amp;", "))),1,""))</f>
        <v/>
      </c>
      <c r="V166">
        <f>IF(Wizards!$A$20="","",IF(OR(ISNUMBER(SEARCH(", "&amp;$B166&amp;", ", ", "&amp;INDEX('Form Responses'!$I$1:$Q$200,20,$A166)&amp;", ")),ISNUMBER(SEARCH(", "&amp;$B166&amp;", ", ", "&amp;INDEX('Form Responses'!$R$1:$R$200,20)&amp;", "))),1,""))</f>
        <v/>
      </c>
      <c r="W166">
        <f>IF(Wizards!$A$21="","",IF(OR(ISNUMBER(SEARCH(", "&amp;$B166&amp;", ", ", "&amp;INDEX('Form Responses'!$I$1:$Q$200,21,$A166)&amp;", ")),ISNUMBER(SEARCH(", "&amp;$B166&amp;", ", ", "&amp;INDEX('Form Responses'!$R$1:$R$200,21)&amp;", "))),1,""))</f>
        <v/>
      </c>
      <c r="X166">
        <f>IF(Wizards!$A$22="","",IF(OR(ISNUMBER(SEARCH(", "&amp;$B166&amp;", ", ", "&amp;INDEX('Form Responses'!$I$1:$Q$200,22,$A166)&amp;", ")),ISNUMBER(SEARCH(", "&amp;$B166&amp;", ", ", "&amp;INDEX('Form Responses'!$R$1:$R$200,22)&amp;", "))),1,""))</f>
        <v/>
      </c>
      <c r="Y166">
        <f>IF(Wizards!$A$23="","",IF(OR(ISNUMBER(SEARCH(", "&amp;$B166&amp;", ", ", "&amp;INDEX('Form Responses'!$I$1:$Q$200,23,$A166)&amp;", ")),ISNUMBER(SEARCH(", "&amp;$B166&amp;", ", ", "&amp;INDEX('Form Responses'!$R$1:$R$200,23)&amp;", "))),1,""))</f>
        <v/>
      </c>
      <c r="Z166">
        <f>IF(Wizards!$A$24="","",IF(OR(ISNUMBER(SEARCH(", "&amp;$B166&amp;", ", ", "&amp;INDEX('Form Responses'!$I$1:$Q$200,24,$A166)&amp;", ")),ISNUMBER(SEARCH(", "&amp;$B166&amp;", ", ", "&amp;INDEX('Form Responses'!$R$1:$R$200,24)&amp;", "))),1,""))</f>
        <v/>
      </c>
      <c r="AA166">
        <f>IF(Wizards!$A$25="","",IF(OR(ISNUMBER(SEARCH(", "&amp;$B166&amp;", ", ", "&amp;INDEX('Form Responses'!$I$1:$Q$200,25,$A166)&amp;", ")),ISNUMBER(SEARCH(", "&amp;$B166&amp;", ", ", "&amp;INDEX('Form Responses'!$R$1:$R$200,25)&amp;", "))),1,""))</f>
        <v/>
      </c>
      <c r="AB166">
        <f>IF(D166=1,", "&amp;D$1,"")</f>
        <v/>
      </c>
      <c r="AC166">
        <f>IF(E166=1,", "&amp;E$1,"")</f>
        <v/>
      </c>
      <c r="AD166">
        <f>IF(F166=1,", "&amp;F$1,"")</f>
        <v/>
      </c>
      <c r="AE166">
        <f>IF(G166=1,", "&amp;G$1,"")</f>
        <v/>
      </c>
      <c r="AF166">
        <f>IF(H166=1,", "&amp;H$1,"")</f>
        <v/>
      </c>
      <c r="AG166">
        <f>IF(I166=1,", "&amp;I$1,"")</f>
        <v/>
      </c>
      <c r="AH166">
        <f>IF(J166=1,", "&amp;J$1,"")</f>
        <v/>
      </c>
      <c r="AI166">
        <f>IF(K166=1,", "&amp;K$1,"")</f>
        <v/>
      </c>
      <c r="AJ166">
        <f>IF(L166=1,", "&amp;L$1,"")</f>
        <v/>
      </c>
      <c r="AK166">
        <f>IF(M166=1,", "&amp;M$1,"")</f>
        <v/>
      </c>
      <c r="AL166">
        <f>IF(N166=1,", "&amp;N$1,"")</f>
        <v/>
      </c>
      <c r="AM166">
        <f>IF(O166=1,", "&amp;O$1,"")</f>
        <v/>
      </c>
      <c r="AN166">
        <f>IF(P166=1,", "&amp;P$1,"")</f>
        <v/>
      </c>
      <c r="AO166">
        <f>IF(Q166=1,", "&amp;Q$1,"")</f>
        <v/>
      </c>
      <c r="AP166">
        <f>IF(R166=1,", "&amp;R$1,"")</f>
        <v/>
      </c>
      <c r="AQ166">
        <f>IF(S166=1,", "&amp;S$1,"")</f>
        <v/>
      </c>
      <c r="AR166">
        <f>IF(T166=1,", "&amp;T$1,"")</f>
        <v/>
      </c>
      <c r="AS166">
        <f>IF(U166=1,", "&amp;U$1,"")</f>
        <v/>
      </c>
      <c r="AT166">
        <f>IF(V166=1,", "&amp;V$1,"")</f>
        <v/>
      </c>
      <c r="AU166">
        <f>IF(W166=1,", "&amp;W$1,"")</f>
        <v/>
      </c>
      <c r="AV166">
        <f>IF(X166=1,", "&amp;X$1,"")</f>
        <v/>
      </c>
      <c r="AW166">
        <f>IF(Y166=1,", "&amp;Y$1,"")</f>
        <v/>
      </c>
      <c r="AX166">
        <f>IF(Z166=1,", "&amp;Z$1,"")</f>
        <v/>
      </c>
      <c r="AY166">
        <f>IF(AA166=1,", "&amp;AA$1,"")</f>
        <v/>
      </c>
      <c r="AZ166">
        <f>MID($AB166&amp;$AC166&amp;$AD166&amp;$AE166&amp;$AF166&amp;$AG166&amp;$AH166&amp;$AI166&amp;$AJ166&amp;$AK166&amp;$AL166&amp;$AM166&amp;$AN166&amp;$AO166&amp;$AP166&amp;$AQ166&amp;$AR166&amp;$AS166&amp;$AT166&amp;$AU166&amp;$AV166&amp;$AW166&amp;$AX166&amp;$AY166,3,32767)</f>
        <v/>
      </c>
      <c r="BA166">
        <f>COUNT($D166:$AA166)</f>
        <v/>
      </c>
    </row>
    <row r="167">
      <c r="A167" t="n">
        <v>4</v>
      </c>
      <c r="B167" t="inlineStr">
        <is>
          <t>Control Water</t>
        </is>
      </c>
      <c r="C167" t="inlineStr">
        <is>
          <t>Transmutation</t>
        </is>
      </c>
      <c r="D167">
        <f>IF(Wizards!$A$2="","",IF(OR(ISNUMBER(SEARCH(", "&amp;$B167&amp;", ", ", "&amp;INDEX('Form Responses'!$I$1:$Q$200,2,$A167)&amp;", ")),ISNUMBER(SEARCH(", "&amp;$B167&amp;", ", ", "&amp;INDEX('Form Responses'!$R$1:$R$200,2)&amp;", "))),1,""))</f>
        <v/>
      </c>
      <c r="E167">
        <f>IF(Wizards!$A$3="","",IF(OR(ISNUMBER(SEARCH(", "&amp;$B167&amp;", ", ", "&amp;INDEX('Form Responses'!$I$1:$Q$200,3,$A167)&amp;", ")),ISNUMBER(SEARCH(", "&amp;$B167&amp;", ", ", "&amp;INDEX('Form Responses'!$R$1:$R$200,3)&amp;", "))),1,""))</f>
        <v/>
      </c>
      <c r="F167">
        <f>IF(Wizards!$A$4="","",IF(OR(ISNUMBER(SEARCH(", "&amp;$B167&amp;", ", ", "&amp;INDEX('Form Responses'!$I$1:$Q$200,4,$A167)&amp;", ")),ISNUMBER(SEARCH(", "&amp;$B167&amp;", ", ", "&amp;INDEX('Form Responses'!$R$1:$R$200,4)&amp;", "))),1,""))</f>
        <v/>
      </c>
      <c r="G167">
        <f>IF(Wizards!$A$5="","",IF(OR(ISNUMBER(SEARCH(", "&amp;$B167&amp;", ", ", "&amp;INDEX('Form Responses'!$I$1:$Q$200,5,$A167)&amp;", ")),ISNUMBER(SEARCH(", "&amp;$B167&amp;", ", ", "&amp;INDEX('Form Responses'!$R$1:$R$200,5)&amp;", "))),1,""))</f>
        <v/>
      </c>
      <c r="H167">
        <f>IF(Wizards!$A$6="","",IF(OR(ISNUMBER(SEARCH(", "&amp;$B167&amp;", ", ", "&amp;INDEX('Form Responses'!$I$1:$Q$200,6,$A167)&amp;", ")),ISNUMBER(SEARCH(", "&amp;$B167&amp;", ", ", "&amp;INDEX('Form Responses'!$R$1:$R$200,6)&amp;", "))),1,""))</f>
        <v/>
      </c>
      <c r="I167">
        <f>IF(Wizards!$A$7="","",IF(OR(ISNUMBER(SEARCH(", "&amp;$B167&amp;", ", ", "&amp;INDEX('Form Responses'!$I$1:$Q$200,7,$A167)&amp;", ")),ISNUMBER(SEARCH(", "&amp;$B167&amp;", ", ", "&amp;INDEX('Form Responses'!$R$1:$R$200,7)&amp;", "))),1,""))</f>
        <v/>
      </c>
      <c r="J167">
        <f>IF(Wizards!$A$8="","",IF(OR(ISNUMBER(SEARCH(", "&amp;$B167&amp;", ", ", "&amp;INDEX('Form Responses'!$I$1:$Q$200,8,$A167)&amp;", ")),ISNUMBER(SEARCH(", "&amp;$B167&amp;", ", ", "&amp;INDEX('Form Responses'!$R$1:$R$200,8)&amp;", "))),1,""))</f>
        <v/>
      </c>
      <c r="K167">
        <f>IF(Wizards!$A$9="","",IF(OR(ISNUMBER(SEARCH(", "&amp;$B167&amp;", ", ", "&amp;INDEX('Form Responses'!$I$1:$Q$200,9,$A167)&amp;", ")),ISNUMBER(SEARCH(", "&amp;$B167&amp;", ", ", "&amp;INDEX('Form Responses'!$R$1:$R$200,9)&amp;", "))),1,""))</f>
        <v/>
      </c>
      <c r="L167">
        <f>IF(Wizards!$A$10="","",IF(OR(ISNUMBER(SEARCH(", "&amp;$B167&amp;", ", ", "&amp;INDEX('Form Responses'!$I$1:$Q$200,10,$A167)&amp;", ")),ISNUMBER(SEARCH(", "&amp;$B167&amp;", ", ", "&amp;INDEX('Form Responses'!$R$1:$R$200,10)&amp;", "))),1,""))</f>
        <v/>
      </c>
      <c r="M167">
        <f>IF(Wizards!$A$11="","",IF(OR(ISNUMBER(SEARCH(", "&amp;$B167&amp;", ", ", "&amp;INDEX('Form Responses'!$I$1:$Q$200,11,$A167)&amp;", ")),ISNUMBER(SEARCH(", "&amp;$B167&amp;", ", ", "&amp;INDEX('Form Responses'!$R$1:$R$200,11)&amp;", "))),1,""))</f>
        <v/>
      </c>
      <c r="N167">
        <f>IF(Wizards!$A$12="","",IF(OR(ISNUMBER(SEARCH(", "&amp;$B167&amp;", ", ", "&amp;INDEX('Form Responses'!$I$1:$Q$200,12,$A167)&amp;", ")),ISNUMBER(SEARCH(", "&amp;$B167&amp;", ", ", "&amp;INDEX('Form Responses'!$R$1:$R$200,12)&amp;", "))),1,""))</f>
        <v/>
      </c>
      <c r="O167">
        <f>IF(Wizards!$A$13="","",IF(OR(ISNUMBER(SEARCH(", "&amp;$B167&amp;", ", ", "&amp;INDEX('Form Responses'!$I$1:$Q$200,13,$A167)&amp;", ")),ISNUMBER(SEARCH(", "&amp;$B167&amp;", ", ", "&amp;INDEX('Form Responses'!$R$1:$R$200,13)&amp;", "))),1,""))</f>
        <v/>
      </c>
      <c r="P167">
        <f>IF(Wizards!$A$14="","",IF(OR(ISNUMBER(SEARCH(", "&amp;$B167&amp;", ", ", "&amp;INDEX('Form Responses'!$I$1:$Q$200,14,$A167)&amp;", ")),ISNUMBER(SEARCH(", "&amp;$B167&amp;", ", ", "&amp;INDEX('Form Responses'!$R$1:$R$200,14)&amp;", "))),1,""))</f>
        <v/>
      </c>
      <c r="Q167">
        <f>IF(Wizards!$A$15="","",IF(OR(ISNUMBER(SEARCH(", "&amp;$B167&amp;", ", ", "&amp;INDEX('Form Responses'!$I$1:$Q$200,15,$A167)&amp;", ")),ISNUMBER(SEARCH(", "&amp;$B167&amp;", ", ", "&amp;INDEX('Form Responses'!$R$1:$R$200,15)&amp;", "))),1,""))</f>
        <v/>
      </c>
      <c r="R167">
        <f>IF(Wizards!$A$16="","",IF(OR(ISNUMBER(SEARCH(", "&amp;$B167&amp;", ", ", "&amp;INDEX('Form Responses'!$I$1:$Q$200,16,$A167)&amp;", ")),ISNUMBER(SEARCH(", "&amp;$B167&amp;", ", ", "&amp;INDEX('Form Responses'!$R$1:$R$200,16)&amp;", "))),1,""))</f>
        <v/>
      </c>
      <c r="S167">
        <f>IF(Wizards!$A$17="","",IF(OR(ISNUMBER(SEARCH(", "&amp;$B167&amp;", ", ", "&amp;INDEX('Form Responses'!$I$1:$Q$200,17,$A167)&amp;", ")),ISNUMBER(SEARCH(", "&amp;$B167&amp;", ", ", "&amp;INDEX('Form Responses'!$R$1:$R$200,17)&amp;", "))),1,""))</f>
        <v/>
      </c>
      <c r="T167">
        <f>IF(Wizards!$A$18="","",IF(OR(ISNUMBER(SEARCH(", "&amp;$B167&amp;", ", ", "&amp;INDEX('Form Responses'!$I$1:$Q$200,18,$A167)&amp;", ")),ISNUMBER(SEARCH(", "&amp;$B167&amp;", ", ", "&amp;INDEX('Form Responses'!$R$1:$R$200,18)&amp;", "))),1,""))</f>
        <v/>
      </c>
      <c r="U167">
        <f>IF(Wizards!$A$19="","",IF(OR(ISNUMBER(SEARCH(", "&amp;$B167&amp;", ", ", "&amp;INDEX('Form Responses'!$I$1:$Q$200,19,$A167)&amp;", ")),ISNUMBER(SEARCH(", "&amp;$B167&amp;", ", ", "&amp;INDEX('Form Responses'!$R$1:$R$200,19)&amp;", "))),1,""))</f>
        <v/>
      </c>
      <c r="V167">
        <f>IF(Wizards!$A$20="","",IF(OR(ISNUMBER(SEARCH(", "&amp;$B167&amp;", ", ", "&amp;INDEX('Form Responses'!$I$1:$Q$200,20,$A167)&amp;", ")),ISNUMBER(SEARCH(", "&amp;$B167&amp;", ", ", "&amp;INDEX('Form Responses'!$R$1:$R$200,20)&amp;", "))),1,""))</f>
        <v/>
      </c>
      <c r="W167">
        <f>IF(Wizards!$A$21="","",IF(OR(ISNUMBER(SEARCH(", "&amp;$B167&amp;", ", ", "&amp;INDEX('Form Responses'!$I$1:$Q$200,21,$A167)&amp;", ")),ISNUMBER(SEARCH(", "&amp;$B167&amp;", ", ", "&amp;INDEX('Form Responses'!$R$1:$R$200,21)&amp;", "))),1,""))</f>
        <v/>
      </c>
      <c r="X167">
        <f>IF(Wizards!$A$22="","",IF(OR(ISNUMBER(SEARCH(", "&amp;$B167&amp;", ", ", "&amp;INDEX('Form Responses'!$I$1:$Q$200,22,$A167)&amp;", ")),ISNUMBER(SEARCH(", "&amp;$B167&amp;", ", ", "&amp;INDEX('Form Responses'!$R$1:$R$200,22)&amp;", "))),1,""))</f>
        <v/>
      </c>
      <c r="Y167">
        <f>IF(Wizards!$A$23="","",IF(OR(ISNUMBER(SEARCH(", "&amp;$B167&amp;", ", ", "&amp;INDEX('Form Responses'!$I$1:$Q$200,23,$A167)&amp;", ")),ISNUMBER(SEARCH(", "&amp;$B167&amp;", ", ", "&amp;INDEX('Form Responses'!$R$1:$R$200,23)&amp;", "))),1,""))</f>
        <v/>
      </c>
      <c r="Z167">
        <f>IF(Wizards!$A$24="","",IF(OR(ISNUMBER(SEARCH(", "&amp;$B167&amp;", ", ", "&amp;INDEX('Form Responses'!$I$1:$Q$200,24,$A167)&amp;", ")),ISNUMBER(SEARCH(", "&amp;$B167&amp;", ", ", "&amp;INDEX('Form Responses'!$R$1:$R$200,24)&amp;", "))),1,""))</f>
        <v/>
      </c>
      <c r="AA167">
        <f>IF(Wizards!$A$25="","",IF(OR(ISNUMBER(SEARCH(", "&amp;$B167&amp;", ", ", "&amp;INDEX('Form Responses'!$I$1:$Q$200,25,$A167)&amp;", ")),ISNUMBER(SEARCH(", "&amp;$B167&amp;", ", ", "&amp;INDEX('Form Responses'!$R$1:$R$200,25)&amp;", "))),1,""))</f>
        <v/>
      </c>
      <c r="AB167">
        <f>IF(D167=1,", "&amp;D$1,"")</f>
        <v/>
      </c>
      <c r="AC167">
        <f>IF(E167=1,", "&amp;E$1,"")</f>
        <v/>
      </c>
      <c r="AD167">
        <f>IF(F167=1,", "&amp;F$1,"")</f>
        <v/>
      </c>
      <c r="AE167">
        <f>IF(G167=1,", "&amp;G$1,"")</f>
        <v/>
      </c>
      <c r="AF167">
        <f>IF(H167=1,", "&amp;H$1,"")</f>
        <v/>
      </c>
      <c r="AG167">
        <f>IF(I167=1,", "&amp;I$1,"")</f>
        <v/>
      </c>
      <c r="AH167">
        <f>IF(J167=1,", "&amp;J$1,"")</f>
        <v/>
      </c>
      <c r="AI167">
        <f>IF(K167=1,", "&amp;K$1,"")</f>
        <v/>
      </c>
      <c r="AJ167">
        <f>IF(L167=1,", "&amp;L$1,"")</f>
        <v/>
      </c>
      <c r="AK167">
        <f>IF(M167=1,", "&amp;M$1,"")</f>
        <v/>
      </c>
      <c r="AL167">
        <f>IF(N167=1,", "&amp;N$1,"")</f>
        <v/>
      </c>
      <c r="AM167">
        <f>IF(O167=1,", "&amp;O$1,"")</f>
        <v/>
      </c>
      <c r="AN167">
        <f>IF(P167=1,", "&amp;P$1,"")</f>
        <v/>
      </c>
      <c r="AO167">
        <f>IF(Q167=1,", "&amp;Q$1,"")</f>
        <v/>
      </c>
      <c r="AP167">
        <f>IF(R167=1,", "&amp;R$1,"")</f>
        <v/>
      </c>
      <c r="AQ167">
        <f>IF(S167=1,", "&amp;S$1,"")</f>
        <v/>
      </c>
      <c r="AR167">
        <f>IF(T167=1,", "&amp;T$1,"")</f>
        <v/>
      </c>
      <c r="AS167">
        <f>IF(U167=1,", "&amp;U$1,"")</f>
        <v/>
      </c>
      <c r="AT167">
        <f>IF(V167=1,", "&amp;V$1,"")</f>
        <v/>
      </c>
      <c r="AU167">
        <f>IF(W167=1,", "&amp;W$1,"")</f>
        <v/>
      </c>
      <c r="AV167">
        <f>IF(X167=1,", "&amp;X$1,"")</f>
        <v/>
      </c>
      <c r="AW167">
        <f>IF(Y167=1,", "&amp;Y$1,"")</f>
        <v/>
      </c>
      <c r="AX167">
        <f>IF(Z167=1,", "&amp;Z$1,"")</f>
        <v/>
      </c>
      <c r="AY167">
        <f>IF(AA167=1,", "&amp;AA$1,"")</f>
        <v/>
      </c>
      <c r="AZ167">
        <f>MID($AB167&amp;$AC167&amp;$AD167&amp;$AE167&amp;$AF167&amp;$AG167&amp;$AH167&amp;$AI167&amp;$AJ167&amp;$AK167&amp;$AL167&amp;$AM167&amp;$AN167&amp;$AO167&amp;$AP167&amp;$AQ167&amp;$AR167&amp;$AS167&amp;$AT167&amp;$AU167&amp;$AV167&amp;$AW167&amp;$AX167&amp;$AY167,3,32767)</f>
        <v/>
      </c>
      <c r="BA167">
        <f>COUNT($D167:$AA167)</f>
        <v/>
      </c>
    </row>
    <row r="168">
      <c r="A168" t="n">
        <v>4</v>
      </c>
      <c r="B168" t="inlineStr">
        <is>
          <t>Dimension Door</t>
        </is>
      </c>
      <c r="C168" t="inlineStr">
        <is>
          <t>Conjuration</t>
        </is>
      </c>
      <c r="D168">
        <f>IF(Wizards!$A$2="","",IF(OR(ISNUMBER(SEARCH(", "&amp;$B168&amp;", ", ", "&amp;INDEX('Form Responses'!$I$1:$Q$200,2,$A168)&amp;", ")),ISNUMBER(SEARCH(", "&amp;$B168&amp;", ", ", "&amp;INDEX('Form Responses'!$R$1:$R$200,2)&amp;", "))),1,""))</f>
        <v/>
      </c>
      <c r="E168">
        <f>IF(Wizards!$A$3="","",IF(OR(ISNUMBER(SEARCH(", "&amp;$B168&amp;", ", ", "&amp;INDEX('Form Responses'!$I$1:$Q$200,3,$A168)&amp;", ")),ISNUMBER(SEARCH(", "&amp;$B168&amp;", ", ", "&amp;INDEX('Form Responses'!$R$1:$R$200,3)&amp;", "))),1,""))</f>
        <v/>
      </c>
      <c r="F168">
        <f>IF(Wizards!$A$4="","",IF(OR(ISNUMBER(SEARCH(", "&amp;$B168&amp;", ", ", "&amp;INDEX('Form Responses'!$I$1:$Q$200,4,$A168)&amp;", ")),ISNUMBER(SEARCH(", "&amp;$B168&amp;", ", ", "&amp;INDEX('Form Responses'!$R$1:$R$200,4)&amp;", "))),1,""))</f>
        <v/>
      </c>
      <c r="G168">
        <f>IF(Wizards!$A$5="","",IF(OR(ISNUMBER(SEARCH(", "&amp;$B168&amp;", ", ", "&amp;INDEX('Form Responses'!$I$1:$Q$200,5,$A168)&amp;", ")),ISNUMBER(SEARCH(", "&amp;$B168&amp;", ", ", "&amp;INDEX('Form Responses'!$R$1:$R$200,5)&amp;", "))),1,""))</f>
        <v/>
      </c>
      <c r="H168">
        <f>IF(Wizards!$A$6="","",IF(OR(ISNUMBER(SEARCH(", "&amp;$B168&amp;", ", ", "&amp;INDEX('Form Responses'!$I$1:$Q$200,6,$A168)&amp;", ")),ISNUMBER(SEARCH(", "&amp;$B168&amp;", ", ", "&amp;INDEX('Form Responses'!$R$1:$R$200,6)&amp;", "))),1,""))</f>
        <v/>
      </c>
      <c r="I168">
        <f>IF(Wizards!$A$7="","",IF(OR(ISNUMBER(SEARCH(", "&amp;$B168&amp;", ", ", "&amp;INDEX('Form Responses'!$I$1:$Q$200,7,$A168)&amp;", ")),ISNUMBER(SEARCH(", "&amp;$B168&amp;", ", ", "&amp;INDEX('Form Responses'!$R$1:$R$200,7)&amp;", "))),1,""))</f>
        <v/>
      </c>
      <c r="J168">
        <f>IF(Wizards!$A$8="","",IF(OR(ISNUMBER(SEARCH(", "&amp;$B168&amp;", ", ", "&amp;INDEX('Form Responses'!$I$1:$Q$200,8,$A168)&amp;", ")),ISNUMBER(SEARCH(", "&amp;$B168&amp;", ", ", "&amp;INDEX('Form Responses'!$R$1:$R$200,8)&amp;", "))),1,""))</f>
        <v/>
      </c>
      <c r="K168">
        <f>IF(Wizards!$A$9="","",IF(OR(ISNUMBER(SEARCH(", "&amp;$B168&amp;", ", ", "&amp;INDEX('Form Responses'!$I$1:$Q$200,9,$A168)&amp;", ")),ISNUMBER(SEARCH(", "&amp;$B168&amp;", ", ", "&amp;INDEX('Form Responses'!$R$1:$R$200,9)&amp;", "))),1,""))</f>
        <v/>
      </c>
      <c r="L168">
        <f>IF(Wizards!$A$10="","",IF(OR(ISNUMBER(SEARCH(", "&amp;$B168&amp;", ", ", "&amp;INDEX('Form Responses'!$I$1:$Q$200,10,$A168)&amp;", ")),ISNUMBER(SEARCH(", "&amp;$B168&amp;", ", ", "&amp;INDEX('Form Responses'!$R$1:$R$200,10)&amp;", "))),1,""))</f>
        <v/>
      </c>
      <c r="M168">
        <f>IF(Wizards!$A$11="","",IF(OR(ISNUMBER(SEARCH(", "&amp;$B168&amp;", ", ", "&amp;INDEX('Form Responses'!$I$1:$Q$200,11,$A168)&amp;", ")),ISNUMBER(SEARCH(", "&amp;$B168&amp;", ", ", "&amp;INDEX('Form Responses'!$R$1:$R$200,11)&amp;", "))),1,""))</f>
        <v/>
      </c>
      <c r="N168">
        <f>IF(Wizards!$A$12="","",IF(OR(ISNUMBER(SEARCH(", "&amp;$B168&amp;", ", ", "&amp;INDEX('Form Responses'!$I$1:$Q$200,12,$A168)&amp;", ")),ISNUMBER(SEARCH(", "&amp;$B168&amp;", ", ", "&amp;INDEX('Form Responses'!$R$1:$R$200,12)&amp;", "))),1,""))</f>
        <v/>
      </c>
      <c r="O168">
        <f>IF(Wizards!$A$13="","",IF(OR(ISNUMBER(SEARCH(", "&amp;$B168&amp;", ", ", "&amp;INDEX('Form Responses'!$I$1:$Q$200,13,$A168)&amp;", ")),ISNUMBER(SEARCH(", "&amp;$B168&amp;", ", ", "&amp;INDEX('Form Responses'!$R$1:$R$200,13)&amp;", "))),1,""))</f>
        <v/>
      </c>
      <c r="P168">
        <f>IF(Wizards!$A$14="","",IF(OR(ISNUMBER(SEARCH(", "&amp;$B168&amp;", ", ", "&amp;INDEX('Form Responses'!$I$1:$Q$200,14,$A168)&amp;", ")),ISNUMBER(SEARCH(", "&amp;$B168&amp;", ", ", "&amp;INDEX('Form Responses'!$R$1:$R$200,14)&amp;", "))),1,""))</f>
        <v/>
      </c>
      <c r="Q168">
        <f>IF(Wizards!$A$15="","",IF(OR(ISNUMBER(SEARCH(", "&amp;$B168&amp;", ", ", "&amp;INDEX('Form Responses'!$I$1:$Q$200,15,$A168)&amp;", ")),ISNUMBER(SEARCH(", "&amp;$B168&amp;", ", ", "&amp;INDEX('Form Responses'!$R$1:$R$200,15)&amp;", "))),1,""))</f>
        <v/>
      </c>
      <c r="R168">
        <f>IF(Wizards!$A$16="","",IF(OR(ISNUMBER(SEARCH(", "&amp;$B168&amp;", ", ", "&amp;INDEX('Form Responses'!$I$1:$Q$200,16,$A168)&amp;", ")),ISNUMBER(SEARCH(", "&amp;$B168&amp;", ", ", "&amp;INDEX('Form Responses'!$R$1:$R$200,16)&amp;", "))),1,""))</f>
        <v/>
      </c>
      <c r="S168">
        <f>IF(Wizards!$A$17="","",IF(OR(ISNUMBER(SEARCH(", "&amp;$B168&amp;", ", ", "&amp;INDEX('Form Responses'!$I$1:$Q$200,17,$A168)&amp;", ")),ISNUMBER(SEARCH(", "&amp;$B168&amp;", ", ", "&amp;INDEX('Form Responses'!$R$1:$R$200,17)&amp;", "))),1,""))</f>
        <v/>
      </c>
      <c r="T168">
        <f>IF(Wizards!$A$18="","",IF(OR(ISNUMBER(SEARCH(", "&amp;$B168&amp;", ", ", "&amp;INDEX('Form Responses'!$I$1:$Q$200,18,$A168)&amp;", ")),ISNUMBER(SEARCH(", "&amp;$B168&amp;", ", ", "&amp;INDEX('Form Responses'!$R$1:$R$200,18)&amp;", "))),1,""))</f>
        <v/>
      </c>
      <c r="U168">
        <f>IF(Wizards!$A$19="","",IF(OR(ISNUMBER(SEARCH(", "&amp;$B168&amp;", ", ", "&amp;INDEX('Form Responses'!$I$1:$Q$200,19,$A168)&amp;", ")),ISNUMBER(SEARCH(", "&amp;$B168&amp;", ", ", "&amp;INDEX('Form Responses'!$R$1:$R$200,19)&amp;", "))),1,""))</f>
        <v/>
      </c>
      <c r="V168">
        <f>IF(Wizards!$A$20="","",IF(OR(ISNUMBER(SEARCH(", "&amp;$B168&amp;", ", ", "&amp;INDEX('Form Responses'!$I$1:$Q$200,20,$A168)&amp;", ")),ISNUMBER(SEARCH(", "&amp;$B168&amp;", ", ", "&amp;INDEX('Form Responses'!$R$1:$R$200,20)&amp;", "))),1,""))</f>
        <v/>
      </c>
      <c r="W168">
        <f>IF(Wizards!$A$21="","",IF(OR(ISNUMBER(SEARCH(", "&amp;$B168&amp;", ", ", "&amp;INDEX('Form Responses'!$I$1:$Q$200,21,$A168)&amp;", ")),ISNUMBER(SEARCH(", "&amp;$B168&amp;", ", ", "&amp;INDEX('Form Responses'!$R$1:$R$200,21)&amp;", "))),1,""))</f>
        <v/>
      </c>
      <c r="X168">
        <f>IF(Wizards!$A$22="","",IF(OR(ISNUMBER(SEARCH(", "&amp;$B168&amp;", ", ", "&amp;INDEX('Form Responses'!$I$1:$Q$200,22,$A168)&amp;", ")),ISNUMBER(SEARCH(", "&amp;$B168&amp;", ", ", "&amp;INDEX('Form Responses'!$R$1:$R$200,22)&amp;", "))),1,""))</f>
        <v/>
      </c>
      <c r="Y168">
        <f>IF(Wizards!$A$23="","",IF(OR(ISNUMBER(SEARCH(", "&amp;$B168&amp;", ", ", "&amp;INDEX('Form Responses'!$I$1:$Q$200,23,$A168)&amp;", ")),ISNUMBER(SEARCH(", "&amp;$B168&amp;", ", ", "&amp;INDEX('Form Responses'!$R$1:$R$200,23)&amp;", "))),1,""))</f>
        <v/>
      </c>
      <c r="Z168">
        <f>IF(Wizards!$A$24="","",IF(OR(ISNUMBER(SEARCH(", "&amp;$B168&amp;", ", ", "&amp;INDEX('Form Responses'!$I$1:$Q$200,24,$A168)&amp;", ")),ISNUMBER(SEARCH(", "&amp;$B168&amp;", ", ", "&amp;INDEX('Form Responses'!$R$1:$R$200,24)&amp;", "))),1,""))</f>
        <v/>
      </c>
      <c r="AA168">
        <f>IF(Wizards!$A$25="","",IF(OR(ISNUMBER(SEARCH(", "&amp;$B168&amp;", ", ", "&amp;INDEX('Form Responses'!$I$1:$Q$200,25,$A168)&amp;", ")),ISNUMBER(SEARCH(", "&amp;$B168&amp;", ", ", "&amp;INDEX('Form Responses'!$R$1:$R$200,25)&amp;", "))),1,""))</f>
        <v/>
      </c>
      <c r="AB168">
        <f>IF(D168=1,", "&amp;D$1,"")</f>
        <v/>
      </c>
      <c r="AC168">
        <f>IF(E168=1,", "&amp;E$1,"")</f>
        <v/>
      </c>
      <c r="AD168">
        <f>IF(F168=1,", "&amp;F$1,"")</f>
        <v/>
      </c>
      <c r="AE168">
        <f>IF(G168=1,", "&amp;G$1,"")</f>
        <v/>
      </c>
      <c r="AF168">
        <f>IF(H168=1,", "&amp;H$1,"")</f>
        <v/>
      </c>
      <c r="AG168">
        <f>IF(I168=1,", "&amp;I$1,"")</f>
        <v/>
      </c>
      <c r="AH168">
        <f>IF(J168=1,", "&amp;J$1,"")</f>
        <v/>
      </c>
      <c r="AI168">
        <f>IF(K168=1,", "&amp;K$1,"")</f>
        <v/>
      </c>
      <c r="AJ168">
        <f>IF(L168=1,", "&amp;L$1,"")</f>
        <v/>
      </c>
      <c r="AK168">
        <f>IF(M168=1,", "&amp;M$1,"")</f>
        <v/>
      </c>
      <c r="AL168">
        <f>IF(N168=1,", "&amp;N$1,"")</f>
        <v/>
      </c>
      <c r="AM168">
        <f>IF(O168=1,", "&amp;O$1,"")</f>
        <v/>
      </c>
      <c r="AN168">
        <f>IF(P168=1,", "&amp;P$1,"")</f>
        <v/>
      </c>
      <c r="AO168">
        <f>IF(Q168=1,", "&amp;Q$1,"")</f>
        <v/>
      </c>
      <c r="AP168">
        <f>IF(R168=1,", "&amp;R$1,"")</f>
        <v/>
      </c>
      <c r="AQ168">
        <f>IF(S168=1,", "&amp;S$1,"")</f>
        <v/>
      </c>
      <c r="AR168">
        <f>IF(T168=1,", "&amp;T$1,"")</f>
        <v/>
      </c>
      <c r="AS168">
        <f>IF(U168=1,", "&amp;U$1,"")</f>
        <v/>
      </c>
      <c r="AT168">
        <f>IF(V168=1,", "&amp;V$1,"")</f>
        <v/>
      </c>
      <c r="AU168">
        <f>IF(W168=1,", "&amp;W$1,"")</f>
        <v/>
      </c>
      <c r="AV168">
        <f>IF(X168=1,", "&amp;X$1,"")</f>
        <v/>
      </c>
      <c r="AW168">
        <f>IF(Y168=1,", "&amp;Y$1,"")</f>
        <v/>
      </c>
      <c r="AX168">
        <f>IF(Z168=1,", "&amp;Z$1,"")</f>
        <v/>
      </c>
      <c r="AY168">
        <f>IF(AA168=1,", "&amp;AA$1,"")</f>
        <v/>
      </c>
      <c r="AZ168">
        <f>MID($AB168&amp;$AC168&amp;$AD168&amp;$AE168&amp;$AF168&amp;$AG168&amp;$AH168&amp;$AI168&amp;$AJ168&amp;$AK168&amp;$AL168&amp;$AM168&amp;$AN168&amp;$AO168&amp;$AP168&amp;$AQ168&amp;$AR168&amp;$AS168&amp;$AT168&amp;$AU168&amp;$AV168&amp;$AW168&amp;$AX168&amp;$AY168,3,32767)</f>
        <v/>
      </c>
      <c r="BA168">
        <f>COUNT($D168:$AA168)</f>
        <v/>
      </c>
    </row>
    <row r="169">
      <c r="A169" t="n">
        <v>4</v>
      </c>
      <c r="B169" t="inlineStr">
        <is>
          <t>Distorted Distance</t>
        </is>
      </c>
      <c r="C169" t="inlineStr">
        <is>
          <t>Illusion</t>
        </is>
      </c>
      <c r="D169">
        <f>IF(Wizards!$A$2="","",IF(OR(ISNUMBER(SEARCH(", "&amp;$B169&amp;", ", ", "&amp;INDEX('Form Responses'!$I$1:$Q$200,2,$A169)&amp;", ")),ISNUMBER(SEARCH(", "&amp;$B169&amp;", ", ", "&amp;INDEX('Form Responses'!$R$1:$R$200,2)&amp;", "))),1,""))</f>
        <v/>
      </c>
      <c r="E169">
        <f>IF(Wizards!$A$3="","",IF(OR(ISNUMBER(SEARCH(", "&amp;$B169&amp;", ", ", "&amp;INDEX('Form Responses'!$I$1:$Q$200,3,$A169)&amp;", ")),ISNUMBER(SEARCH(", "&amp;$B169&amp;", ", ", "&amp;INDEX('Form Responses'!$R$1:$R$200,3)&amp;", "))),1,""))</f>
        <v/>
      </c>
      <c r="F169">
        <f>IF(Wizards!$A$4="","",IF(OR(ISNUMBER(SEARCH(", "&amp;$B169&amp;", ", ", "&amp;INDEX('Form Responses'!$I$1:$Q$200,4,$A169)&amp;", ")),ISNUMBER(SEARCH(", "&amp;$B169&amp;", ", ", "&amp;INDEX('Form Responses'!$R$1:$R$200,4)&amp;", "))),1,""))</f>
        <v/>
      </c>
      <c r="G169">
        <f>IF(Wizards!$A$5="","",IF(OR(ISNUMBER(SEARCH(", "&amp;$B169&amp;", ", ", "&amp;INDEX('Form Responses'!$I$1:$Q$200,5,$A169)&amp;", ")),ISNUMBER(SEARCH(", "&amp;$B169&amp;", ", ", "&amp;INDEX('Form Responses'!$R$1:$R$200,5)&amp;", "))),1,""))</f>
        <v/>
      </c>
      <c r="H169">
        <f>IF(Wizards!$A$6="","",IF(OR(ISNUMBER(SEARCH(", "&amp;$B169&amp;", ", ", "&amp;INDEX('Form Responses'!$I$1:$Q$200,6,$A169)&amp;", ")),ISNUMBER(SEARCH(", "&amp;$B169&amp;", ", ", "&amp;INDEX('Form Responses'!$R$1:$R$200,6)&amp;", "))),1,""))</f>
        <v/>
      </c>
      <c r="I169">
        <f>IF(Wizards!$A$7="","",IF(OR(ISNUMBER(SEARCH(", "&amp;$B169&amp;", ", ", "&amp;INDEX('Form Responses'!$I$1:$Q$200,7,$A169)&amp;", ")),ISNUMBER(SEARCH(", "&amp;$B169&amp;", ", ", "&amp;INDEX('Form Responses'!$R$1:$R$200,7)&amp;", "))),1,""))</f>
        <v/>
      </c>
      <c r="J169">
        <f>IF(Wizards!$A$8="","",IF(OR(ISNUMBER(SEARCH(", "&amp;$B169&amp;", ", ", "&amp;INDEX('Form Responses'!$I$1:$Q$200,8,$A169)&amp;", ")),ISNUMBER(SEARCH(", "&amp;$B169&amp;", ", ", "&amp;INDEX('Form Responses'!$R$1:$R$200,8)&amp;", "))),1,""))</f>
        <v/>
      </c>
      <c r="K169">
        <f>IF(Wizards!$A$9="","",IF(OR(ISNUMBER(SEARCH(", "&amp;$B169&amp;", ", ", "&amp;INDEX('Form Responses'!$I$1:$Q$200,9,$A169)&amp;", ")),ISNUMBER(SEARCH(", "&amp;$B169&amp;", ", ", "&amp;INDEX('Form Responses'!$R$1:$R$200,9)&amp;", "))),1,""))</f>
        <v/>
      </c>
      <c r="L169">
        <f>IF(Wizards!$A$10="","",IF(OR(ISNUMBER(SEARCH(", "&amp;$B169&amp;", ", ", "&amp;INDEX('Form Responses'!$I$1:$Q$200,10,$A169)&amp;", ")),ISNUMBER(SEARCH(", "&amp;$B169&amp;", ", ", "&amp;INDEX('Form Responses'!$R$1:$R$200,10)&amp;", "))),1,""))</f>
        <v/>
      </c>
      <c r="M169">
        <f>IF(Wizards!$A$11="","",IF(OR(ISNUMBER(SEARCH(", "&amp;$B169&amp;", ", ", "&amp;INDEX('Form Responses'!$I$1:$Q$200,11,$A169)&amp;", ")),ISNUMBER(SEARCH(", "&amp;$B169&amp;", ", ", "&amp;INDEX('Form Responses'!$R$1:$R$200,11)&amp;", "))),1,""))</f>
        <v/>
      </c>
      <c r="N169">
        <f>IF(Wizards!$A$12="","",IF(OR(ISNUMBER(SEARCH(", "&amp;$B169&amp;", ", ", "&amp;INDEX('Form Responses'!$I$1:$Q$200,12,$A169)&amp;", ")),ISNUMBER(SEARCH(", "&amp;$B169&amp;", ", ", "&amp;INDEX('Form Responses'!$R$1:$R$200,12)&amp;", "))),1,""))</f>
        <v/>
      </c>
      <c r="O169">
        <f>IF(Wizards!$A$13="","",IF(OR(ISNUMBER(SEARCH(", "&amp;$B169&amp;", ", ", "&amp;INDEX('Form Responses'!$I$1:$Q$200,13,$A169)&amp;", ")),ISNUMBER(SEARCH(", "&amp;$B169&amp;", ", ", "&amp;INDEX('Form Responses'!$R$1:$R$200,13)&amp;", "))),1,""))</f>
        <v/>
      </c>
      <c r="P169">
        <f>IF(Wizards!$A$14="","",IF(OR(ISNUMBER(SEARCH(", "&amp;$B169&amp;", ", ", "&amp;INDEX('Form Responses'!$I$1:$Q$200,14,$A169)&amp;", ")),ISNUMBER(SEARCH(", "&amp;$B169&amp;", ", ", "&amp;INDEX('Form Responses'!$R$1:$R$200,14)&amp;", "))),1,""))</f>
        <v/>
      </c>
      <c r="Q169">
        <f>IF(Wizards!$A$15="","",IF(OR(ISNUMBER(SEARCH(", "&amp;$B169&amp;", ", ", "&amp;INDEX('Form Responses'!$I$1:$Q$200,15,$A169)&amp;", ")),ISNUMBER(SEARCH(", "&amp;$B169&amp;", ", ", "&amp;INDEX('Form Responses'!$R$1:$R$200,15)&amp;", "))),1,""))</f>
        <v/>
      </c>
      <c r="R169">
        <f>IF(Wizards!$A$16="","",IF(OR(ISNUMBER(SEARCH(", "&amp;$B169&amp;", ", ", "&amp;INDEX('Form Responses'!$I$1:$Q$200,16,$A169)&amp;", ")),ISNUMBER(SEARCH(", "&amp;$B169&amp;", ", ", "&amp;INDEX('Form Responses'!$R$1:$R$200,16)&amp;", "))),1,""))</f>
        <v/>
      </c>
      <c r="S169">
        <f>IF(Wizards!$A$17="","",IF(OR(ISNUMBER(SEARCH(", "&amp;$B169&amp;", ", ", "&amp;INDEX('Form Responses'!$I$1:$Q$200,17,$A169)&amp;", ")),ISNUMBER(SEARCH(", "&amp;$B169&amp;", ", ", "&amp;INDEX('Form Responses'!$R$1:$R$200,17)&amp;", "))),1,""))</f>
        <v/>
      </c>
      <c r="T169">
        <f>IF(Wizards!$A$18="","",IF(OR(ISNUMBER(SEARCH(", "&amp;$B169&amp;", ", ", "&amp;INDEX('Form Responses'!$I$1:$Q$200,18,$A169)&amp;", ")),ISNUMBER(SEARCH(", "&amp;$B169&amp;", ", ", "&amp;INDEX('Form Responses'!$R$1:$R$200,18)&amp;", "))),1,""))</f>
        <v/>
      </c>
      <c r="U169">
        <f>IF(Wizards!$A$19="","",IF(OR(ISNUMBER(SEARCH(", "&amp;$B169&amp;", ", ", "&amp;INDEX('Form Responses'!$I$1:$Q$200,19,$A169)&amp;", ")),ISNUMBER(SEARCH(", "&amp;$B169&amp;", ", ", "&amp;INDEX('Form Responses'!$R$1:$R$200,19)&amp;", "))),1,""))</f>
        <v/>
      </c>
      <c r="V169">
        <f>IF(Wizards!$A$20="","",IF(OR(ISNUMBER(SEARCH(", "&amp;$B169&amp;", ", ", "&amp;INDEX('Form Responses'!$I$1:$Q$200,20,$A169)&amp;", ")),ISNUMBER(SEARCH(", "&amp;$B169&amp;", ", ", "&amp;INDEX('Form Responses'!$R$1:$R$200,20)&amp;", "))),1,""))</f>
        <v/>
      </c>
      <c r="W169">
        <f>IF(Wizards!$A$21="","",IF(OR(ISNUMBER(SEARCH(", "&amp;$B169&amp;", ", ", "&amp;INDEX('Form Responses'!$I$1:$Q$200,21,$A169)&amp;", ")),ISNUMBER(SEARCH(", "&amp;$B169&amp;", ", ", "&amp;INDEX('Form Responses'!$R$1:$R$200,21)&amp;", "))),1,""))</f>
        <v/>
      </c>
      <c r="X169">
        <f>IF(Wizards!$A$22="","",IF(OR(ISNUMBER(SEARCH(", "&amp;$B169&amp;", ", ", "&amp;INDEX('Form Responses'!$I$1:$Q$200,22,$A169)&amp;", ")),ISNUMBER(SEARCH(", "&amp;$B169&amp;", ", ", "&amp;INDEX('Form Responses'!$R$1:$R$200,22)&amp;", "))),1,""))</f>
        <v/>
      </c>
      <c r="Y169">
        <f>IF(Wizards!$A$23="","",IF(OR(ISNUMBER(SEARCH(", "&amp;$B169&amp;", ", ", "&amp;INDEX('Form Responses'!$I$1:$Q$200,23,$A169)&amp;", ")),ISNUMBER(SEARCH(", "&amp;$B169&amp;", ", ", "&amp;INDEX('Form Responses'!$R$1:$R$200,23)&amp;", "))),1,""))</f>
        <v/>
      </c>
      <c r="Z169">
        <f>IF(Wizards!$A$24="","",IF(OR(ISNUMBER(SEARCH(", "&amp;$B169&amp;", ", ", "&amp;INDEX('Form Responses'!$I$1:$Q$200,24,$A169)&amp;", ")),ISNUMBER(SEARCH(", "&amp;$B169&amp;", ", ", "&amp;INDEX('Form Responses'!$R$1:$R$200,24)&amp;", "))),1,""))</f>
        <v/>
      </c>
      <c r="AA169">
        <f>IF(Wizards!$A$25="","",IF(OR(ISNUMBER(SEARCH(", "&amp;$B169&amp;", ", ", "&amp;INDEX('Form Responses'!$I$1:$Q$200,25,$A169)&amp;", ")),ISNUMBER(SEARCH(", "&amp;$B169&amp;", ", ", "&amp;INDEX('Form Responses'!$R$1:$R$200,25)&amp;", "))),1,""))</f>
        <v/>
      </c>
      <c r="AB169">
        <f>IF(D169=1,", "&amp;D$1,"")</f>
        <v/>
      </c>
      <c r="AC169">
        <f>IF(E169=1,", "&amp;E$1,"")</f>
        <v/>
      </c>
      <c r="AD169">
        <f>IF(F169=1,", "&amp;F$1,"")</f>
        <v/>
      </c>
      <c r="AE169">
        <f>IF(G169=1,", "&amp;G$1,"")</f>
        <v/>
      </c>
      <c r="AF169">
        <f>IF(H169=1,", "&amp;H$1,"")</f>
        <v/>
      </c>
      <c r="AG169">
        <f>IF(I169=1,", "&amp;I$1,"")</f>
        <v/>
      </c>
      <c r="AH169">
        <f>IF(J169=1,", "&amp;J$1,"")</f>
        <v/>
      </c>
      <c r="AI169">
        <f>IF(K169=1,", "&amp;K$1,"")</f>
        <v/>
      </c>
      <c r="AJ169">
        <f>IF(L169=1,", "&amp;L$1,"")</f>
        <v/>
      </c>
      <c r="AK169">
        <f>IF(M169=1,", "&amp;M$1,"")</f>
        <v/>
      </c>
      <c r="AL169">
        <f>IF(N169=1,", "&amp;N$1,"")</f>
        <v/>
      </c>
      <c r="AM169">
        <f>IF(O169=1,", "&amp;O$1,"")</f>
        <v/>
      </c>
      <c r="AN169">
        <f>IF(P169=1,", "&amp;P$1,"")</f>
        <v/>
      </c>
      <c r="AO169">
        <f>IF(Q169=1,", "&amp;Q$1,"")</f>
        <v/>
      </c>
      <c r="AP169">
        <f>IF(R169=1,", "&amp;R$1,"")</f>
        <v/>
      </c>
      <c r="AQ169">
        <f>IF(S169=1,", "&amp;S$1,"")</f>
        <v/>
      </c>
      <c r="AR169">
        <f>IF(T169=1,", "&amp;T$1,"")</f>
        <v/>
      </c>
      <c r="AS169">
        <f>IF(U169=1,", "&amp;U$1,"")</f>
        <v/>
      </c>
      <c r="AT169">
        <f>IF(V169=1,", "&amp;V$1,"")</f>
        <v/>
      </c>
      <c r="AU169">
        <f>IF(W169=1,", "&amp;W$1,"")</f>
        <v/>
      </c>
      <c r="AV169">
        <f>IF(X169=1,", "&amp;X$1,"")</f>
        <v/>
      </c>
      <c r="AW169">
        <f>IF(Y169=1,", "&amp;Y$1,"")</f>
        <v/>
      </c>
      <c r="AX169">
        <f>IF(Z169=1,", "&amp;Z$1,"")</f>
        <v/>
      </c>
      <c r="AY169">
        <f>IF(AA169=1,", "&amp;AA$1,"")</f>
        <v/>
      </c>
      <c r="AZ169">
        <f>MID($AB169&amp;$AC169&amp;$AD169&amp;$AE169&amp;$AF169&amp;$AG169&amp;$AH169&amp;$AI169&amp;$AJ169&amp;$AK169&amp;$AL169&amp;$AM169&amp;$AN169&amp;$AO169&amp;$AP169&amp;$AQ169&amp;$AR169&amp;$AS169&amp;$AT169&amp;$AU169&amp;$AV169&amp;$AW169&amp;$AX169&amp;$AY169,3,32767)</f>
        <v/>
      </c>
      <c r="BA169">
        <f>COUNT($D169:$AA169)</f>
        <v/>
      </c>
    </row>
    <row r="170">
      <c r="A170" t="n">
        <v>4</v>
      </c>
      <c r="B170" t="inlineStr">
        <is>
          <t>Divination</t>
        </is>
      </c>
      <c r="C170" t="inlineStr">
        <is>
          <t>Divination</t>
        </is>
      </c>
      <c r="D170">
        <f>IF(Wizards!$A$2="","",IF(OR(ISNUMBER(SEARCH(", "&amp;$B170&amp;", ", ", "&amp;INDEX('Form Responses'!$I$1:$Q$200,2,$A170)&amp;", ")),ISNUMBER(SEARCH(", "&amp;$B170&amp;", ", ", "&amp;INDEX('Form Responses'!$R$1:$R$200,2)&amp;", "))),1,""))</f>
        <v/>
      </c>
      <c r="E170">
        <f>IF(Wizards!$A$3="","",IF(OR(ISNUMBER(SEARCH(", "&amp;$B170&amp;", ", ", "&amp;INDEX('Form Responses'!$I$1:$Q$200,3,$A170)&amp;", ")),ISNUMBER(SEARCH(", "&amp;$B170&amp;", ", ", "&amp;INDEX('Form Responses'!$R$1:$R$200,3)&amp;", "))),1,""))</f>
        <v/>
      </c>
      <c r="F170">
        <f>IF(Wizards!$A$4="","",IF(OR(ISNUMBER(SEARCH(", "&amp;$B170&amp;", ", ", "&amp;INDEX('Form Responses'!$I$1:$Q$200,4,$A170)&amp;", ")),ISNUMBER(SEARCH(", "&amp;$B170&amp;", ", ", "&amp;INDEX('Form Responses'!$R$1:$R$200,4)&amp;", "))),1,""))</f>
        <v/>
      </c>
      <c r="G170">
        <f>IF(Wizards!$A$5="","",IF(OR(ISNUMBER(SEARCH(", "&amp;$B170&amp;", ", ", "&amp;INDEX('Form Responses'!$I$1:$Q$200,5,$A170)&amp;", ")),ISNUMBER(SEARCH(", "&amp;$B170&amp;", ", ", "&amp;INDEX('Form Responses'!$R$1:$R$200,5)&amp;", "))),1,""))</f>
        <v/>
      </c>
      <c r="H170">
        <f>IF(Wizards!$A$6="","",IF(OR(ISNUMBER(SEARCH(", "&amp;$B170&amp;", ", ", "&amp;INDEX('Form Responses'!$I$1:$Q$200,6,$A170)&amp;", ")),ISNUMBER(SEARCH(", "&amp;$B170&amp;", ", ", "&amp;INDEX('Form Responses'!$R$1:$R$200,6)&amp;", "))),1,""))</f>
        <v/>
      </c>
      <c r="I170">
        <f>IF(Wizards!$A$7="","",IF(OR(ISNUMBER(SEARCH(", "&amp;$B170&amp;", ", ", "&amp;INDEX('Form Responses'!$I$1:$Q$200,7,$A170)&amp;", ")),ISNUMBER(SEARCH(", "&amp;$B170&amp;", ", ", "&amp;INDEX('Form Responses'!$R$1:$R$200,7)&amp;", "))),1,""))</f>
        <v/>
      </c>
      <c r="J170">
        <f>IF(Wizards!$A$8="","",IF(OR(ISNUMBER(SEARCH(", "&amp;$B170&amp;", ", ", "&amp;INDEX('Form Responses'!$I$1:$Q$200,8,$A170)&amp;", ")),ISNUMBER(SEARCH(", "&amp;$B170&amp;", ", ", "&amp;INDEX('Form Responses'!$R$1:$R$200,8)&amp;", "))),1,""))</f>
        <v/>
      </c>
      <c r="K170">
        <f>IF(Wizards!$A$9="","",IF(OR(ISNUMBER(SEARCH(", "&amp;$B170&amp;", ", ", "&amp;INDEX('Form Responses'!$I$1:$Q$200,9,$A170)&amp;", ")),ISNUMBER(SEARCH(", "&amp;$B170&amp;", ", ", "&amp;INDEX('Form Responses'!$R$1:$R$200,9)&amp;", "))),1,""))</f>
        <v/>
      </c>
      <c r="L170">
        <f>IF(Wizards!$A$10="","",IF(OR(ISNUMBER(SEARCH(", "&amp;$B170&amp;", ", ", "&amp;INDEX('Form Responses'!$I$1:$Q$200,10,$A170)&amp;", ")),ISNUMBER(SEARCH(", "&amp;$B170&amp;", ", ", "&amp;INDEX('Form Responses'!$R$1:$R$200,10)&amp;", "))),1,""))</f>
        <v/>
      </c>
      <c r="M170">
        <f>IF(Wizards!$A$11="","",IF(OR(ISNUMBER(SEARCH(", "&amp;$B170&amp;", ", ", "&amp;INDEX('Form Responses'!$I$1:$Q$200,11,$A170)&amp;", ")),ISNUMBER(SEARCH(", "&amp;$B170&amp;", ", ", "&amp;INDEX('Form Responses'!$R$1:$R$200,11)&amp;", "))),1,""))</f>
        <v/>
      </c>
      <c r="N170">
        <f>IF(Wizards!$A$12="","",IF(OR(ISNUMBER(SEARCH(", "&amp;$B170&amp;", ", ", "&amp;INDEX('Form Responses'!$I$1:$Q$200,12,$A170)&amp;", ")),ISNUMBER(SEARCH(", "&amp;$B170&amp;", ", ", "&amp;INDEX('Form Responses'!$R$1:$R$200,12)&amp;", "))),1,""))</f>
        <v/>
      </c>
      <c r="O170">
        <f>IF(Wizards!$A$13="","",IF(OR(ISNUMBER(SEARCH(", "&amp;$B170&amp;", ", ", "&amp;INDEX('Form Responses'!$I$1:$Q$200,13,$A170)&amp;", ")),ISNUMBER(SEARCH(", "&amp;$B170&amp;", ", ", "&amp;INDEX('Form Responses'!$R$1:$R$200,13)&amp;", "))),1,""))</f>
        <v/>
      </c>
      <c r="P170">
        <f>IF(Wizards!$A$14="","",IF(OR(ISNUMBER(SEARCH(", "&amp;$B170&amp;", ", ", "&amp;INDEX('Form Responses'!$I$1:$Q$200,14,$A170)&amp;", ")),ISNUMBER(SEARCH(", "&amp;$B170&amp;", ", ", "&amp;INDEX('Form Responses'!$R$1:$R$200,14)&amp;", "))),1,""))</f>
        <v/>
      </c>
      <c r="Q170">
        <f>IF(Wizards!$A$15="","",IF(OR(ISNUMBER(SEARCH(", "&amp;$B170&amp;", ", ", "&amp;INDEX('Form Responses'!$I$1:$Q$200,15,$A170)&amp;", ")),ISNUMBER(SEARCH(", "&amp;$B170&amp;", ", ", "&amp;INDEX('Form Responses'!$R$1:$R$200,15)&amp;", "))),1,""))</f>
        <v/>
      </c>
      <c r="R170">
        <f>IF(Wizards!$A$16="","",IF(OR(ISNUMBER(SEARCH(", "&amp;$B170&amp;", ", ", "&amp;INDEX('Form Responses'!$I$1:$Q$200,16,$A170)&amp;", ")),ISNUMBER(SEARCH(", "&amp;$B170&amp;", ", ", "&amp;INDEX('Form Responses'!$R$1:$R$200,16)&amp;", "))),1,""))</f>
        <v/>
      </c>
      <c r="S170">
        <f>IF(Wizards!$A$17="","",IF(OR(ISNUMBER(SEARCH(", "&amp;$B170&amp;", ", ", "&amp;INDEX('Form Responses'!$I$1:$Q$200,17,$A170)&amp;", ")),ISNUMBER(SEARCH(", "&amp;$B170&amp;", ", ", "&amp;INDEX('Form Responses'!$R$1:$R$200,17)&amp;", "))),1,""))</f>
        <v/>
      </c>
      <c r="T170">
        <f>IF(Wizards!$A$18="","",IF(OR(ISNUMBER(SEARCH(", "&amp;$B170&amp;", ", ", "&amp;INDEX('Form Responses'!$I$1:$Q$200,18,$A170)&amp;", ")),ISNUMBER(SEARCH(", "&amp;$B170&amp;", ", ", "&amp;INDEX('Form Responses'!$R$1:$R$200,18)&amp;", "))),1,""))</f>
        <v/>
      </c>
      <c r="U170">
        <f>IF(Wizards!$A$19="","",IF(OR(ISNUMBER(SEARCH(", "&amp;$B170&amp;", ", ", "&amp;INDEX('Form Responses'!$I$1:$Q$200,19,$A170)&amp;", ")),ISNUMBER(SEARCH(", "&amp;$B170&amp;", ", ", "&amp;INDEX('Form Responses'!$R$1:$R$200,19)&amp;", "))),1,""))</f>
        <v/>
      </c>
      <c r="V170">
        <f>IF(Wizards!$A$20="","",IF(OR(ISNUMBER(SEARCH(", "&amp;$B170&amp;", ", ", "&amp;INDEX('Form Responses'!$I$1:$Q$200,20,$A170)&amp;", ")),ISNUMBER(SEARCH(", "&amp;$B170&amp;", ", ", "&amp;INDEX('Form Responses'!$R$1:$R$200,20)&amp;", "))),1,""))</f>
        <v/>
      </c>
      <c r="W170">
        <f>IF(Wizards!$A$21="","",IF(OR(ISNUMBER(SEARCH(", "&amp;$B170&amp;", ", ", "&amp;INDEX('Form Responses'!$I$1:$Q$200,21,$A170)&amp;", ")),ISNUMBER(SEARCH(", "&amp;$B170&amp;", ", ", "&amp;INDEX('Form Responses'!$R$1:$R$200,21)&amp;", "))),1,""))</f>
        <v/>
      </c>
      <c r="X170">
        <f>IF(Wizards!$A$22="","",IF(OR(ISNUMBER(SEARCH(", "&amp;$B170&amp;", ", ", "&amp;INDEX('Form Responses'!$I$1:$Q$200,22,$A170)&amp;", ")),ISNUMBER(SEARCH(", "&amp;$B170&amp;", ", ", "&amp;INDEX('Form Responses'!$R$1:$R$200,22)&amp;", "))),1,""))</f>
        <v/>
      </c>
      <c r="Y170">
        <f>IF(Wizards!$A$23="","",IF(OR(ISNUMBER(SEARCH(", "&amp;$B170&amp;", ", ", "&amp;INDEX('Form Responses'!$I$1:$Q$200,23,$A170)&amp;", ")),ISNUMBER(SEARCH(", "&amp;$B170&amp;", ", ", "&amp;INDEX('Form Responses'!$R$1:$R$200,23)&amp;", "))),1,""))</f>
        <v/>
      </c>
      <c r="Z170">
        <f>IF(Wizards!$A$24="","",IF(OR(ISNUMBER(SEARCH(", "&amp;$B170&amp;", ", ", "&amp;INDEX('Form Responses'!$I$1:$Q$200,24,$A170)&amp;", ")),ISNUMBER(SEARCH(", "&amp;$B170&amp;", ", ", "&amp;INDEX('Form Responses'!$R$1:$R$200,24)&amp;", "))),1,""))</f>
        <v/>
      </c>
      <c r="AA170">
        <f>IF(Wizards!$A$25="","",IF(OR(ISNUMBER(SEARCH(", "&amp;$B170&amp;", ", ", "&amp;INDEX('Form Responses'!$I$1:$Q$200,25,$A170)&amp;", ")),ISNUMBER(SEARCH(", "&amp;$B170&amp;", ", ", "&amp;INDEX('Form Responses'!$R$1:$R$200,25)&amp;", "))),1,""))</f>
        <v/>
      </c>
      <c r="AB170">
        <f>IF(D170=1,", "&amp;D$1,"")</f>
        <v/>
      </c>
      <c r="AC170">
        <f>IF(E170=1,", "&amp;E$1,"")</f>
        <v/>
      </c>
      <c r="AD170">
        <f>IF(F170=1,", "&amp;F$1,"")</f>
        <v/>
      </c>
      <c r="AE170">
        <f>IF(G170=1,", "&amp;G$1,"")</f>
        <v/>
      </c>
      <c r="AF170">
        <f>IF(H170=1,", "&amp;H$1,"")</f>
        <v/>
      </c>
      <c r="AG170">
        <f>IF(I170=1,", "&amp;I$1,"")</f>
        <v/>
      </c>
      <c r="AH170">
        <f>IF(J170=1,", "&amp;J$1,"")</f>
        <v/>
      </c>
      <c r="AI170">
        <f>IF(K170=1,", "&amp;K$1,"")</f>
        <v/>
      </c>
      <c r="AJ170">
        <f>IF(L170=1,", "&amp;L$1,"")</f>
        <v/>
      </c>
      <c r="AK170">
        <f>IF(M170=1,", "&amp;M$1,"")</f>
        <v/>
      </c>
      <c r="AL170">
        <f>IF(N170=1,", "&amp;N$1,"")</f>
        <v/>
      </c>
      <c r="AM170">
        <f>IF(O170=1,", "&amp;O$1,"")</f>
        <v/>
      </c>
      <c r="AN170">
        <f>IF(P170=1,", "&amp;P$1,"")</f>
        <v/>
      </c>
      <c r="AO170">
        <f>IF(Q170=1,", "&amp;Q$1,"")</f>
        <v/>
      </c>
      <c r="AP170">
        <f>IF(R170=1,", "&amp;R$1,"")</f>
        <v/>
      </c>
      <c r="AQ170">
        <f>IF(S170=1,", "&amp;S$1,"")</f>
        <v/>
      </c>
      <c r="AR170">
        <f>IF(T170=1,", "&amp;T$1,"")</f>
        <v/>
      </c>
      <c r="AS170">
        <f>IF(U170=1,", "&amp;U$1,"")</f>
        <v/>
      </c>
      <c r="AT170">
        <f>IF(V170=1,", "&amp;V$1,"")</f>
        <v/>
      </c>
      <c r="AU170">
        <f>IF(W170=1,", "&amp;W$1,"")</f>
        <v/>
      </c>
      <c r="AV170">
        <f>IF(X170=1,", "&amp;X$1,"")</f>
        <v/>
      </c>
      <c r="AW170">
        <f>IF(Y170=1,", "&amp;Y$1,"")</f>
        <v/>
      </c>
      <c r="AX170">
        <f>IF(Z170=1,", "&amp;Z$1,"")</f>
        <v/>
      </c>
      <c r="AY170">
        <f>IF(AA170=1,", "&amp;AA$1,"")</f>
        <v/>
      </c>
      <c r="AZ170">
        <f>MID($AB170&amp;$AC170&amp;$AD170&amp;$AE170&amp;$AF170&amp;$AG170&amp;$AH170&amp;$AI170&amp;$AJ170&amp;$AK170&amp;$AL170&amp;$AM170&amp;$AN170&amp;$AO170&amp;$AP170&amp;$AQ170&amp;$AR170&amp;$AS170&amp;$AT170&amp;$AU170&amp;$AV170&amp;$AW170&amp;$AX170&amp;$AY170,3,32767)</f>
        <v/>
      </c>
      <c r="BA170">
        <f>COUNT($D170:$AA170)</f>
        <v/>
      </c>
    </row>
    <row r="171">
      <c r="A171" t="n">
        <v>4</v>
      </c>
      <c r="B171" t="inlineStr">
        <is>
          <t>Elemental Bane</t>
        </is>
      </c>
      <c r="C171" t="inlineStr">
        <is>
          <t>Transmutation</t>
        </is>
      </c>
      <c r="D171">
        <f>IF(Wizards!$A$2="","",IF(OR(ISNUMBER(SEARCH(", "&amp;$B171&amp;", ", ", "&amp;INDEX('Form Responses'!$I$1:$Q$200,2,$A171)&amp;", ")),ISNUMBER(SEARCH(", "&amp;$B171&amp;", ", ", "&amp;INDEX('Form Responses'!$R$1:$R$200,2)&amp;", "))),1,""))</f>
        <v/>
      </c>
      <c r="E171">
        <f>IF(Wizards!$A$3="","",IF(OR(ISNUMBER(SEARCH(", "&amp;$B171&amp;", ", ", "&amp;INDEX('Form Responses'!$I$1:$Q$200,3,$A171)&amp;", ")),ISNUMBER(SEARCH(", "&amp;$B171&amp;", ", ", "&amp;INDEX('Form Responses'!$R$1:$R$200,3)&amp;", "))),1,""))</f>
        <v/>
      </c>
      <c r="F171">
        <f>IF(Wizards!$A$4="","",IF(OR(ISNUMBER(SEARCH(", "&amp;$B171&amp;", ", ", "&amp;INDEX('Form Responses'!$I$1:$Q$200,4,$A171)&amp;", ")),ISNUMBER(SEARCH(", "&amp;$B171&amp;", ", ", "&amp;INDEX('Form Responses'!$R$1:$R$200,4)&amp;", "))),1,""))</f>
        <v/>
      </c>
      <c r="G171">
        <f>IF(Wizards!$A$5="","",IF(OR(ISNUMBER(SEARCH(", "&amp;$B171&amp;", ", ", "&amp;INDEX('Form Responses'!$I$1:$Q$200,5,$A171)&amp;", ")),ISNUMBER(SEARCH(", "&amp;$B171&amp;", ", ", "&amp;INDEX('Form Responses'!$R$1:$R$200,5)&amp;", "))),1,""))</f>
        <v/>
      </c>
      <c r="H171">
        <f>IF(Wizards!$A$6="","",IF(OR(ISNUMBER(SEARCH(", "&amp;$B171&amp;", ", ", "&amp;INDEX('Form Responses'!$I$1:$Q$200,6,$A171)&amp;", ")),ISNUMBER(SEARCH(", "&amp;$B171&amp;", ", ", "&amp;INDEX('Form Responses'!$R$1:$R$200,6)&amp;", "))),1,""))</f>
        <v/>
      </c>
      <c r="I171">
        <f>IF(Wizards!$A$7="","",IF(OR(ISNUMBER(SEARCH(", "&amp;$B171&amp;", ", ", "&amp;INDEX('Form Responses'!$I$1:$Q$200,7,$A171)&amp;", ")),ISNUMBER(SEARCH(", "&amp;$B171&amp;", ", ", "&amp;INDEX('Form Responses'!$R$1:$R$200,7)&amp;", "))),1,""))</f>
        <v/>
      </c>
      <c r="J171">
        <f>IF(Wizards!$A$8="","",IF(OR(ISNUMBER(SEARCH(", "&amp;$B171&amp;", ", ", "&amp;INDEX('Form Responses'!$I$1:$Q$200,8,$A171)&amp;", ")),ISNUMBER(SEARCH(", "&amp;$B171&amp;", ", ", "&amp;INDEX('Form Responses'!$R$1:$R$200,8)&amp;", "))),1,""))</f>
        <v/>
      </c>
      <c r="K171">
        <f>IF(Wizards!$A$9="","",IF(OR(ISNUMBER(SEARCH(", "&amp;$B171&amp;", ", ", "&amp;INDEX('Form Responses'!$I$1:$Q$200,9,$A171)&amp;", ")),ISNUMBER(SEARCH(", "&amp;$B171&amp;", ", ", "&amp;INDEX('Form Responses'!$R$1:$R$200,9)&amp;", "))),1,""))</f>
        <v/>
      </c>
      <c r="L171">
        <f>IF(Wizards!$A$10="","",IF(OR(ISNUMBER(SEARCH(", "&amp;$B171&amp;", ", ", "&amp;INDEX('Form Responses'!$I$1:$Q$200,10,$A171)&amp;", ")),ISNUMBER(SEARCH(", "&amp;$B171&amp;", ", ", "&amp;INDEX('Form Responses'!$R$1:$R$200,10)&amp;", "))),1,""))</f>
        <v/>
      </c>
      <c r="M171">
        <f>IF(Wizards!$A$11="","",IF(OR(ISNUMBER(SEARCH(", "&amp;$B171&amp;", ", ", "&amp;INDEX('Form Responses'!$I$1:$Q$200,11,$A171)&amp;", ")),ISNUMBER(SEARCH(", "&amp;$B171&amp;", ", ", "&amp;INDEX('Form Responses'!$R$1:$R$200,11)&amp;", "))),1,""))</f>
        <v/>
      </c>
      <c r="N171">
        <f>IF(Wizards!$A$12="","",IF(OR(ISNUMBER(SEARCH(", "&amp;$B171&amp;", ", ", "&amp;INDEX('Form Responses'!$I$1:$Q$200,12,$A171)&amp;", ")),ISNUMBER(SEARCH(", "&amp;$B171&amp;", ", ", "&amp;INDEX('Form Responses'!$R$1:$R$200,12)&amp;", "))),1,""))</f>
        <v/>
      </c>
      <c r="O171">
        <f>IF(Wizards!$A$13="","",IF(OR(ISNUMBER(SEARCH(", "&amp;$B171&amp;", ", ", "&amp;INDEX('Form Responses'!$I$1:$Q$200,13,$A171)&amp;", ")),ISNUMBER(SEARCH(", "&amp;$B171&amp;", ", ", "&amp;INDEX('Form Responses'!$R$1:$R$200,13)&amp;", "))),1,""))</f>
        <v/>
      </c>
      <c r="P171">
        <f>IF(Wizards!$A$14="","",IF(OR(ISNUMBER(SEARCH(", "&amp;$B171&amp;", ", ", "&amp;INDEX('Form Responses'!$I$1:$Q$200,14,$A171)&amp;", ")),ISNUMBER(SEARCH(", "&amp;$B171&amp;", ", ", "&amp;INDEX('Form Responses'!$R$1:$R$200,14)&amp;", "))),1,""))</f>
        <v/>
      </c>
      <c r="Q171">
        <f>IF(Wizards!$A$15="","",IF(OR(ISNUMBER(SEARCH(", "&amp;$B171&amp;", ", ", "&amp;INDEX('Form Responses'!$I$1:$Q$200,15,$A171)&amp;", ")),ISNUMBER(SEARCH(", "&amp;$B171&amp;", ", ", "&amp;INDEX('Form Responses'!$R$1:$R$200,15)&amp;", "))),1,""))</f>
        <v/>
      </c>
      <c r="R171">
        <f>IF(Wizards!$A$16="","",IF(OR(ISNUMBER(SEARCH(", "&amp;$B171&amp;", ", ", "&amp;INDEX('Form Responses'!$I$1:$Q$200,16,$A171)&amp;", ")),ISNUMBER(SEARCH(", "&amp;$B171&amp;", ", ", "&amp;INDEX('Form Responses'!$R$1:$R$200,16)&amp;", "))),1,""))</f>
        <v/>
      </c>
      <c r="S171">
        <f>IF(Wizards!$A$17="","",IF(OR(ISNUMBER(SEARCH(", "&amp;$B171&amp;", ", ", "&amp;INDEX('Form Responses'!$I$1:$Q$200,17,$A171)&amp;", ")),ISNUMBER(SEARCH(", "&amp;$B171&amp;", ", ", "&amp;INDEX('Form Responses'!$R$1:$R$200,17)&amp;", "))),1,""))</f>
        <v/>
      </c>
      <c r="T171">
        <f>IF(Wizards!$A$18="","",IF(OR(ISNUMBER(SEARCH(", "&amp;$B171&amp;", ", ", "&amp;INDEX('Form Responses'!$I$1:$Q$200,18,$A171)&amp;", ")),ISNUMBER(SEARCH(", "&amp;$B171&amp;", ", ", "&amp;INDEX('Form Responses'!$R$1:$R$200,18)&amp;", "))),1,""))</f>
        <v/>
      </c>
      <c r="U171">
        <f>IF(Wizards!$A$19="","",IF(OR(ISNUMBER(SEARCH(", "&amp;$B171&amp;", ", ", "&amp;INDEX('Form Responses'!$I$1:$Q$200,19,$A171)&amp;", ")),ISNUMBER(SEARCH(", "&amp;$B171&amp;", ", ", "&amp;INDEX('Form Responses'!$R$1:$R$200,19)&amp;", "))),1,""))</f>
        <v/>
      </c>
      <c r="V171">
        <f>IF(Wizards!$A$20="","",IF(OR(ISNUMBER(SEARCH(", "&amp;$B171&amp;", ", ", "&amp;INDEX('Form Responses'!$I$1:$Q$200,20,$A171)&amp;", ")),ISNUMBER(SEARCH(", "&amp;$B171&amp;", ", ", "&amp;INDEX('Form Responses'!$R$1:$R$200,20)&amp;", "))),1,""))</f>
        <v/>
      </c>
      <c r="W171">
        <f>IF(Wizards!$A$21="","",IF(OR(ISNUMBER(SEARCH(", "&amp;$B171&amp;", ", ", "&amp;INDEX('Form Responses'!$I$1:$Q$200,21,$A171)&amp;", ")),ISNUMBER(SEARCH(", "&amp;$B171&amp;", ", ", "&amp;INDEX('Form Responses'!$R$1:$R$200,21)&amp;", "))),1,""))</f>
        <v/>
      </c>
      <c r="X171">
        <f>IF(Wizards!$A$22="","",IF(OR(ISNUMBER(SEARCH(", "&amp;$B171&amp;", ", ", "&amp;INDEX('Form Responses'!$I$1:$Q$200,22,$A171)&amp;", ")),ISNUMBER(SEARCH(", "&amp;$B171&amp;", ", ", "&amp;INDEX('Form Responses'!$R$1:$R$200,22)&amp;", "))),1,""))</f>
        <v/>
      </c>
      <c r="Y171">
        <f>IF(Wizards!$A$23="","",IF(OR(ISNUMBER(SEARCH(", "&amp;$B171&amp;", ", ", "&amp;INDEX('Form Responses'!$I$1:$Q$200,23,$A171)&amp;", ")),ISNUMBER(SEARCH(", "&amp;$B171&amp;", ", ", "&amp;INDEX('Form Responses'!$R$1:$R$200,23)&amp;", "))),1,""))</f>
        <v/>
      </c>
      <c r="Z171">
        <f>IF(Wizards!$A$24="","",IF(OR(ISNUMBER(SEARCH(", "&amp;$B171&amp;", ", ", "&amp;INDEX('Form Responses'!$I$1:$Q$200,24,$A171)&amp;", ")),ISNUMBER(SEARCH(", "&amp;$B171&amp;", ", ", "&amp;INDEX('Form Responses'!$R$1:$R$200,24)&amp;", "))),1,""))</f>
        <v/>
      </c>
      <c r="AA171">
        <f>IF(Wizards!$A$25="","",IF(OR(ISNUMBER(SEARCH(", "&amp;$B171&amp;", ", ", "&amp;INDEX('Form Responses'!$I$1:$Q$200,25,$A171)&amp;", ")),ISNUMBER(SEARCH(", "&amp;$B171&amp;", ", ", "&amp;INDEX('Form Responses'!$R$1:$R$200,25)&amp;", "))),1,""))</f>
        <v/>
      </c>
      <c r="AB171">
        <f>IF(D171=1,", "&amp;D$1,"")</f>
        <v/>
      </c>
      <c r="AC171">
        <f>IF(E171=1,", "&amp;E$1,"")</f>
        <v/>
      </c>
      <c r="AD171">
        <f>IF(F171=1,", "&amp;F$1,"")</f>
        <v/>
      </c>
      <c r="AE171">
        <f>IF(G171=1,", "&amp;G$1,"")</f>
        <v/>
      </c>
      <c r="AF171">
        <f>IF(H171=1,", "&amp;H$1,"")</f>
        <v/>
      </c>
      <c r="AG171">
        <f>IF(I171=1,", "&amp;I$1,"")</f>
        <v/>
      </c>
      <c r="AH171">
        <f>IF(J171=1,", "&amp;J$1,"")</f>
        <v/>
      </c>
      <c r="AI171">
        <f>IF(K171=1,", "&amp;K$1,"")</f>
        <v/>
      </c>
      <c r="AJ171">
        <f>IF(L171=1,", "&amp;L$1,"")</f>
        <v/>
      </c>
      <c r="AK171">
        <f>IF(M171=1,", "&amp;M$1,"")</f>
        <v/>
      </c>
      <c r="AL171">
        <f>IF(N171=1,", "&amp;N$1,"")</f>
        <v/>
      </c>
      <c r="AM171">
        <f>IF(O171=1,", "&amp;O$1,"")</f>
        <v/>
      </c>
      <c r="AN171">
        <f>IF(P171=1,", "&amp;P$1,"")</f>
        <v/>
      </c>
      <c r="AO171">
        <f>IF(Q171=1,", "&amp;Q$1,"")</f>
        <v/>
      </c>
      <c r="AP171">
        <f>IF(R171=1,", "&amp;R$1,"")</f>
        <v/>
      </c>
      <c r="AQ171">
        <f>IF(S171=1,", "&amp;S$1,"")</f>
        <v/>
      </c>
      <c r="AR171">
        <f>IF(T171=1,", "&amp;T$1,"")</f>
        <v/>
      </c>
      <c r="AS171">
        <f>IF(U171=1,", "&amp;U$1,"")</f>
        <v/>
      </c>
      <c r="AT171">
        <f>IF(V171=1,", "&amp;V$1,"")</f>
        <v/>
      </c>
      <c r="AU171">
        <f>IF(W171=1,", "&amp;W$1,"")</f>
        <v/>
      </c>
      <c r="AV171">
        <f>IF(X171=1,", "&amp;X$1,"")</f>
        <v/>
      </c>
      <c r="AW171">
        <f>IF(Y171=1,", "&amp;Y$1,"")</f>
        <v/>
      </c>
      <c r="AX171">
        <f>IF(Z171=1,", "&amp;Z$1,"")</f>
        <v/>
      </c>
      <c r="AY171">
        <f>IF(AA171=1,", "&amp;AA$1,"")</f>
        <v/>
      </c>
      <c r="AZ171">
        <f>MID($AB171&amp;$AC171&amp;$AD171&amp;$AE171&amp;$AF171&amp;$AG171&amp;$AH171&amp;$AI171&amp;$AJ171&amp;$AK171&amp;$AL171&amp;$AM171&amp;$AN171&amp;$AO171&amp;$AP171&amp;$AQ171&amp;$AR171&amp;$AS171&amp;$AT171&amp;$AU171&amp;$AV171&amp;$AW171&amp;$AX171&amp;$AY171,3,32767)</f>
        <v/>
      </c>
      <c r="BA171">
        <f>COUNT($D171:$AA171)</f>
        <v/>
      </c>
    </row>
    <row r="172">
      <c r="A172" t="n">
        <v>4</v>
      </c>
      <c r="B172" t="inlineStr">
        <is>
          <t>Evard's Black Tentacles</t>
        </is>
      </c>
      <c r="C172" t="inlineStr">
        <is>
          <t>Conjuration</t>
        </is>
      </c>
      <c r="D172">
        <f>IF(Wizards!$A$2="","",IF(OR(ISNUMBER(SEARCH(", "&amp;$B172&amp;", ", ", "&amp;INDEX('Form Responses'!$I$1:$Q$200,2,$A172)&amp;", ")),ISNUMBER(SEARCH(", "&amp;$B172&amp;", ", ", "&amp;INDEX('Form Responses'!$R$1:$R$200,2)&amp;", "))),1,""))</f>
        <v/>
      </c>
      <c r="E172">
        <f>IF(Wizards!$A$3="","",IF(OR(ISNUMBER(SEARCH(", "&amp;$B172&amp;", ", ", "&amp;INDEX('Form Responses'!$I$1:$Q$200,3,$A172)&amp;", ")),ISNUMBER(SEARCH(", "&amp;$B172&amp;", ", ", "&amp;INDEX('Form Responses'!$R$1:$R$200,3)&amp;", "))),1,""))</f>
        <v/>
      </c>
      <c r="F172">
        <f>IF(Wizards!$A$4="","",IF(OR(ISNUMBER(SEARCH(", "&amp;$B172&amp;", ", ", "&amp;INDEX('Form Responses'!$I$1:$Q$200,4,$A172)&amp;", ")),ISNUMBER(SEARCH(", "&amp;$B172&amp;", ", ", "&amp;INDEX('Form Responses'!$R$1:$R$200,4)&amp;", "))),1,""))</f>
        <v/>
      </c>
      <c r="G172">
        <f>IF(Wizards!$A$5="","",IF(OR(ISNUMBER(SEARCH(", "&amp;$B172&amp;", ", ", "&amp;INDEX('Form Responses'!$I$1:$Q$200,5,$A172)&amp;", ")),ISNUMBER(SEARCH(", "&amp;$B172&amp;", ", ", "&amp;INDEX('Form Responses'!$R$1:$R$200,5)&amp;", "))),1,""))</f>
        <v/>
      </c>
      <c r="H172">
        <f>IF(Wizards!$A$6="","",IF(OR(ISNUMBER(SEARCH(", "&amp;$B172&amp;", ", ", "&amp;INDEX('Form Responses'!$I$1:$Q$200,6,$A172)&amp;", ")),ISNUMBER(SEARCH(", "&amp;$B172&amp;", ", ", "&amp;INDEX('Form Responses'!$R$1:$R$200,6)&amp;", "))),1,""))</f>
        <v/>
      </c>
      <c r="I172">
        <f>IF(Wizards!$A$7="","",IF(OR(ISNUMBER(SEARCH(", "&amp;$B172&amp;", ", ", "&amp;INDEX('Form Responses'!$I$1:$Q$200,7,$A172)&amp;", ")),ISNUMBER(SEARCH(", "&amp;$B172&amp;", ", ", "&amp;INDEX('Form Responses'!$R$1:$R$200,7)&amp;", "))),1,""))</f>
        <v/>
      </c>
      <c r="J172">
        <f>IF(Wizards!$A$8="","",IF(OR(ISNUMBER(SEARCH(", "&amp;$B172&amp;", ", ", "&amp;INDEX('Form Responses'!$I$1:$Q$200,8,$A172)&amp;", ")),ISNUMBER(SEARCH(", "&amp;$B172&amp;", ", ", "&amp;INDEX('Form Responses'!$R$1:$R$200,8)&amp;", "))),1,""))</f>
        <v/>
      </c>
      <c r="K172">
        <f>IF(Wizards!$A$9="","",IF(OR(ISNUMBER(SEARCH(", "&amp;$B172&amp;", ", ", "&amp;INDEX('Form Responses'!$I$1:$Q$200,9,$A172)&amp;", ")),ISNUMBER(SEARCH(", "&amp;$B172&amp;", ", ", "&amp;INDEX('Form Responses'!$R$1:$R$200,9)&amp;", "))),1,""))</f>
        <v/>
      </c>
      <c r="L172">
        <f>IF(Wizards!$A$10="","",IF(OR(ISNUMBER(SEARCH(", "&amp;$B172&amp;", ", ", "&amp;INDEX('Form Responses'!$I$1:$Q$200,10,$A172)&amp;", ")),ISNUMBER(SEARCH(", "&amp;$B172&amp;", ", ", "&amp;INDEX('Form Responses'!$R$1:$R$200,10)&amp;", "))),1,""))</f>
        <v/>
      </c>
      <c r="M172">
        <f>IF(Wizards!$A$11="","",IF(OR(ISNUMBER(SEARCH(", "&amp;$B172&amp;", ", ", "&amp;INDEX('Form Responses'!$I$1:$Q$200,11,$A172)&amp;", ")),ISNUMBER(SEARCH(", "&amp;$B172&amp;", ", ", "&amp;INDEX('Form Responses'!$R$1:$R$200,11)&amp;", "))),1,""))</f>
        <v/>
      </c>
      <c r="N172">
        <f>IF(Wizards!$A$12="","",IF(OR(ISNUMBER(SEARCH(", "&amp;$B172&amp;", ", ", "&amp;INDEX('Form Responses'!$I$1:$Q$200,12,$A172)&amp;", ")),ISNUMBER(SEARCH(", "&amp;$B172&amp;", ", ", "&amp;INDEX('Form Responses'!$R$1:$R$200,12)&amp;", "))),1,""))</f>
        <v/>
      </c>
      <c r="O172">
        <f>IF(Wizards!$A$13="","",IF(OR(ISNUMBER(SEARCH(", "&amp;$B172&amp;", ", ", "&amp;INDEX('Form Responses'!$I$1:$Q$200,13,$A172)&amp;", ")),ISNUMBER(SEARCH(", "&amp;$B172&amp;", ", ", "&amp;INDEX('Form Responses'!$R$1:$R$200,13)&amp;", "))),1,""))</f>
        <v/>
      </c>
      <c r="P172">
        <f>IF(Wizards!$A$14="","",IF(OR(ISNUMBER(SEARCH(", "&amp;$B172&amp;", ", ", "&amp;INDEX('Form Responses'!$I$1:$Q$200,14,$A172)&amp;", ")),ISNUMBER(SEARCH(", "&amp;$B172&amp;", ", ", "&amp;INDEX('Form Responses'!$R$1:$R$200,14)&amp;", "))),1,""))</f>
        <v/>
      </c>
      <c r="Q172">
        <f>IF(Wizards!$A$15="","",IF(OR(ISNUMBER(SEARCH(", "&amp;$B172&amp;", ", ", "&amp;INDEX('Form Responses'!$I$1:$Q$200,15,$A172)&amp;", ")),ISNUMBER(SEARCH(", "&amp;$B172&amp;", ", ", "&amp;INDEX('Form Responses'!$R$1:$R$200,15)&amp;", "))),1,""))</f>
        <v/>
      </c>
      <c r="R172">
        <f>IF(Wizards!$A$16="","",IF(OR(ISNUMBER(SEARCH(", "&amp;$B172&amp;", ", ", "&amp;INDEX('Form Responses'!$I$1:$Q$200,16,$A172)&amp;", ")),ISNUMBER(SEARCH(", "&amp;$B172&amp;", ", ", "&amp;INDEX('Form Responses'!$R$1:$R$200,16)&amp;", "))),1,""))</f>
        <v/>
      </c>
      <c r="S172">
        <f>IF(Wizards!$A$17="","",IF(OR(ISNUMBER(SEARCH(", "&amp;$B172&amp;", ", ", "&amp;INDEX('Form Responses'!$I$1:$Q$200,17,$A172)&amp;", ")),ISNUMBER(SEARCH(", "&amp;$B172&amp;", ", ", "&amp;INDEX('Form Responses'!$R$1:$R$200,17)&amp;", "))),1,""))</f>
        <v/>
      </c>
      <c r="T172">
        <f>IF(Wizards!$A$18="","",IF(OR(ISNUMBER(SEARCH(", "&amp;$B172&amp;", ", ", "&amp;INDEX('Form Responses'!$I$1:$Q$200,18,$A172)&amp;", ")),ISNUMBER(SEARCH(", "&amp;$B172&amp;", ", ", "&amp;INDEX('Form Responses'!$R$1:$R$200,18)&amp;", "))),1,""))</f>
        <v/>
      </c>
      <c r="U172">
        <f>IF(Wizards!$A$19="","",IF(OR(ISNUMBER(SEARCH(", "&amp;$B172&amp;", ", ", "&amp;INDEX('Form Responses'!$I$1:$Q$200,19,$A172)&amp;", ")),ISNUMBER(SEARCH(", "&amp;$B172&amp;", ", ", "&amp;INDEX('Form Responses'!$R$1:$R$200,19)&amp;", "))),1,""))</f>
        <v/>
      </c>
      <c r="V172">
        <f>IF(Wizards!$A$20="","",IF(OR(ISNUMBER(SEARCH(", "&amp;$B172&amp;", ", ", "&amp;INDEX('Form Responses'!$I$1:$Q$200,20,$A172)&amp;", ")),ISNUMBER(SEARCH(", "&amp;$B172&amp;", ", ", "&amp;INDEX('Form Responses'!$R$1:$R$200,20)&amp;", "))),1,""))</f>
        <v/>
      </c>
      <c r="W172">
        <f>IF(Wizards!$A$21="","",IF(OR(ISNUMBER(SEARCH(", "&amp;$B172&amp;", ", ", "&amp;INDEX('Form Responses'!$I$1:$Q$200,21,$A172)&amp;", ")),ISNUMBER(SEARCH(", "&amp;$B172&amp;", ", ", "&amp;INDEX('Form Responses'!$R$1:$R$200,21)&amp;", "))),1,""))</f>
        <v/>
      </c>
      <c r="X172">
        <f>IF(Wizards!$A$22="","",IF(OR(ISNUMBER(SEARCH(", "&amp;$B172&amp;", ", ", "&amp;INDEX('Form Responses'!$I$1:$Q$200,22,$A172)&amp;", ")),ISNUMBER(SEARCH(", "&amp;$B172&amp;", ", ", "&amp;INDEX('Form Responses'!$R$1:$R$200,22)&amp;", "))),1,""))</f>
        <v/>
      </c>
      <c r="Y172">
        <f>IF(Wizards!$A$23="","",IF(OR(ISNUMBER(SEARCH(", "&amp;$B172&amp;", ", ", "&amp;INDEX('Form Responses'!$I$1:$Q$200,23,$A172)&amp;", ")),ISNUMBER(SEARCH(", "&amp;$B172&amp;", ", ", "&amp;INDEX('Form Responses'!$R$1:$R$200,23)&amp;", "))),1,""))</f>
        <v/>
      </c>
      <c r="Z172">
        <f>IF(Wizards!$A$24="","",IF(OR(ISNUMBER(SEARCH(", "&amp;$B172&amp;", ", ", "&amp;INDEX('Form Responses'!$I$1:$Q$200,24,$A172)&amp;", ")),ISNUMBER(SEARCH(", "&amp;$B172&amp;", ", ", "&amp;INDEX('Form Responses'!$R$1:$R$200,24)&amp;", "))),1,""))</f>
        <v/>
      </c>
      <c r="AA172">
        <f>IF(Wizards!$A$25="","",IF(OR(ISNUMBER(SEARCH(", "&amp;$B172&amp;", ", ", "&amp;INDEX('Form Responses'!$I$1:$Q$200,25,$A172)&amp;", ")),ISNUMBER(SEARCH(", "&amp;$B172&amp;", ", ", "&amp;INDEX('Form Responses'!$R$1:$R$200,25)&amp;", "))),1,""))</f>
        <v/>
      </c>
      <c r="AB172">
        <f>IF(D172=1,", "&amp;D$1,"")</f>
        <v/>
      </c>
      <c r="AC172">
        <f>IF(E172=1,", "&amp;E$1,"")</f>
        <v/>
      </c>
      <c r="AD172">
        <f>IF(F172=1,", "&amp;F$1,"")</f>
        <v/>
      </c>
      <c r="AE172">
        <f>IF(G172=1,", "&amp;G$1,"")</f>
        <v/>
      </c>
      <c r="AF172">
        <f>IF(H172=1,", "&amp;H$1,"")</f>
        <v/>
      </c>
      <c r="AG172">
        <f>IF(I172=1,", "&amp;I$1,"")</f>
        <v/>
      </c>
      <c r="AH172">
        <f>IF(J172=1,", "&amp;J$1,"")</f>
        <v/>
      </c>
      <c r="AI172">
        <f>IF(K172=1,", "&amp;K$1,"")</f>
        <v/>
      </c>
      <c r="AJ172">
        <f>IF(L172=1,", "&amp;L$1,"")</f>
        <v/>
      </c>
      <c r="AK172">
        <f>IF(M172=1,", "&amp;M$1,"")</f>
        <v/>
      </c>
      <c r="AL172">
        <f>IF(N172=1,", "&amp;N$1,"")</f>
        <v/>
      </c>
      <c r="AM172">
        <f>IF(O172=1,", "&amp;O$1,"")</f>
        <v/>
      </c>
      <c r="AN172">
        <f>IF(P172=1,", "&amp;P$1,"")</f>
        <v/>
      </c>
      <c r="AO172">
        <f>IF(Q172=1,", "&amp;Q$1,"")</f>
        <v/>
      </c>
      <c r="AP172">
        <f>IF(R172=1,", "&amp;R$1,"")</f>
        <v/>
      </c>
      <c r="AQ172">
        <f>IF(S172=1,", "&amp;S$1,"")</f>
        <v/>
      </c>
      <c r="AR172">
        <f>IF(T172=1,", "&amp;T$1,"")</f>
        <v/>
      </c>
      <c r="AS172">
        <f>IF(U172=1,", "&amp;U$1,"")</f>
        <v/>
      </c>
      <c r="AT172">
        <f>IF(V172=1,", "&amp;V$1,"")</f>
        <v/>
      </c>
      <c r="AU172">
        <f>IF(W172=1,", "&amp;W$1,"")</f>
        <v/>
      </c>
      <c r="AV172">
        <f>IF(X172=1,", "&amp;X$1,"")</f>
        <v/>
      </c>
      <c r="AW172">
        <f>IF(Y172=1,", "&amp;Y$1,"")</f>
        <v/>
      </c>
      <c r="AX172">
        <f>IF(Z172=1,", "&amp;Z$1,"")</f>
        <v/>
      </c>
      <c r="AY172">
        <f>IF(AA172=1,", "&amp;AA$1,"")</f>
        <v/>
      </c>
      <c r="AZ172">
        <f>MID($AB172&amp;$AC172&amp;$AD172&amp;$AE172&amp;$AF172&amp;$AG172&amp;$AH172&amp;$AI172&amp;$AJ172&amp;$AK172&amp;$AL172&amp;$AM172&amp;$AN172&amp;$AO172&amp;$AP172&amp;$AQ172&amp;$AR172&amp;$AS172&amp;$AT172&amp;$AU172&amp;$AV172&amp;$AW172&amp;$AX172&amp;$AY172,3,32767)</f>
        <v/>
      </c>
      <c r="BA172">
        <f>COUNT($D172:$AA172)</f>
        <v/>
      </c>
    </row>
    <row r="173">
      <c r="A173" t="n">
        <v>4</v>
      </c>
      <c r="B173" t="inlineStr">
        <is>
          <t>Fabricate</t>
        </is>
      </c>
      <c r="C173" t="inlineStr">
        <is>
          <t>Transmutation</t>
        </is>
      </c>
      <c r="D173">
        <f>IF(Wizards!$A$2="","",IF(OR(ISNUMBER(SEARCH(", "&amp;$B173&amp;", ", ", "&amp;INDEX('Form Responses'!$I$1:$Q$200,2,$A173)&amp;", ")),ISNUMBER(SEARCH(", "&amp;$B173&amp;", ", ", "&amp;INDEX('Form Responses'!$R$1:$R$200,2)&amp;", "))),1,""))</f>
        <v/>
      </c>
      <c r="E173">
        <f>IF(Wizards!$A$3="","",IF(OR(ISNUMBER(SEARCH(", "&amp;$B173&amp;", ", ", "&amp;INDEX('Form Responses'!$I$1:$Q$200,3,$A173)&amp;", ")),ISNUMBER(SEARCH(", "&amp;$B173&amp;", ", ", "&amp;INDEX('Form Responses'!$R$1:$R$200,3)&amp;", "))),1,""))</f>
        <v/>
      </c>
      <c r="F173">
        <f>IF(Wizards!$A$4="","",IF(OR(ISNUMBER(SEARCH(", "&amp;$B173&amp;", ", ", "&amp;INDEX('Form Responses'!$I$1:$Q$200,4,$A173)&amp;", ")),ISNUMBER(SEARCH(", "&amp;$B173&amp;", ", ", "&amp;INDEX('Form Responses'!$R$1:$R$200,4)&amp;", "))),1,""))</f>
        <v/>
      </c>
      <c r="G173">
        <f>IF(Wizards!$A$5="","",IF(OR(ISNUMBER(SEARCH(", "&amp;$B173&amp;", ", ", "&amp;INDEX('Form Responses'!$I$1:$Q$200,5,$A173)&amp;", ")),ISNUMBER(SEARCH(", "&amp;$B173&amp;", ", ", "&amp;INDEX('Form Responses'!$R$1:$R$200,5)&amp;", "))),1,""))</f>
        <v/>
      </c>
      <c r="H173">
        <f>IF(Wizards!$A$6="","",IF(OR(ISNUMBER(SEARCH(", "&amp;$B173&amp;", ", ", "&amp;INDEX('Form Responses'!$I$1:$Q$200,6,$A173)&amp;", ")),ISNUMBER(SEARCH(", "&amp;$B173&amp;", ", ", "&amp;INDEX('Form Responses'!$R$1:$R$200,6)&amp;", "))),1,""))</f>
        <v/>
      </c>
      <c r="I173">
        <f>IF(Wizards!$A$7="","",IF(OR(ISNUMBER(SEARCH(", "&amp;$B173&amp;", ", ", "&amp;INDEX('Form Responses'!$I$1:$Q$200,7,$A173)&amp;", ")),ISNUMBER(SEARCH(", "&amp;$B173&amp;", ", ", "&amp;INDEX('Form Responses'!$R$1:$R$200,7)&amp;", "))),1,""))</f>
        <v/>
      </c>
      <c r="J173">
        <f>IF(Wizards!$A$8="","",IF(OR(ISNUMBER(SEARCH(", "&amp;$B173&amp;", ", ", "&amp;INDEX('Form Responses'!$I$1:$Q$200,8,$A173)&amp;", ")),ISNUMBER(SEARCH(", "&amp;$B173&amp;", ", ", "&amp;INDEX('Form Responses'!$R$1:$R$200,8)&amp;", "))),1,""))</f>
        <v/>
      </c>
      <c r="K173">
        <f>IF(Wizards!$A$9="","",IF(OR(ISNUMBER(SEARCH(", "&amp;$B173&amp;", ", ", "&amp;INDEX('Form Responses'!$I$1:$Q$200,9,$A173)&amp;", ")),ISNUMBER(SEARCH(", "&amp;$B173&amp;", ", ", "&amp;INDEX('Form Responses'!$R$1:$R$200,9)&amp;", "))),1,""))</f>
        <v/>
      </c>
      <c r="L173">
        <f>IF(Wizards!$A$10="","",IF(OR(ISNUMBER(SEARCH(", "&amp;$B173&amp;", ", ", "&amp;INDEX('Form Responses'!$I$1:$Q$200,10,$A173)&amp;", ")),ISNUMBER(SEARCH(", "&amp;$B173&amp;", ", ", "&amp;INDEX('Form Responses'!$R$1:$R$200,10)&amp;", "))),1,""))</f>
        <v/>
      </c>
      <c r="M173">
        <f>IF(Wizards!$A$11="","",IF(OR(ISNUMBER(SEARCH(", "&amp;$B173&amp;", ", ", "&amp;INDEX('Form Responses'!$I$1:$Q$200,11,$A173)&amp;", ")),ISNUMBER(SEARCH(", "&amp;$B173&amp;", ", ", "&amp;INDEX('Form Responses'!$R$1:$R$200,11)&amp;", "))),1,""))</f>
        <v/>
      </c>
      <c r="N173">
        <f>IF(Wizards!$A$12="","",IF(OR(ISNUMBER(SEARCH(", "&amp;$B173&amp;", ", ", "&amp;INDEX('Form Responses'!$I$1:$Q$200,12,$A173)&amp;", ")),ISNUMBER(SEARCH(", "&amp;$B173&amp;", ", ", "&amp;INDEX('Form Responses'!$R$1:$R$200,12)&amp;", "))),1,""))</f>
        <v/>
      </c>
      <c r="O173">
        <f>IF(Wizards!$A$13="","",IF(OR(ISNUMBER(SEARCH(", "&amp;$B173&amp;", ", ", "&amp;INDEX('Form Responses'!$I$1:$Q$200,13,$A173)&amp;", ")),ISNUMBER(SEARCH(", "&amp;$B173&amp;", ", ", "&amp;INDEX('Form Responses'!$R$1:$R$200,13)&amp;", "))),1,""))</f>
        <v/>
      </c>
      <c r="P173">
        <f>IF(Wizards!$A$14="","",IF(OR(ISNUMBER(SEARCH(", "&amp;$B173&amp;", ", ", "&amp;INDEX('Form Responses'!$I$1:$Q$200,14,$A173)&amp;", ")),ISNUMBER(SEARCH(", "&amp;$B173&amp;", ", ", "&amp;INDEX('Form Responses'!$R$1:$R$200,14)&amp;", "))),1,""))</f>
        <v/>
      </c>
      <c r="Q173">
        <f>IF(Wizards!$A$15="","",IF(OR(ISNUMBER(SEARCH(", "&amp;$B173&amp;", ", ", "&amp;INDEX('Form Responses'!$I$1:$Q$200,15,$A173)&amp;", ")),ISNUMBER(SEARCH(", "&amp;$B173&amp;", ", ", "&amp;INDEX('Form Responses'!$R$1:$R$200,15)&amp;", "))),1,""))</f>
        <v/>
      </c>
      <c r="R173">
        <f>IF(Wizards!$A$16="","",IF(OR(ISNUMBER(SEARCH(", "&amp;$B173&amp;", ", ", "&amp;INDEX('Form Responses'!$I$1:$Q$200,16,$A173)&amp;", ")),ISNUMBER(SEARCH(", "&amp;$B173&amp;", ", ", "&amp;INDEX('Form Responses'!$R$1:$R$200,16)&amp;", "))),1,""))</f>
        <v/>
      </c>
      <c r="S173">
        <f>IF(Wizards!$A$17="","",IF(OR(ISNUMBER(SEARCH(", "&amp;$B173&amp;", ", ", "&amp;INDEX('Form Responses'!$I$1:$Q$200,17,$A173)&amp;", ")),ISNUMBER(SEARCH(", "&amp;$B173&amp;", ", ", "&amp;INDEX('Form Responses'!$R$1:$R$200,17)&amp;", "))),1,""))</f>
        <v/>
      </c>
      <c r="T173">
        <f>IF(Wizards!$A$18="","",IF(OR(ISNUMBER(SEARCH(", "&amp;$B173&amp;", ", ", "&amp;INDEX('Form Responses'!$I$1:$Q$200,18,$A173)&amp;", ")),ISNUMBER(SEARCH(", "&amp;$B173&amp;", ", ", "&amp;INDEX('Form Responses'!$R$1:$R$200,18)&amp;", "))),1,""))</f>
        <v/>
      </c>
      <c r="U173">
        <f>IF(Wizards!$A$19="","",IF(OR(ISNUMBER(SEARCH(", "&amp;$B173&amp;", ", ", "&amp;INDEX('Form Responses'!$I$1:$Q$200,19,$A173)&amp;", ")),ISNUMBER(SEARCH(", "&amp;$B173&amp;", ", ", "&amp;INDEX('Form Responses'!$R$1:$R$200,19)&amp;", "))),1,""))</f>
        <v/>
      </c>
      <c r="V173">
        <f>IF(Wizards!$A$20="","",IF(OR(ISNUMBER(SEARCH(", "&amp;$B173&amp;", ", ", "&amp;INDEX('Form Responses'!$I$1:$Q$200,20,$A173)&amp;", ")),ISNUMBER(SEARCH(", "&amp;$B173&amp;", ", ", "&amp;INDEX('Form Responses'!$R$1:$R$200,20)&amp;", "))),1,""))</f>
        <v/>
      </c>
      <c r="W173">
        <f>IF(Wizards!$A$21="","",IF(OR(ISNUMBER(SEARCH(", "&amp;$B173&amp;", ", ", "&amp;INDEX('Form Responses'!$I$1:$Q$200,21,$A173)&amp;", ")),ISNUMBER(SEARCH(", "&amp;$B173&amp;", ", ", "&amp;INDEX('Form Responses'!$R$1:$R$200,21)&amp;", "))),1,""))</f>
        <v/>
      </c>
      <c r="X173">
        <f>IF(Wizards!$A$22="","",IF(OR(ISNUMBER(SEARCH(", "&amp;$B173&amp;", ", ", "&amp;INDEX('Form Responses'!$I$1:$Q$200,22,$A173)&amp;", ")),ISNUMBER(SEARCH(", "&amp;$B173&amp;", ", ", "&amp;INDEX('Form Responses'!$R$1:$R$200,22)&amp;", "))),1,""))</f>
        <v/>
      </c>
      <c r="Y173">
        <f>IF(Wizards!$A$23="","",IF(OR(ISNUMBER(SEARCH(", "&amp;$B173&amp;", ", ", "&amp;INDEX('Form Responses'!$I$1:$Q$200,23,$A173)&amp;", ")),ISNUMBER(SEARCH(", "&amp;$B173&amp;", ", ", "&amp;INDEX('Form Responses'!$R$1:$R$200,23)&amp;", "))),1,""))</f>
        <v/>
      </c>
      <c r="Z173">
        <f>IF(Wizards!$A$24="","",IF(OR(ISNUMBER(SEARCH(", "&amp;$B173&amp;", ", ", "&amp;INDEX('Form Responses'!$I$1:$Q$200,24,$A173)&amp;", ")),ISNUMBER(SEARCH(", "&amp;$B173&amp;", ", ", "&amp;INDEX('Form Responses'!$R$1:$R$200,24)&amp;", "))),1,""))</f>
        <v/>
      </c>
      <c r="AA173">
        <f>IF(Wizards!$A$25="","",IF(OR(ISNUMBER(SEARCH(", "&amp;$B173&amp;", ", ", "&amp;INDEX('Form Responses'!$I$1:$Q$200,25,$A173)&amp;", ")),ISNUMBER(SEARCH(", "&amp;$B173&amp;", ", ", "&amp;INDEX('Form Responses'!$R$1:$R$200,25)&amp;", "))),1,""))</f>
        <v/>
      </c>
      <c r="AB173">
        <f>IF(D173=1,", "&amp;D$1,"")</f>
        <v/>
      </c>
      <c r="AC173">
        <f>IF(E173=1,", "&amp;E$1,"")</f>
        <v/>
      </c>
      <c r="AD173">
        <f>IF(F173=1,", "&amp;F$1,"")</f>
        <v/>
      </c>
      <c r="AE173">
        <f>IF(G173=1,", "&amp;G$1,"")</f>
        <v/>
      </c>
      <c r="AF173">
        <f>IF(H173=1,", "&amp;H$1,"")</f>
        <v/>
      </c>
      <c r="AG173">
        <f>IF(I173=1,", "&amp;I$1,"")</f>
        <v/>
      </c>
      <c r="AH173">
        <f>IF(J173=1,", "&amp;J$1,"")</f>
        <v/>
      </c>
      <c r="AI173">
        <f>IF(K173=1,", "&amp;K$1,"")</f>
        <v/>
      </c>
      <c r="AJ173">
        <f>IF(L173=1,", "&amp;L$1,"")</f>
        <v/>
      </c>
      <c r="AK173">
        <f>IF(M173=1,", "&amp;M$1,"")</f>
        <v/>
      </c>
      <c r="AL173">
        <f>IF(N173=1,", "&amp;N$1,"")</f>
        <v/>
      </c>
      <c r="AM173">
        <f>IF(O173=1,", "&amp;O$1,"")</f>
        <v/>
      </c>
      <c r="AN173">
        <f>IF(P173=1,", "&amp;P$1,"")</f>
        <v/>
      </c>
      <c r="AO173">
        <f>IF(Q173=1,", "&amp;Q$1,"")</f>
        <v/>
      </c>
      <c r="AP173">
        <f>IF(R173=1,", "&amp;R$1,"")</f>
        <v/>
      </c>
      <c r="AQ173">
        <f>IF(S173=1,", "&amp;S$1,"")</f>
        <v/>
      </c>
      <c r="AR173">
        <f>IF(T173=1,", "&amp;T$1,"")</f>
        <v/>
      </c>
      <c r="AS173">
        <f>IF(U173=1,", "&amp;U$1,"")</f>
        <v/>
      </c>
      <c r="AT173">
        <f>IF(V173=1,", "&amp;V$1,"")</f>
        <v/>
      </c>
      <c r="AU173">
        <f>IF(W173=1,", "&amp;W$1,"")</f>
        <v/>
      </c>
      <c r="AV173">
        <f>IF(X173=1,", "&amp;X$1,"")</f>
        <v/>
      </c>
      <c r="AW173">
        <f>IF(Y173=1,", "&amp;Y$1,"")</f>
        <v/>
      </c>
      <c r="AX173">
        <f>IF(Z173=1,", "&amp;Z$1,"")</f>
        <v/>
      </c>
      <c r="AY173">
        <f>IF(AA173=1,", "&amp;AA$1,"")</f>
        <v/>
      </c>
      <c r="AZ173">
        <f>MID($AB173&amp;$AC173&amp;$AD173&amp;$AE173&amp;$AF173&amp;$AG173&amp;$AH173&amp;$AI173&amp;$AJ173&amp;$AK173&amp;$AL173&amp;$AM173&amp;$AN173&amp;$AO173&amp;$AP173&amp;$AQ173&amp;$AR173&amp;$AS173&amp;$AT173&amp;$AU173&amp;$AV173&amp;$AW173&amp;$AX173&amp;$AY173,3,32767)</f>
        <v/>
      </c>
      <c r="BA173">
        <f>COUNT($D173:$AA173)</f>
        <v/>
      </c>
    </row>
    <row r="174">
      <c r="A174" t="n">
        <v>4</v>
      </c>
      <c r="B174" t="inlineStr">
        <is>
          <t>Festering Blast</t>
        </is>
      </c>
      <c r="C174" t="inlineStr">
        <is>
          <t>Necromancy</t>
        </is>
      </c>
      <c r="D174">
        <f>IF(Wizards!$A$2="","",IF(OR(ISNUMBER(SEARCH(", "&amp;$B174&amp;", ", ", "&amp;INDEX('Form Responses'!$I$1:$Q$200,2,$A174)&amp;", ")),ISNUMBER(SEARCH(", "&amp;$B174&amp;", ", ", "&amp;INDEX('Form Responses'!$R$1:$R$200,2)&amp;", "))),1,""))</f>
        <v/>
      </c>
      <c r="E174">
        <f>IF(Wizards!$A$3="","",IF(OR(ISNUMBER(SEARCH(", "&amp;$B174&amp;", ", ", "&amp;INDEX('Form Responses'!$I$1:$Q$200,3,$A174)&amp;", ")),ISNUMBER(SEARCH(", "&amp;$B174&amp;", ", ", "&amp;INDEX('Form Responses'!$R$1:$R$200,3)&amp;", "))),1,""))</f>
        <v/>
      </c>
      <c r="F174">
        <f>IF(Wizards!$A$4="","",IF(OR(ISNUMBER(SEARCH(", "&amp;$B174&amp;", ", ", "&amp;INDEX('Form Responses'!$I$1:$Q$200,4,$A174)&amp;", ")),ISNUMBER(SEARCH(", "&amp;$B174&amp;", ", ", "&amp;INDEX('Form Responses'!$R$1:$R$200,4)&amp;", "))),1,""))</f>
        <v/>
      </c>
      <c r="G174">
        <f>IF(Wizards!$A$5="","",IF(OR(ISNUMBER(SEARCH(", "&amp;$B174&amp;", ", ", "&amp;INDEX('Form Responses'!$I$1:$Q$200,5,$A174)&amp;", ")),ISNUMBER(SEARCH(", "&amp;$B174&amp;", ", ", "&amp;INDEX('Form Responses'!$R$1:$R$200,5)&amp;", "))),1,""))</f>
        <v/>
      </c>
      <c r="H174">
        <f>IF(Wizards!$A$6="","",IF(OR(ISNUMBER(SEARCH(", "&amp;$B174&amp;", ", ", "&amp;INDEX('Form Responses'!$I$1:$Q$200,6,$A174)&amp;", ")),ISNUMBER(SEARCH(", "&amp;$B174&amp;", ", ", "&amp;INDEX('Form Responses'!$R$1:$R$200,6)&amp;", "))),1,""))</f>
        <v/>
      </c>
      <c r="I174">
        <f>IF(Wizards!$A$7="","",IF(OR(ISNUMBER(SEARCH(", "&amp;$B174&amp;", ", ", "&amp;INDEX('Form Responses'!$I$1:$Q$200,7,$A174)&amp;", ")),ISNUMBER(SEARCH(", "&amp;$B174&amp;", ", ", "&amp;INDEX('Form Responses'!$R$1:$R$200,7)&amp;", "))),1,""))</f>
        <v/>
      </c>
      <c r="J174">
        <f>IF(Wizards!$A$8="","",IF(OR(ISNUMBER(SEARCH(", "&amp;$B174&amp;", ", ", "&amp;INDEX('Form Responses'!$I$1:$Q$200,8,$A174)&amp;", ")),ISNUMBER(SEARCH(", "&amp;$B174&amp;", ", ", "&amp;INDEX('Form Responses'!$R$1:$R$200,8)&amp;", "))),1,""))</f>
        <v/>
      </c>
      <c r="K174">
        <f>IF(Wizards!$A$9="","",IF(OR(ISNUMBER(SEARCH(", "&amp;$B174&amp;", ", ", "&amp;INDEX('Form Responses'!$I$1:$Q$200,9,$A174)&amp;", ")),ISNUMBER(SEARCH(", "&amp;$B174&amp;", ", ", "&amp;INDEX('Form Responses'!$R$1:$R$200,9)&amp;", "))),1,""))</f>
        <v/>
      </c>
      <c r="L174">
        <f>IF(Wizards!$A$10="","",IF(OR(ISNUMBER(SEARCH(", "&amp;$B174&amp;", ", ", "&amp;INDEX('Form Responses'!$I$1:$Q$200,10,$A174)&amp;", ")),ISNUMBER(SEARCH(", "&amp;$B174&amp;", ", ", "&amp;INDEX('Form Responses'!$R$1:$R$200,10)&amp;", "))),1,""))</f>
        <v/>
      </c>
      <c r="M174">
        <f>IF(Wizards!$A$11="","",IF(OR(ISNUMBER(SEARCH(", "&amp;$B174&amp;", ", ", "&amp;INDEX('Form Responses'!$I$1:$Q$200,11,$A174)&amp;", ")),ISNUMBER(SEARCH(", "&amp;$B174&amp;", ", ", "&amp;INDEX('Form Responses'!$R$1:$R$200,11)&amp;", "))),1,""))</f>
        <v/>
      </c>
      <c r="N174">
        <f>IF(Wizards!$A$12="","",IF(OR(ISNUMBER(SEARCH(", "&amp;$B174&amp;", ", ", "&amp;INDEX('Form Responses'!$I$1:$Q$200,12,$A174)&amp;", ")),ISNUMBER(SEARCH(", "&amp;$B174&amp;", ", ", "&amp;INDEX('Form Responses'!$R$1:$R$200,12)&amp;", "))),1,""))</f>
        <v/>
      </c>
      <c r="O174">
        <f>IF(Wizards!$A$13="","",IF(OR(ISNUMBER(SEARCH(", "&amp;$B174&amp;", ", ", "&amp;INDEX('Form Responses'!$I$1:$Q$200,13,$A174)&amp;", ")),ISNUMBER(SEARCH(", "&amp;$B174&amp;", ", ", "&amp;INDEX('Form Responses'!$R$1:$R$200,13)&amp;", "))),1,""))</f>
        <v/>
      </c>
      <c r="P174">
        <f>IF(Wizards!$A$14="","",IF(OR(ISNUMBER(SEARCH(", "&amp;$B174&amp;", ", ", "&amp;INDEX('Form Responses'!$I$1:$Q$200,14,$A174)&amp;", ")),ISNUMBER(SEARCH(", "&amp;$B174&amp;", ", ", "&amp;INDEX('Form Responses'!$R$1:$R$200,14)&amp;", "))),1,""))</f>
        <v/>
      </c>
      <c r="Q174">
        <f>IF(Wizards!$A$15="","",IF(OR(ISNUMBER(SEARCH(", "&amp;$B174&amp;", ", ", "&amp;INDEX('Form Responses'!$I$1:$Q$200,15,$A174)&amp;", ")),ISNUMBER(SEARCH(", "&amp;$B174&amp;", ", ", "&amp;INDEX('Form Responses'!$R$1:$R$200,15)&amp;", "))),1,""))</f>
        <v/>
      </c>
      <c r="R174">
        <f>IF(Wizards!$A$16="","",IF(OR(ISNUMBER(SEARCH(", "&amp;$B174&amp;", ", ", "&amp;INDEX('Form Responses'!$I$1:$Q$200,16,$A174)&amp;", ")),ISNUMBER(SEARCH(", "&amp;$B174&amp;", ", ", "&amp;INDEX('Form Responses'!$R$1:$R$200,16)&amp;", "))),1,""))</f>
        <v/>
      </c>
      <c r="S174">
        <f>IF(Wizards!$A$17="","",IF(OR(ISNUMBER(SEARCH(", "&amp;$B174&amp;", ", ", "&amp;INDEX('Form Responses'!$I$1:$Q$200,17,$A174)&amp;", ")),ISNUMBER(SEARCH(", "&amp;$B174&amp;", ", ", "&amp;INDEX('Form Responses'!$R$1:$R$200,17)&amp;", "))),1,""))</f>
        <v/>
      </c>
      <c r="T174">
        <f>IF(Wizards!$A$18="","",IF(OR(ISNUMBER(SEARCH(", "&amp;$B174&amp;", ", ", "&amp;INDEX('Form Responses'!$I$1:$Q$200,18,$A174)&amp;", ")),ISNUMBER(SEARCH(", "&amp;$B174&amp;", ", ", "&amp;INDEX('Form Responses'!$R$1:$R$200,18)&amp;", "))),1,""))</f>
        <v/>
      </c>
      <c r="U174">
        <f>IF(Wizards!$A$19="","",IF(OR(ISNUMBER(SEARCH(", "&amp;$B174&amp;", ", ", "&amp;INDEX('Form Responses'!$I$1:$Q$200,19,$A174)&amp;", ")),ISNUMBER(SEARCH(", "&amp;$B174&amp;", ", ", "&amp;INDEX('Form Responses'!$R$1:$R$200,19)&amp;", "))),1,""))</f>
        <v/>
      </c>
      <c r="V174">
        <f>IF(Wizards!$A$20="","",IF(OR(ISNUMBER(SEARCH(", "&amp;$B174&amp;", ", ", "&amp;INDEX('Form Responses'!$I$1:$Q$200,20,$A174)&amp;", ")),ISNUMBER(SEARCH(", "&amp;$B174&amp;", ", ", "&amp;INDEX('Form Responses'!$R$1:$R$200,20)&amp;", "))),1,""))</f>
        <v/>
      </c>
      <c r="W174">
        <f>IF(Wizards!$A$21="","",IF(OR(ISNUMBER(SEARCH(", "&amp;$B174&amp;", ", ", "&amp;INDEX('Form Responses'!$I$1:$Q$200,21,$A174)&amp;", ")),ISNUMBER(SEARCH(", "&amp;$B174&amp;", ", ", "&amp;INDEX('Form Responses'!$R$1:$R$200,21)&amp;", "))),1,""))</f>
        <v/>
      </c>
      <c r="X174">
        <f>IF(Wizards!$A$22="","",IF(OR(ISNUMBER(SEARCH(", "&amp;$B174&amp;", ", ", "&amp;INDEX('Form Responses'!$I$1:$Q$200,22,$A174)&amp;", ")),ISNUMBER(SEARCH(", "&amp;$B174&amp;", ", ", "&amp;INDEX('Form Responses'!$R$1:$R$200,22)&amp;", "))),1,""))</f>
        <v/>
      </c>
      <c r="Y174">
        <f>IF(Wizards!$A$23="","",IF(OR(ISNUMBER(SEARCH(", "&amp;$B174&amp;", ", ", "&amp;INDEX('Form Responses'!$I$1:$Q$200,23,$A174)&amp;", ")),ISNUMBER(SEARCH(", "&amp;$B174&amp;", ", ", "&amp;INDEX('Form Responses'!$R$1:$R$200,23)&amp;", "))),1,""))</f>
        <v/>
      </c>
      <c r="Z174">
        <f>IF(Wizards!$A$24="","",IF(OR(ISNUMBER(SEARCH(", "&amp;$B174&amp;", ", ", "&amp;INDEX('Form Responses'!$I$1:$Q$200,24,$A174)&amp;", ")),ISNUMBER(SEARCH(", "&amp;$B174&amp;", ", ", "&amp;INDEX('Form Responses'!$R$1:$R$200,24)&amp;", "))),1,""))</f>
        <v/>
      </c>
      <c r="AA174">
        <f>IF(Wizards!$A$25="","",IF(OR(ISNUMBER(SEARCH(", "&amp;$B174&amp;", ", ", "&amp;INDEX('Form Responses'!$I$1:$Q$200,25,$A174)&amp;", ")),ISNUMBER(SEARCH(", "&amp;$B174&amp;", ", ", "&amp;INDEX('Form Responses'!$R$1:$R$200,25)&amp;", "))),1,""))</f>
        <v/>
      </c>
      <c r="AB174">
        <f>IF(D174=1,", "&amp;D$1,"")</f>
        <v/>
      </c>
      <c r="AC174">
        <f>IF(E174=1,", "&amp;E$1,"")</f>
        <v/>
      </c>
      <c r="AD174">
        <f>IF(F174=1,", "&amp;F$1,"")</f>
        <v/>
      </c>
      <c r="AE174">
        <f>IF(G174=1,", "&amp;G$1,"")</f>
        <v/>
      </c>
      <c r="AF174">
        <f>IF(H174=1,", "&amp;H$1,"")</f>
        <v/>
      </c>
      <c r="AG174">
        <f>IF(I174=1,", "&amp;I$1,"")</f>
        <v/>
      </c>
      <c r="AH174">
        <f>IF(J174=1,", "&amp;J$1,"")</f>
        <v/>
      </c>
      <c r="AI174">
        <f>IF(K174=1,", "&amp;K$1,"")</f>
        <v/>
      </c>
      <c r="AJ174">
        <f>IF(L174=1,", "&amp;L$1,"")</f>
        <v/>
      </c>
      <c r="AK174">
        <f>IF(M174=1,", "&amp;M$1,"")</f>
        <v/>
      </c>
      <c r="AL174">
        <f>IF(N174=1,", "&amp;N$1,"")</f>
        <v/>
      </c>
      <c r="AM174">
        <f>IF(O174=1,", "&amp;O$1,"")</f>
        <v/>
      </c>
      <c r="AN174">
        <f>IF(P174=1,", "&amp;P$1,"")</f>
        <v/>
      </c>
      <c r="AO174">
        <f>IF(Q174=1,", "&amp;Q$1,"")</f>
        <v/>
      </c>
      <c r="AP174">
        <f>IF(R174=1,", "&amp;R$1,"")</f>
        <v/>
      </c>
      <c r="AQ174">
        <f>IF(S174=1,", "&amp;S$1,"")</f>
        <v/>
      </c>
      <c r="AR174">
        <f>IF(T174=1,", "&amp;T$1,"")</f>
        <v/>
      </c>
      <c r="AS174">
        <f>IF(U174=1,", "&amp;U$1,"")</f>
        <v/>
      </c>
      <c r="AT174">
        <f>IF(V174=1,", "&amp;V$1,"")</f>
        <v/>
      </c>
      <c r="AU174">
        <f>IF(W174=1,", "&amp;W$1,"")</f>
        <v/>
      </c>
      <c r="AV174">
        <f>IF(X174=1,", "&amp;X$1,"")</f>
        <v/>
      </c>
      <c r="AW174">
        <f>IF(Y174=1,", "&amp;Y$1,"")</f>
        <v/>
      </c>
      <c r="AX174">
        <f>IF(Z174=1,", "&amp;Z$1,"")</f>
        <v/>
      </c>
      <c r="AY174">
        <f>IF(AA174=1,", "&amp;AA$1,"")</f>
        <v/>
      </c>
      <c r="AZ174">
        <f>MID($AB174&amp;$AC174&amp;$AD174&amp;$AE174&amp;$AF174&amp;$AG174&amp;$AH174&amp;$AI174&amp;$AJ174&amp;$AK174&amp;$AL174&amp;$AM174&amp;$AN174&amp;$AO174&amp;$AP174&amp;$AQ174&amp;$AR174&amp;$AS174&amp;$AT174&amp;$AU174&amp;$AV174&amp;$AW174&amp;$AX174&amp;$AY174,3,32767)</f>
        <v/>
      </c>
      <c r="BA174">
        <f>COUNT($D174:$AA174)</f>
        <v/>
      </c>
    </row>
    <row r="175">
      <c r="A175" t="n">
        <v>4</v>
      </c>
      <c r="B175" t="inlineStr">
        <is>
          <t>Fire Shield</t>
        </is>
      </c>
      <c r="C175" t="inlineStr">
        <is>
          <t>Evocation</t>
        </is>
      </c>
      <c r="D175">
        <f>IF(Wizards!$A$2="","",IF(OR(ISNUMBER(SEARCH(", "&amp;$B175&amp;", ", ", "&amp;INDEX('Form Responses'!$I$1:$Q$200,2,$A175)&amp;", ")),ISNUMBER(SEARCH(", "&amp;$B175&amp;", ", ", "&amp;INDEX('Form Responses'!$R$1:$R$200,2)&amp;", "))),1,""))</f>
        <v/>
      </c>
      <c r="E175">
        <f>IF(Wizards!$A$3="","",IF(OR(ISNUMBER(SEARCH(", "&amp;$B175&amp;", ", ", "&amp;INDEX('Form Responses'!$I$1:$Q$200,3,$A175)&amp;", ")),ISNUMBER(SEARCH(", "&amp;$B175&amp;", ", ", "&amp;INDEX('Form Responses'!$R$1:$R$200,3)&amp;", "))),1,""))</f>
        <v/>
      </c>
      <c r="F175">
        <f>IF(Wizards!$A$4="","",IF(OR(ISNUMBER(SEARCH(", "&amp;$B175&amp;", ", ", "&amp;INDEX('Form Responses'!$I$1:$Q$200,4,$A175)&amp;", ")),ISNUMBER(SEARCH(", "&amp;$B175&amp;", ", ", "&amp;INDEX('Form Responses'!$R$1:$R$200,4)&amp;", "))),1,""))</f>
        <v/>
      </c>
      <c r="G175">
        <f>IF(Wizards!$A$5="","",IF(OR(ISNUMBER(SEARCH(", "&amp;$B175&amp;", ", ", "&amp;INDEX('Form Responses'!$I$1:$Q$200,5,$A175)&amp;", ")),ISNUMBER(SEARCH(", "&amp;$B175&amp;", ", ", "&amp;INDEX('Form Responses'!$R$1:$R$200,5)&amp;", "))),1,""))</f>
        <v/>
      </c>
      <c r="H175">
        <f>IF(Wizards!$A$6="","",IF(OR(ISNUMBER(SEARCH(", "&amp;$B175&amp;", ", ", "&amp;INDEX('Form Responses'!$I$1:$Q$200,6,$A175)&amp;", ")),ISNUMBER(SEARCH(", "&amp;$B175&amp;", ", ", "&amp;INDEX('Form Responses'!$R$1:$R$200,6)&amp;", "))),1,""))</f>
        <v/>
      </c>
      <c r="I175">
        <f>IF(Wizards!$A$7="","",IF(OR(ISNUMBER(SEARCH(", "&amp;$B175&amp;", ", ", "&amp;INDEX('Form Responses'!$I$1:$Q$200,7,$A175)&amp;", ")),ISNUMBER(SEARCH(", "&amp;$B175&amp;", ", ", "&amp;INDEX('Form Responses'!$R$1:$R$200,7)&amp;", "))),1,""))</f>
        <v/>
      </c>
      <c r="J175">
        <f>IF(Wizards!$A$8="","",IF(OR(ISNUMBER(SEARCH(", "&amp;$B175&amp;", ", ", "&amp;INDEX('Form Responses'!$I$1:$Q$200,8,$A175)&amp;", ")),ISNUMBER(SEARCH(", "&amp;$B175&amp;", ", ", "&amp;INDEX('Form Responses'!$R$1:$R$200,8)&amp;", "))),1,""))</f>
        <v/>
      </c>
      <c r="K175">
        <f>IF(Wizards!$A$9="","",IF(OR(ISNUMBER(SEARCH(", "&amp;$B175&amp;", ", ", "&amp;INDEX('Form Responses'!$I$1:$Q$200,9,$A175)&amp;", ")),ISNUMBER(SEARCH(", "&amp;$B175&amp;", ", ", "&amp;INDEX('Form Responses'!$R$1:$R$200,9)&amp;", "))),1,""))</f>
        <v/>
      </c>
      <c r="L175">
        <f>IF(Wizards!$A$10="","",IF(OR(ISNUMBER(SEARCH(", "&amp;$B175&amp;", ", ", "&amp;INDEX('Form Responses'!$I$1:$Q$200,10,$A175)&amp;", ")),ISNUMBER(SEARCH(", "&amp;$B175&amp;", ", ", "&amp;INDEX('Form Responses'!$R$1:$R$200,10)&amp;", "))),1,""))</f>
        <v/>
      </c>
      <c r="M175">
        <f>IF(Wizards!$A$11="","",IF(OR(ISNUMBER(SEARCH(", "&amp;$B175&amp;", ", ", "&amp;INDEX('Form Responses'!$I$1:$Q$200,11,$A175)&amp;", ")),ISNUMBER(SEARCH(", "&amp;$B175&amp;", ", ", "&amp;INDEX('Form Responses'!$R$1:$R$200,11)&amp;", "))),1,""))</f>
        <v/>
      </c>
      <c r="N175">
        <f>IF(Wizards!$A$12="","",IF(OR(ISNUMBER(SEARCH(", "&amp;$B175&amp;", ", ", "&amp;INDEX('Form Responses'!$I$1:$Q$200,12,$A175)&amp;", ")),ISNUMBER(SEARCH(", "&amp;$B175&amp;", ", ", "&amp;INDEX('Form Responses'!$R$1:$R$200,12)&amp;", "))),1,""))</f>
        <v/>
      </c>
      <c r="O175">
        <f>IF(Wizards!$A$13="","",IF(OR(ISNUMBER(SEARCH(", "&amp;$B175&amp;", ", ", "&amp;INDEX('Form Responses'!$I$1:$Q$200,13,$A175)&amp;", ")),ISNUMBER(SEARCH(", "&amp;$B175&amp;", ", ", "&amp;INDEX('Form Responses'!$R$1:$R$200,13)&amp;", "))),1,""))</f>
        <v/>
      </c>
      <c r="P175">
        <f>IF(Wizards!$A$14="","",IF(OR(ISNUMBER(SEARCH(", "&amp;$B175&amp;", ", ", "&amp;INDEX('Form Responses'!$I$1:$Q$200,14,$A175)&amp;", ")),ISNUMBER(SEARCH(", "&amp;$B175&amp;", ", ", "&amp;INDEX('Form Responses'!$R$1:$R$200,14)&amp;", "))),1,""))</f>
        <v/>
      </c>
      <c r="Q175">
        <f>IF(Wizards!$A$15="","",IF(OR(ISNUMBER(SEARCH(", "&amp;$B175&amp;", ", ", "&amp;INDEX('Form Responses'!$I$1:$Q$200,15,$A175)&amp;", ")),ISNUMBER(SEARCH(", "&amp;$B175&amp;", ", ", "&amp;INDEX('Form Responses'!$R$1:$R$200,15)&amp;", "))),1,""))</f>
        <v/>
      </c>
      <c r="R175">
        <f>IF(Wizards!$A$16="","",IF(OR(ISNUMBER(SEARCH(", "&amp;$B175&amp;", ", ", "&amp;INDEX('Form Responses'!$I$1:$Q$200,16,$A175)&amp;", ")),ISNUMBER(SEARCH(", "&amp;$B175&amp;", ", ", "&amp;INDEX('Form Responses'!$R$1:$R$200,16)&amp;", "))),1,""))</f>
        <v/>
      </c>
      <c r="S175">
        <f>IF(Wizards!$A$17="","",IF(OR(ISNUMBER(SEARCH(", "&amp;$B175&amp;", ", ", "&amp;INDEX('Form Responses'!$I$1:$Q$200,17,$A175)&amp;", ")),ISNUMBER(SEARCH(", "&amp;$B175&amp;", ", ", "&amp;INDEX('Form Responses'!$R$1:$R$200,17)&amp;", "))),1,""))</f>
        <v/>
      </c>
      <c r="T175">
        <f>IF(Wizards!$A$18="","",IF(OR(ISNUMBER(SEARCH(", "&amp;$B175&amp;", ", ", "&amp;INDEX('Form Responses'!$I$1:$Q$200,18,$A175)&amp;", ")),ISNUMBER(SEARCH(", "&amp;$B175&amp;", ", ", "&amp;INDEX('Form Responses'!$R$1:$R$200,18)&amp;", "))),1,""))</f>
        <v/>
      </c>
      <c r="U175">
        <f>IF(Wizards!$A$19="","",IF(OR(ISNUMBER(SEARCH(", "&amp;$B175&amp;", ", ", "&amp;INDEX('Form Responses'!$I$1:$Q$200,19,$A175)&amp;", ")),ISNUMBER(SEARCH(", "&amp;$B175&amp;", ", ", "&amp;INDEX('Form Responses'!$R$1:$R$200,19)&amp;", "))),1,""))</f>
        <v/>
      </c>
      <c r="V175">
        <f>IF(Wizards!$A$20="","",IF(OR(ISNUMBER(SEARCH(", "&amp;$B175&amp;", ", ", "&amp;INDEX('Form Responses'!$I$1:$Q$200,20,$A175)&amp;", ")),ISNUMBER(SEARCH(", "&amp;$B175&amp;", ", ", "&amp;INDEX('Form Responses'!$R$1:$R$200,20)&amp;", "))),1,""))</f>
        <v/>
      </c>
      <c r="W175">
        <f>IF(Wizards!$A$21="","",IF(OR(ISNUMBER(SEARCH(", "&amp;$B175&amp;", ", ", "&amp;INDEX('Form Responses'!$I$1:$Q$200,21,$A175)&amp;", ")),ISNUMBER(SEARCH(", "&amp;$B175&amp;", ", ", "&amp;INDEX('Form Responses'!$R$1:$R$200,21)&amp;", "))),1,""))</f>
        <v/>
      </c>
      <c r="X175">
        <f>IF(Wizards!$A$22="","",IF(OR(ISNUMBER(SEARCH(", "&amp;$B175&amp;", ", ", "&amp;INDEX('Form Responses'!$I$1:$Q$200,22,$A175)&amp;", ")),ISNUMBER(SEARCH(", "&amp;$B175&amp;", ", ", "&amp;INDEX('Form Responses'!$R$1:$R$200,22)&amp;", "))),1,""))</f>
        <v/>
      </c>
      <c r="Y175">
        <f>IF(Wizards!$A$23="","",IF(OR(ISNUMBER(SEARCH(", "&amp;$B175&amp;", ", ", "&amp;INDEX('Form Responses'!$I$1:$Q$200,23,$A175)&amp;", ")),ISNUMBER(SEARCH(", "&amp;$B175&amp;", ", ", "&amp;INDEX('Form Responses'!$R$1:$R$200,23)&amp;", "))),1,""))</f>
        <v/>
      </c>
      <c r="Z175">
        <f>IF(Wizards!$A$24="","",IF(OR(ISNUMBER(SEARCH(", "&amp;$B175&amp;", ", ", "&amp;INDEX('Form Responses'!$I$1:$Q$200,24,$A175)&amp;", ")),ISNUMBER(SEARCH(", "&amp;$B175&amp;", ", ", "&amp;INDEX('Form Responses'!$R$1:$R$200,24)&amp;", "))),1,""))</f>
        <v/>
      </c>
      <c r="AA175">
        <f>IF(Wizards!$A$25="","",IF(OR(ISNUMBER(SEARCH(", "&amp;$B175&amp;", ", ", "&amp;INDEX('Form Responses'!$I$1:$Q$200,25,$A175)&amp;", ")),ISNUMBER(SEARCH(", "&amp;$B175&amp;", ", ", "&amp;INDEX('Form Responses'!$R$1:$R$200,25)&amp;", "))),1,""))</f>
        <v/>
      </c>
      <c r="AB175">
        <f>IF(D175=1,", "&amp;D$1,"")</f>
        <v/>
      </c>
      <c r="AC175">
        <f>IF(E175=1,", "&amp;E$1,"")</f>
        <v/>
      </c>
      <c r="AD175">
        <f>IF(F175=1,", "&amp;F$1,"")</f>
        <v/>
      </c>
      <c r="AE175">
        <f>IF(G175=1,", "&amp;G$1,"")</f>
        <v/>
      </c>
      <c r="AF175">
        <f>IF(H175=1,", "&amp;H$1,"")</f>
        <v/>
      </c>
      <c r="AG175">
        <f>IF(I175=1,", "&amp;I$1,"")</f>
        <v/>
      </c>
      <c r="AH175">
        <f>IF(J175=1,", "&amp;J$1,"")</f>
        <v/>
      </c>
      <c r="AI175">
        <f>IF(K175=1,", "&amp;K$1,"")</f>
        <v/>
      </c>
      <c r="AJ175">
        <f>IF(L175=1,", "&amp;L$1,"")</f>
        <v/>
      </c>
      <c r="AK175">
        <f>IF(M175=1,", "&amp;M$1,"")</f>
        <v/>
      </c>
      <c r="AL175">
        <f>IF(N175=1,", "&amp;N$1,"")</f>
        <v/>
      </c>
      <c r="AM175">
        <f>IF(O175=1,", "&amp;O$1,"")</f>
        <v/>
      </c>
      <c r="AN175">
        <f>IF(P175=1,", "&amp;P$1,"")</f>
        <v/>
      </c>
      <c r="AO175">
        <f>IF(Q175=1,", "&amp;Q$1,"")</f>
        <v/>
      </c>
      <c r="AP175">
        <f>IF(R175=1,", "&amp;R$1,"")</f>
        <v/>
      </c>
      <c r="AQ175">
        <f>IF(S175=1,", "&amp;S$1,"")</f>
        <v/>
      </c>
      <c r="AR175">
        <f>IF(T175=1,", "&amp;T$1,"")</f>
        <v/>
      </c>
      <c r="AS175">
        <f>IF(U175=1,", "&amp;U$1,"")</f>
        <v/>
      </c>
      <c r="AT175">
        <f>IF(V175=1,", "&amp;V$1,"")</f>
        <v/>
      </c>
      <c r="AU175">
        <f>IF(W175=1,", "&amp;W$1,"")</f>
        <v/>
      </c>
      <c r="AV175">
        <f>IF(X175=1,", "&amp;X$1,"")</f>
        <v/>
      </c>
      <c r="AW175">
        <f>IF(Y175=1,", "&amp;Y$1,"")</f>
        <v/>
      </c>
      <c r="AX175">
        <f>IF(Z175=1,", "&amp;Z$1,"")</f>
        <v/>
      </c>
      <c r="AY175">
        <f>IF(AA175=1,", "&amp;AA$1,"")</f>
        <v/>
      </c>
      <c r="AZ175">
        <f>MID($AB175&amp;$AC175&amp;$AD175&amp;$AE175&amp;$AF175&amp;$AG175&amp;$AH175&amp;$AI175&amp;$AJ175&amp;$AK175&amp;$AL175&amp;$AM175&amp;$AN175&amp;$AO175&amp;$AP175&amp;$AQ175&amp;$AR175&amp;$AS175&amp;$AT175&amp;$AU175&amp;$AV175&amp;$AW175&amp;$AX175&amp;$AY175,3,32767)</f>
        <v/>
      </c>
      <c r="BA175">
        <f>COUNT($D175:$AA175)</f>
        <v/>
      </c>
    </row>
    <row r="176">
      <c r="A176" t="n">
        <v>4</v>
      </c>
      <c r="B176" t="inlineStr">
        <is>
          <t>Galder's Speedy Courier</t>
        </is>
      </c>
      <c r="C176" t="inlineStr">
        <is>
          <t>Conjuration</t>
        </is>
      </c>
      <c r="D176">
        <f>IF(Wizards!$A$2="","",IF(OR(ISNUMBER(SEARCH(", "&amp;$B176&amp;", ", ", "&amp;INDEX('Form Responses'!$I$1:$Q$200,2,$A176)&amp;", ")),ISNUMBER(SEARCH(", "&amp;$B176&amp;", ", ", "&amp;INDEX('Form Responses'!$R$1:$R$200,2)&amp;", "))),1,""))</f>
        <v/>
      </c>
      <c r="E176">
        <f>IF(Wizards!$A$3="","",IF(OR(ISNUMBER(SEARCH(", "&amp;$B176&amp;", ", ", "&amp;INDEX('Form Responses'!$I$1:$Q$200,3,$A176)&amp;", ")),ISNUMBER(SEARCH(", "&amp;$B176&amp;", ", ", "&amp;INDEX('Form Responses'!$R$1:$R$200,3)&amp;", "))),1,""))</f>
        <v/>
      </c>
      <c r="F176">
        <f>IF(Wizards!$A$4="","",IF(OR(ISNUMBER(SEARCH(", "&amp;$B176&amp;", ", ", "&amp;INDEX('Form Responses'!$I$1:$Q$200,4,$A176)&amp;", ")),ISNUMBER(SEARCH(", "&amp;$B176&amp;", ", ", "&amp;INDEX('Form Responses'!$R$1:$R$200,4)&amp;", "))),1,""))</f>
        <v/>
      </c>
      <c r="G176">
        <f>IF(Wizards!$A$5="","",IF(OR(ISNUMBER(SEARCH(", "&amp;$B176&amp;", ", ", "&amp;INDEX('Form Responses'!$I$1:$Q$200,5,$A176)&amp;", ")),ISNUMBER(SEARCH(", "&amp;$B176&amp;", ", ", "&amp;INDEX('Form Responses'!$R$1:$R$200,5)&amp;", "))),1,""))</f>
        <v/>
      </c>
      <c r="H176">
        <f>IF(Wizards!$A$6="","",IF(OR(ISNUMBER(SEARCH(", "&amp;$B176&amp;", ", ", "&amp;INDEX('Form Responses'!$I$1:$Q$200,6,$A176)&amp;", ")),ISNUMBER(SEARCH(", "&amp;$B176&amp;", ", ", "&amp;INDEX('Form Responses'!$R$1:$R$200,6)&amp;", "))),1,""))</f>
        <v/>
      </c>
      <c r="I176">
        <f>IF(Wizards!$A$7="","",IF(OR(ISNUMBER(SEARCH(", "&amp;$B176&amp;", ", ", "&amp;INDEX('Form Responses'!$I$1:$Q$200,7,$A176)&amp;", ")),ISNUMBER(SEARCH(", "&amp;$B176&amp;", ", ", "&amp;INDEX('Form Responses'!$R$1:$R$200,7)&amp;", "))),1,""))</f>
        <v/>
      </c>
      <c r="J176">
        <f>IF(Wizards!$A$8="","",IF(OR(ISNUMBER(SEARCH(", "&amp;$B176&amp;", ", ", "&amp;INDEX('Form Responses'!$I$1:$Q$200,8,$A176)&amp;", ")),ISNUMBER(SEARCH(", "&amp;$B176&amp;", ", ", "&amp;INDEX('Form Responses'!$R$1:$R$200,8)&amp;", "))),1,""))</f>
        <v/>
      </c>
      <c r="K176">
        <f>IF(Wizards!$A$9="","",IF(OR(ISNUMBER(SEARCH(", "&amp;$B176&amp;", ", ", "&amp;INDEX('Form Responses'!$I$1:$Q$200,9,$A176)&amp;", ")),ISNUMBER(SEARCH(", "&amp;$B176&amp;", ", ", "&amp;INDEX('Form Responses'!$R$1:$R$200,9)&amp;", "))),1,""))</f>
        <v/>
      </c>
      <c r="L176">
        <f>IF(Wizards!$A$10="","",IF(OR(ISNUMBER(SEARCH(", "&amp;$B176&amp;", ", ", "&amp;INDEX('Form Responses'!$I$1:$Q$200,10,$A176)&amp;", ")),ISNUMBER(SEARCH(", "&amp;$B176&amp;", ", ", "&amp;INDEX('Form Responses'!$R$1:$R$200,10)&amp;", "))),1,""))</f>
        <v/>
      </c>
      <c r="M176">
        <f>IF(Wizards!$A$11="","",IF(OR(ISNUMBER(SEARCH(", "&amp;$B176&amp;", ", ", "&amp;INDEX('Form Responses'!$I$1:$Q$200,11,$A176)&amp;", ")),ISNUMBER(SEARCH(", "&amp;$B176&amp;", ", ", "&amp;INDEX('Form Responses'!$R$1:$R$200,11)&amp;", "))),1,""))</f>
        <v/>
      </c>
      <c r="N176">
        <f>IF(Wizards!$A$12="","",IF(OR(ISNUMBER(SEARCH(", "&amp;$B176&amp;", ", ", "&amp;INDEX('Form Responses'!$I$1:$Q$200,12,$A176)&amp;", ")),ISNUMBER(SEARCH(", "&amp;$B176&amp;", ", ", "&amp;INDEX('Form Responses'!$R$1:$R$200,12)&amp;", "))),1,""))</f>
        <v/>
      </c>
      <c r="O176">
        <f>IF(Wizards!$A$13="","",IF(OR(ISNUMBER(SEARCH(", "&amp;$B176&amp;", ", ", "&amp;INDEX('Form Responses'!$I$1:$Q$200,13,$A176)&amp;", ")),ISNUMBER(SEARCH(", "&amp;$B176&amp;", ", ", "&amp;INDEX('Form Responses'!$R$1:$R$200,13)&amp;", "))),1,""))</f>
        <v/>
      </c>
      <c r="P176">
        <f>IF(Wizards!$A$14="","",IF(OR(ISNUMBER(SEARCH(", "&amp;$B176&amp;", ", ", "&amp;INDEX('Form Responses'!$I$1:$Q$200,14,$A176)&amp;", ")),ISNUMBER(SEARCH(", "&amp;$B176&amp;", ", ", "&amp;INDEX('Form Responses'!$R$1:$R$200,14)&amp;", "))),1,""))</f>
        <v/>
      </c>
      <c r="Q176">
        <f>IF(Wizards!$A$15="","",IF(OR(ISNUMBER(SEARCH(", "&amp;$B176&amp;", ", ", "&amp;INDEX('Form Responses'!$I$1:$Q$200,15,$A176)&amp;", ")),ISNUMBER(SEARCH(", "&amp;$B176&amp;", ", ", "&amp;INDEX('Form Responses'!$R$1:$R$200,15)&amp;", "))),1,""))</f>
        <v/>
      </c>
      <c r="R176">
        <f>IF(Wizards!$A$16="","",IF(OR(ISNUMBER(SEARCH(", "&amp;$B176&amp;", ", ", "&amp;INDEX('Form Responses'!$I$1:$Q$200,16,$A176)&amp;", ")),ISNUMBER(SEARCH(", "&amp;$B176&amp;", ", ", "&amp;INDEX('Form Responses'!$R$1:$R$200,16)&amp;", "))),1,""))</f>
        <v/>
      </c>
      <c r="S176">
        <f>IF(Wizards!$A$17="","",IF(OR(ISNUMBER(SEARCH(", "&amp;$B176&amp;", ", ", "&amp;INDEX('Form Responses'!$I$1:$Q$200,17,$A176)&amp;", ")),ISNUMBER(SEARCH(", "&amp;$B176&amp;", ", ", "&amp;INDEX('Form Responses'!$R$1:$R$200,17)&amp;", "))),1,""))</f>
        <v/>
      </c>
      <c r="T176">
        <f>IF(Wizards!$A$18="","",IF(OR(ISNUMBER(SEARCH(", "&amp;$B176&amp;", ", ", "&amp;INDEX('Form Responses'!$I$1:$Q$200,18,$A176)&amp;", ")),ISNUMBER(SEARCH(", "&amp;$B176&amp;", ", ", "&amp;INDEX('Form Responses'!$R$1:$R$200,18)&amp;", "))),1,""))</f>
        <v/>
      </c>
      <c r="U176">
        <f>IF(Wizards!$A$19="","",IF(OR(ISNUMBER(SEARCH(", "&amp;$B176&amp;", ", ", "&amp;INDEX('Form Responses'!$I$1:$Q$200,19,$A176)&amp;", ")),ISNUMBER(SEARCH(", "&amp;$B176&amp;", ", ", "&amp;INDEX('Form Responses'!$R$1:$R$200,19)&amp;", "))),1,""))</f>
        <v/>
      </c>
      <c r="V176">
        <f>IF(Wizards!$A$20="","",IF(OR(ISNUMBER(SEARCH(", "&amp;$B176&amp;", ", ", "&amp;INDEX('Form Responses'!$I$1:$Q$200,20,$A176)&amp;", ")),ISNUMBER(SEARCH(", "&amp;$B176&amp;", ", ", "&amp;INDEX('Form Responses'!$R$1:$R$200,20)&amp;", "))),1,""))</f>
        <v/>
      </c>
      <c r="W176">
        <f>IF(Wizards!$A$21="","",IF(OR(ISNUMBER(SEARCH(", "&amp;$B176&amp;", ", ", "&amp;INDEX('Form Responses'!$I$1:$Q$200,21,$A176)&amp;", ")),ISNUMBER(SEARCH(", "&amp;$B176&amp;", ", ", "&amp;INDEX('Form Responses'!$R$1:$R$200,21)&amp;", "))),1,""))</f>
        <v/>
      </c>
      <c r="X176">
        <f>IF(Wizards!$A$22="","",IF(OR(ISNUMBER(SEARCH(", "&amp;$B176&amp;", ", ", "&amp;INDEX('Form Responses'!$I$1:$Q$200,22,$A176)&amp;", ")),ISNUMBER(SEARCH(", "&amp;$B176&amp;", ", ", "&amp;INDEX('Form Responses'!$R$1:$R$200,22)&amp;", "))),1,""))</f>
        <v/>
      </c>
      <c r="Y176">
        <f>IF(Wizards!$A$23="","",IF(OR(ISNUMBER(SEARCH(", "&amp;$B176&amp;", ", ", "&amp;INDEX('Form Responses'!$I$1:$Q$200,23,$A176)&amp;", ")),ISNUMBER(SEARCH(", "&amp;$B176&amp;", ", ", "&amp;INDEX('Form Responses'!$R$1:$R$200,23)&amp;", "))),1,""))</f>
        <v/>
      </c>
      <c r="Z176">
        <f>IF(Wizards!$A$24="","",IF(OR(ISNUMBER(SEARCH(", "&amp;$B176&amp;", ", ", "&amp;INDEX('Form Responses'!$I$1:$Q$200,24,$A176)&amp;", ")),ISNUMBER(SEARCH(", "&amp;$B176&amp;", ", ", "&amp;INDEX('Form Responses'!$R$1:$R$200,24)&amp;", "))),1,""))</f>
        <v/>
      </c>
      <c r="AA176">
        <f>IF(Wizards!$A$25="","",IF(OR(ISNUMBER(SEARCH(", "&amp;$B176&amp;", ", ", "&amp;INDEX('Form Responses'!$I$1:$Q$200,25,$A176)&amp;", ")),ISNUMBER(SEARCH(", "&amp;$B176&amp;", ", ", "&amp;INDEX('Form Responses'!$R$1:$R$200,25)&amp;", "))),1,""))</f>
        <v/>
      </c>
      <c r="AB176">
        <f>IF(D176=1,", "&amp;D$1,"")</f>
        <v/>
      </c>
      <c r="AC176">
        <f>IF(E176=1,", "&amp;E$1,"")</f>
        <v/>
      </c>
      <c r="AD176">
        <f>IF(F176=1,", "&amp;F$1,"")</f>
        <v/>
      </c>
      <c r="AE176">
        <f>IF(G176=1,", "&amp;G$1,"")</f>
        <v/>
      </c>
      <c r="AF176">
        <f>IF(H176=1,", "&amp;H$1,"")</f>
        <v/>
      </c>
      <c r="AG176">
        <f>IF(I176=1,", "&amp;I$1,"")</f>
        <v/>
      </c>
      <c r="AH176">
        <f>IF(J176=1,", "&amp;J$1,"")</f>
        <v/>
      </c>
      <c r="AI176">
        <f>IF(K176=1,", "&amp;K$1,"")</f>
        <v/>
      </c>
      <c r="AJ176">
        <f>IF(L176=1,", "&amp;L$1,"")</f>
        <v/>
      </c>
      <c r="AK176">
        <f>IF(M176=1,", "&amp;M$1,"")</f>
        <v/>
      </c>
      <c r="AL176">
        <f>IF(N176=1,", "&amp;N$1,"")</f>
        <v/>
      </c>
      <c r="AM176">
        <f>IF(O176=1,", "&amp;O$1,"")</f>
        <v/>
      </c>
      <c r="AN176">
        <f>IF(P176=1,", "&amp;P$1,"")</f>
        <v/>
      </c>
      <c r="AO176">
        <f>IF(Q176=1,", "&amp;Q$1,"")</f>
        <v/>
      </c>
      <c r="AP176">
        <f>IF(R176=1,", "&amp;R$1,"")</f>
        <v/>
      </c>
      <c r="AQ176">
        <f>IF(S176=1,", "&amp;S$1,"")</f>
        <v/>
      </c>
      <c r="AR176">
        <f>IF(T176=1,", "&amp;T$1,"")</f>
        <v/>
      </c>
      <c r="AS176">
        <f>IF(U176=1,", "&amp;U$1,"")</f>
        <v/>
      </c>
      <c r="AT176">
        <f>IF(V176=1,", "&amp;V$1,"")</f>
        <v/>
      </c>
      <c r="AU176">
        <f>IF(W176=1,", "&amp;W$1,"")</f>
        <v/>
      </c>
      <c r="AV176">
        <f>IF(X176=1,", "&amp;X$1,"")</f>
        <v/>
      </c>
      <c r="AW176">
        <f>IF(Y176=1,", "&amp;Y$1,"")</f>
        <v/>
      </c>
      <c r="AX176">
        <f>IF(Z176=1,", "&amp;Z$1,"")</f>
        <v/>
      </c>
      <c r="AY176">
        <f>IF(AA176=1,", "&amp;AA$1,"")</f>
        <v/>
      </c>
      <c r="AZ176">
        <f>MID($AB176&amp;$AC176&amp;$AD176&amp;$AE176&amp;$AF176&amp;$AG176&amp;$AH176&amp;$AI176&amp;$AJ176&amp;$AK176&amp;$AL176&amp;$AM176&amp;$AN176&amp;$AO176&amp;$AP176&amp;$AQ176&amp;$AR176&amp;$AS176&amp;$AT176&amp;$AU176&amp;$AV176&amp;$AW176&amp;$AX176&amp;$AY176,3,32767)</f>
        <v/>
      </c>
      <c r="BA176">
        <f>COUNT($D176:$AA176)</f>
        <v/>
      </c>
    </row>
    <row r="177">
      <c r="A177" t="n">
        <v>4</v>
      </c>
      <c r="B177" t="inlineStr">
        <is>
          <t>Gate Seal</t>
        </is>
      </c>
      <c r="C177" t="inlineStr">
        <is>
          <t>Abjuration</t>
        </is>
      </c>
      <c r="D177">
        <f>IF(Wizards!$A$2="","",IF(OR(ISNUMBER(SEARCH(", "&amp;$B177&amp;", ", ", "&amp;INDEX('Form Responses'!$I$1:$Q$200,2,$A177)&amp;", ")),ISNUMBER(SEARCH(", "&amp;$B177&amp;", ", ", "&amp;INDEX('Form Responses'!$R$1:$R$200,2)&amp;", "))),1,""))</f>
        <v/>
      </c>
      <c r="E177">
        <f>IF(Wizards!$A$3="","",IF(OR(ISNUMBER(SEARCH(", "&amp;$B177&amp;", ", ", "&amp;INDEX('Form Responses'!$I$1:$Q$200,3,$A177)&amp;", ")),ISNUMBER(SEARCH(", "&amp;$B177&amp;", ", ", "&amp;INDEX('Form Responses'!$R$1:$R$200,3)&amp;", "))),1,""))</f>
        <v/>
      </c>
      <c r="F177">
        <f>IF(Wizards!$A$4="","",IF(OR(ISNUMBER(SEARCH(", "&amp;$B177&amp;", ", ", "&amp;INDEX('Form Responses'!$I$1:$Q$200,4,$A177)&amp;", ")),ISNUMBER(SEARCH(", "&amp;$B177&amp;", ", ", "&amp;INDEX('Form Responses'!$R$1:$R$200,4)&amp;", "))),1,""))</f>
        <v/>
      </c>
      <c r="G177">
        <f>IF(Wizards!$A$5="","",IF(OR(ISNUMBER(SEARCH(", "&amp;$B177&amp;", ", ", "&amp;INDEX('Form Responses'!$I$1:$Q$200,5,$A177)&amp;", ")),ISNUMBER(SEARCH(", "&amp;$B177&amp;", ", ", "&amp;INDEX('Form Responses'!$R$1:$R$200,5)&amp;", "))),1,""))</f>
        <v/>
      </c>
      <c r="H177">
        <f>IF(Wizards!$A$6="","",IF(OR(ISNUMBER(SEARCH(", "&amp;$B177&amp;", ", ", "&amp;INDEX('Form Responses'!$I$1:$Q$200,6,$A177)&amp;", ")),ISNUMBER(SEARCH(", "&amp;$B177&amp;", ", ", "&amp;INDEX('Form Responses'!$R$1:$R$200,6)&amp;", "))),1,""))</f>
        <v/>
      </c>
      <c r="I177">
        <f>IF(Wizards!$A$7="","",IF(OR(ISNUMBER(SEARCH(", "&amp;$B177&amp;", ", ", "&amp;INDEX('Form Responses'!$I$1:$Q$200,7,$A177)&amp;", ")),ISNUMBER(SEARCH(", "&amp;$B177&amp;", ", ", "&amp;INDEX('Form Responses'!$R$1:$R$200,7)&amp;", "))),1,""))</f>
        <v/>
      </c>
      <c r="J177">
        <f>IF(Wizards!$A$8="","",IF(OR(ISNUMBER(SEARCH(", "&amp;$B177&amp;", ", ", "&amp;INDEX('Form Responses'!$I$1:$Q$200,8,$A177)&amp;", ")),ISNUMBER(SEARCH(", "&amp;$B177&amp;", ", ", "&amp;INDEX('Form Responses'!$R$1:$R$200,8)&amp;", "))),1,""))</f>
        <v/>
      </c>
      <c r="K177">
        <f>IF(Wizards!$A$9="","",IF(OR(ISNUMBER(SEARCH(", "&amp;$B177&amp;", ", ", "&amp;INDEX('Form Responses'!$I$1:$Q$200,9,$A177)&amp;", ")),ISNUMBER(SEARCH(", "&amp;$B177&amp;", ", ", "&amp;INDEX('Form Responses'!$R$1:$R$200,9)&amp;", "))),1,""))</f>
        <v/>
      </c>
      <c r="L177">
        <f>IF(Wizards!$A$10="","",IF(OR(ISNUMBER(SEARCH(", "&amp;$B177&amp;", ", ", "&amp;INDEX('Form Responses'!$I$1:$Q$200,10,$A177)&amp;", ")),ISNUMBER(SEARCH(", "&amp;$B177&amp;", ", ", "&amp;INDEX('Form Responses'!$R$1:$R$200,10)&amp;", "))),1,""))</f>
        <v/>
      </c>
      <c r="M177">
        <f>IF(Wizards!$A$11="","",IF(OR(ISNUMBER(SEARCH(", "&amp;$B177&amp;", ", ", "&amp;INDEX('Form Responses'!$I$1:$Q$200,11,$A177)&amp;", ")),ISNUMBER(SEARCH(", "&amp;$B177&amp;", ", ", "&amp;INDEX('Form Responses'!$R$1:$R$200,11)&amp;", "))),1,""))</f>
        <v/>
      </c>
      <c r="N177">
        <f>IF(Wizards!$A$12="","",IF(OR(ISNUMBER(SEARCH(", "&amp;$B177&amp;", ", ", "&amp;INDEX('Form Responses'!$I$1:$Q$200,12,$A177)&amp;", ")),ISNUMBER(SEARCH(", "&amp;$B177&amp;", ", ", "&amp;INDEX('Form Responses'!$R$1:$R$200,12)&amp;", "))),1,""))</f>
        <v/>
      </c>
      <c r="O177">
        <f>IF(Wizards!$A$13="","",IF(OR(ISNUMBER(SEARCH(", "&amp;$B177&amp;", ", ", "&amp;INDEX('Form Responses'!$I$1:$Q$200,13,$A177)&amp;", ")),ISNUMBER(SEARCH(", "&amp;$B177&amp;", ", ", "&amp;INDEX('Form Responses'!$R$1:$R$200,13)&amp;", "))),1,""))</f>
        <v/>
      </c>
      <c r="P177">
        <f>IF(Wizards!$A$14="","",IF(OR(ISNUMBER(SEARCH(", "&amp;$B177&amp;", ", ", "&amp;INDEX('Form Responses'!$I$1:$Q$200,14,$A177)&amp;", ")),ISNUMBER(SEARCH(", "&amp;$B177&amp;", ", ", "&amp;INDEX('Form Responses'!$R$1:$R$200,14)&amp;", "))),1,""))</f>
        <v/>
      </c>
      <c r="Q177">
        <f>IF(Wizards!$A$15="","",IF(OR(ISNUMBER(SEARCH(", "&amp;$B177&amp;", ", ", "&amp;INDEX('Form Responses'!$I$1:$Q$200,15,$A177)&amp;", ")),ISNUMBER(SEARCH(", "&amp;$B177&amp;", ", ", "&amp;INDEX('Form Responses'!$R$1:$R$200,15)&amp;", "))),1,""))</f>
        <v/>
      </c>
      <c r="R177">
        <f>IF(Wizards!$A$16="","",IF(OR(ISNUMBER(SEARCH(", "&amp;$B177&amp;", ", ", "&amp;INDEX('Form Responses'!$I$1:$Q$200,16,$A177)&amp;", ")),ISNUMBER(SEARCH(", "&amp;$B177&amp;", ", ", "&amp;INDEX('Form Responses'!$R$1:$R$200,16)&amp;", "))),1,""))</f>
        <v/>
      </c>
      <c r="S177">
        <f>IF(Wizards!$A$17="","",IF(OR(ISNUMBER(SEARCH(", "&amp;$B177&amp;", ", ", "&amp;INDEX('Form Responses'!$I$1:$Q$200,17,$A177)&amp;", ")),ISNUMBER(SEARCH(", "&amp;$B177&amp;", ", ", "&amp;INDEX('Form Responses'!$R$1:$R$200,17)&amp;", "))),1,""))</f>
        <v/>
      </c>
      <c r="T177">
        <f>IF(Wizards!$A$18="","",IF(OR(ISNUMBER(SEARCH(", "&amp;$B177&amp;", ", ", "&amp;INDEX('Form Responses'!$I$1:$Q$200,18,$A177)&amp;", ")),ISNUMBER(SEARCH(", "&amp;$B177&amp;", ", ", "&amp;INDEX('Form Responses'!$R$1:$R$200,18)&amp;", "))),1,""))</f>
        <v/>
      </c>
      <c r="U177">
        <f>IF(Wizards!$A$19="","",IF(OR(ISNUMBER(SEARCH(", "&amp;$B177&amp;", ", ", "&amp;INDEX('Form Responses'!$I$1:$Q$200,19,$A177)&amp;", ")),ISNUMBER(SEARCH(", "&amp;$B177&amp;", ", ", "&amp;INDEX('Form Responses'!$R$1:$R$200,19)&amp;", "))),1,""))</f>
        <v/>
      </c>
      <c r="V177">
        <f>IF(Wizards!$A$20="","",IF(OR(ISNUMBER(SEARCH(", "&amp;$B177&amp;", ", ", "&amp;INDEX('Form Responses'!$I$1:$Q$200,20,$A177)&amp;", ")),ISNUMBER(SEARCH(", "&amp;$B177&amp;", ", ", "&amp;INDEX('Form Responses'!$R$1:$R$200,20)&amp;", "))),1,""))</f>
        <v/>
      </c>
      <c r="W177">
        <f>IF(Wizards!$A$21="","",IF(OR(ISNUMBER(SEARCH(", "&amp;$B177&amp;", ", ", "&amp;INDEX('Form Responses'!$I$1:$Q$200,21,$A177)&amp;", ")),ISNUMBER(SEARCH(", "&amp;$B177&amp;", ", ", "&amp;INDEX('Form Responses'!$R$1:$R$200,21)&amp;", "))),1,""))</f>
        <v/>
      </c>
      <c r="X177">
        <f>IF(Wizards!$A$22="","",IF(OR(ISNUMBER(SEARCH(", "&amp;$B177&amp;", ", ", "&amp;INDEX('Form Responses'!$I$1:$Q$200,22,$A177)&amp;", ")),ISNUMBER(SEARCH(", "&amp;$B177&amp;", ", ", "&amp;INDEX('Form Responses'!$R$1:$R$200,22)&amp;", "))),1,""))</f>
        <v/>
      </c>
      <c r="Y177">
        <f>IF(Wizards!$A$23="","",IF(OR(ISNUMBER(SEARCH(", "&amp;$B177&amp;", ", ", "&amp;INDEX('Form Responses'!$I$1:$Q$200,23,$A177)&amp;", ")),ISNUMBER(SEARCH(", "&amp;$B177&amp;", ", ", "&amp;INDEX('Form Responses'!$R$1:$R$200,23)&amp;", "))),1,""))</f>
        <v/>
      </c>
      <c r="Z177">
        <f>IF(Wizards!$A$24="","",IF(OR(ISNUMBER(SEARCH(", "&amp;$B177&amp;", ", ", "&amp;INDEX('Form Responses'!$I$1:$Q$200,24,$A177)&amp;", ")),ISNUMBER(SEARCH(", "&amp;$B177&amp;", ", ", "&amp;INDEX('Form Responses'!$R$1:$R$200,24)&amp;", "))),1,""))</f>
        <v/>
      </c>
      <c r="AA177">
        <f>IF(Wizards!$A$25="","",IF(OR(ISNUMBER(SEARCH(", "&amp;$B177&amp;", ", ", "&amp;INDEX('Form Responses'!$I$1:$Q$200,25,$A177)&amp;", ")),ISNUMBER(SEARCH(", "&amp;$B177&amp;", ", ", "&amp;INDEX('Form Responses'!$R$1:$R$200,25)&amp;", "))),1,""))</f>
        <v/>
      </c>
      <c r="AB177">
        <f>IF(D177=1,", "&amp;D$1,"")</f>
        <v/>
      </c>
      <c r="AC177">
        <f>IF(E177=1,", "&amp;E$1,"")</f>
        <v/>
      </c>
      <c r="AD177">
        <f>IF(F177=1,", "&amp;F$1,"")</f>
        <v/>
      </c>
      <c r="AE177">
        <f>IF(G177=1,", "&amp;G$1,"")</f>
        <v/>
      </c>
      <c r="AF177">
        <f>IF(H177=1,", "&amp;H$1,"")</f>
        <v/>
      </c>
      <c r="AG177">
        <f>IF(I177=1,", "&amp;I$1,"")</f>
        <v/>
      </c>
      <c r="AH177">
        <f>IF(J177=1,", "&amp;J$1,"")</f>
        <v/>
      </c>
      <c r="AI177">
        <f>IF(K177=1,", "&amp;K$1,"")</f>
        <v/>
      </c>
      <c r="AJ177">
        <f>IF(L177=1,", "&amp;L$1,"")</f>
        <v/>
      </c>
      <c r="AK177">
        <f>IF(M177=1,", "&amp;M$1,"")</f>
        <v/>
      </c>
      <c r="AL177">
        <f>IF(N177=1,", "&amp;N$1,"")</f>
        <v/>
      </c>
      <c r="AM177">
        <f>IF(O177=1,", "&amp;O$1,"")</f>
        <v/>
      </c>
      <c r="AN177">
        <f>IF(P177=1,", "&amp;P$1,"")</f>
        <v/>
      </c>
      <c r="AO177">
        <f>IF(Q177=1,", "&amp;Q$1,"")</f>
        <v/>
      </c>
      <c r="AP177">
        <f>IF(R177=1,", "&amp;R$1,"")</f>
        <v/>
      </c>
      <c r="AQ177">
        <f>IF(S177=1,", "&amp;S$1,"")</f>
        <v/>
      </c>
      <c r="AR177">
        <f>IF(T177=1,", "&amp;T$1,"")</f>
        <v/>
      </c>
      <c r="AS177">
        <f>IF(U177=1,", "&amp;U$1,"")</f>
        <v/>
      </c>
      <c r="AT177">
        <f>IF(V177=1,", "&amp;V$1,"")</f>
        <v/>
      </c>
      <c r="AU177">
        <f>IF(W177=1,", "&amp;W$1,"")</f>
        <v/>
      </c>
      <c r="AV177">
        <f>IF(X177=1,", "&amp;X$1,"")</f>
        <v/>
      </c>
      <c r="AW177">
        <f>IF(Y177=1,", "&amp;Y$1,"")</f>
        <v/>
      </c>
      <c r="AX177">
        <f>IF(Z177=1,", "&amp;Z$1,"")</f>
        <v/>
      </c>
      <c r="AY177">
        <f>IF(AA177=1,", "&amp;AA$1,"")</f>
        <v/>
      </c>
      <c r="AZ177">
        <f>MID($AB177&amp;$AC177&amp;$AD177&amp;$AE177&amp;$AF177&amp;$AG177&amp;$AH177&amp;$AI177&amp;$AJ177&amp;$AK177&amp;$AL177&amp;$AM177&amp;$AN177&amp;$AO177&amp;$AP177&amp;$AQ177&amp;$AR177&amp;$AS177&amp;$AT177&amp;$AU177&amp;$AV177&amp;$AW177&amp;$AX177&amp;$AY177,3,32767)</f>
        <v/>
      </c>
      <c r="BA177">
        <f>COUNT($D177:$AA177)</f>
        <v/>
      </c>
    </row>
    <row r="178">
      <c r="A178" t="n">
        <v>4</v>
      </c>
      <c r="B178" t="inlineStr">
        <is>
          <t>Greater Invisibility</t>
        </is>
      </c>
      <c r="C178" t="inlineStr">
        <is>
          <t>Illusion</t>
        </is>
      </c>
      <c r="D178">
        <f>IF(Wizards!$A$2="","",IF(OR(ISNUMBER(SEARCH(", "&amp;$B178&amp;", ", ", "&amp;INDEX('Form Responses'!$I$1:$Q$200,2,$A178)&amp;", ")),ISNUMBER(SEARCH(", "&amp;$B178&amp;", ", ", "&amp;INDEX('Form Responses'!$R$1:$R$200,2)&amp;", "))),1,""))</f>
        <v/>
      </c>
      <c r="E178">
        <f>IF(Wizards!$A$3="","",IF(OR(ISNUMBER(SEARCH(", "&amp;$B178&amp;", ", ", "&amp;INDEX('Form Responses'!$I$1:$Q$200,3,$A178)&amp;", ")),ISNUMBER(SEARCH(", "&amp;$B178&amp;", ", ", "&amp;INDEX('Form Responses'!$R$1:$R$200,3)&amp;", "))),1,""))</f>
        <v/>
      </c>
      <c r="F178">
        <f>IF(Wizards!$A$4="","",IF(OR(ISNUMBER(SEARCH(", "&amp;$B178&amp;", ", ", "&amp;INDEX('Form Responses'!$I$1:$Q$200,4,$A178)&amp;", ")),ISNUMBER(SEARCH(", "&amp;$B178&amp;", ", ", "&amp;INDEX('Form Responses'!$R$1:$R$200,4)&amp;", "))),1,""))</f>
        <v/>
      </c>
      <c r="G178">
        <f>IF(Wizards!$A$5="","",IF(OR(ISNUMBER(SEARCH(", "&amp;$B178&amp;", ", ", "&amp;INDEX('Form Responses'!$I$1:$Q$200,5,$A178)&amp;", ")),ISNUMBER(SEARCH(", "&amp;$B178&amp;", ", ", "&amp;INDEX('Form Responses'!$R$1:$R$200,5)&amp;", "))),1,""))</f>
        <v/>
      </c>
      <c r="H178">
        <f>IF(Wizards!$A$6="","",IF(OR(ISNUMBER(SEARCH(", "&amp;$B178&amp;", ", ", "&amp;INDEX('Form Responses'!$I$1:$Q$200,6,$A178)&amp;", ")),ISNUMBER(SEARCH(", "&amp;$B178&amp;", ", ", "&amp;INDEX('Form Responses'!$R$1:$R$200,6)&amp;", "))),1,""))</f>
        <v/>
      </c>
      <c r="I178">
        <f>IF(Wizards!$A$7="","",IF(OR(ISNUMBER(SEARCH(", "&amp;$B178&amp;", ", ", "&amp;INDEX('Form Responses'!$I$1:$Q$200,7,$A178)&amp;", ")),ISNUMBER(SEARCH(", "&amp;$B178&amp;", ", ", "&amp;INDEX('Form Responses'!$R$1:$R$200,7)&amp;", "))),1,""))</f>
        <v/>
      </c>
      <c r="J178">
        <f>IF(Wizards!$A$8="","",IF(OR(ISNUMBER(SEARCH(", "&amp;$B178&amp;", ", ", "&amp;INDEX('Form Responses'!$I$1:$Q$200,8,$A178)&amp;", ")),ISNUMBER(SEARCH(", "&amp;$B178&amp;", ", ", "&amp;INDEX('Form Responses'!$R$1:$R$200,8)&amp;", "))),1,""))</f>
        <v/>
      </c>
      <c r="K178">
        <f>IF(Wizards!$A$9="","",IF(OR(ISNUMBER(SEARCH(", "&amp;$B178&amp;", ", ", "&amp;INDEX('Form Responses'!$I$1:$Q$200,9,$A178)&amp;", ")),ISNUMBER(SEARCH(", "&amp;$B178&amp;", ", ", "&amp;INDEX('Form Responses'!$R$1:$R$200,9)&amp;", "))),1,""))</f>
        <v/>
      </c>
      <c r="L178">
        <f>IF(Wizards!$A$10="","",IF(OR(ISNUMBER(SEARCH(", "&amp;$B178&amp;", ", ", "&amp;INDEX('Form Responses'!$I$1:$Q$200,10,$A178)&amp;", ")),ISNUMBER(SEARCH(", "&amp;$B178&amp;", ", ", "&amp;INDEX('Form Responses'!$R$1:$R$200,10)&amp;", "))),1,""))</f>
        <v/>
      </c>
      <c r="M178">
        <f>IF(Wizards!$A$11="","",IF(OR(ISNUMBER(SEARCH(", "&amp;$B178&amp;", ", ", "&amp;INDEX('Form Responses'!$I$1:$Q$200,11,$A178)&amp;", ")),ISNUMBER(SEARCH(", "&amp;$B178&amp;", ", ", "&amp;INDEX('Form Responses'!$R$1:$R$200,11)&amp;", "))),1,""))</f>
        <v/>
      </c>
      <c r="N178">
        <f>IF(Wizards!$A$12="","",IF(OR(ISNUMBER(SEARCH(", "&amp;$B178&amp;", ", ", "&amp;INDEX('Form Responses'!$I$1:$Q$200,12,$A178)&amp;", ")),ISNUMBER(SEARCH(", "&amp;$B178&amp;", ", ", "&amp;INDEX('Form Responses'!$R$1:$R$200,12)&amp;", "))),1,""))</f>
        <v/>
      </c>
      <c r="O178">
        <f>IF(Wizards!$A$13="","",IF(OR(ISNUMBER(SEARCH(", "&amp;$B178&amp;", ", ", "&amp;INDEX('Form Responses'!$I$1:$Q$200,13,$A178)&amp;", ")),ISNUMBER(SEARCH(", "&amp;$B178&amp;", ", ", "&amp;INDEX('Form Responses'!$R$1:$R$200,13)&amp;", "))),1,""))</f>
        <v/>
      </c>
      <c r="P178">
        <f>IF(Wizards!$A$14="","",IF(OR(ISNUMBER(SEARCH(", "&amp;$B178&amp;", ", ", "&amp;INDEX('Form Responses'!$I$1:$Q$200,14,$A178)&amp;", ")),ISNUMBER(SEARCH(", "&amp;$B178&amp;", ", ", "&amp;INDEX('Form Responses'!$R$1:$R$200,14)&amp;", "))),1,""))</f>
        <v/>
      </c>
      <c r="Q178">
        <f>IF(Wizards!$A$15="","",IF(OR(ISNUMBER(SEARCH(", "&amp;$B178&amp;", ", ", "&amp;INDEX('Form Responses'!$I$1:$Q$200,15,$A178)&amp;", ")),ISNUMBER(SEARCH(", "&amp;$B178&amp;", ", ", "&amp;INDEX('Form Responses'!$R$1:$R$200,15)&amp;", "))),1,""))</f>
        <v/>
      </c>
      <c r="R178">
        <f>IF(Wizards!$A$16="","",IF(OR(ISNUMBER(SEARCH(", "&amp;$B178&amp;", ", ", "&amp;INDEX('Form Responses'!$I$1:$Q$200,16,$A178)&amp;", ")),ISNUMBER(SEARCH(", "&amp;$B178&amp;", ", ", "&amp;INDEX('Form Responses'!$R$1:$R$200,16)&amp;", "))),1,""))</f>
        <v/>
      </c>
      <c r="S178">
        <f>IF(Wizards!$A$17="","",IF(OR(ISNUMBER(SEARCH(", "&amp;$B178&amp;", ", ", "&amp;INDEX('Form Responses'!$I$1:$Q$200,17,$A178)&amp;", ")),ISNUMBER(SEARCH(", "&amp;$B178&amp;", ", ", "&amp;INDEX('Form Responses'!$R$1:$R$200,17)&amp;", "))),1,""))</f>
        <v/>
      </c>
      <c r="T178">
        <f>IF(Wizards!$A$18="","",IF(OR(ISNUMBER(SEARCH(", "&amp;$B178&amp;", ", ", "&amp;INDEX('Form Responses'!$I$1:$Q$200,18,$A178)&amp;", ")),ISNUMBER(SEARCH(", "&amp;$B178&amp;", ", ", "&amp;INDEX('Form Responses'!$R$1:$R$200,18)&amp;", "))),1,""))</f>
        <v/>
      </c>
      <c r="U178">
        <f>IF(Wizards!$A$19="","",IF(OR(ISNUMBER(SEARCH(", "&amp;$B178&amp;", ", ", "&amp;INDEX('Form Responses'!$I$1:$Q$200,19,$A178)&amp;", ")),ISNUMBER(SEARCH(", "&amp;$B178&amp;", ", ", "&amp;INDEX('Form Responses'!$R$1:$R$200,19)&amp;", "))),1,""))</f>
        <v/>
      </c>
      <c r="V178">
        <f>IF(Wizards!$A$20="","",IF(OR(ISNUMBER(SEARCH(", "&amp;$B178&amp;", ", ", "&amp;INDEX('Form Responses'!$I$1:$Q$200,20,$A178)&amp;", ")),ISNUMBER(SEARCH(", "&amp;$B178&amp;", ", ", "&amp;INDEX('Form Responses'!$R$1:$R$200,20)&amp;", "))),1,""))</f>
        <v/>
      </c>
      <c r="W178">
        <f>IF(Wizards!$A$21="","",IF(OR(ISNUMBER(SEARCH(", "&amp;$B178&amp;", ", ", "&amp;INDEX('Form Responses'!$I$1:$Q$200,21,$A178)&amp;", ")),ISNUMBER(SEARCH(", "&amp;$B178&amp;", ", ", "&amp;INDEX('Form Responses'!$R$1:$R$200,21)&amp;", "))),1,""))</f>
        <v/>
      </c>
      <c r="X178">
        <f>IF(Wizards!$A$22="","",IF(OR(ISNUMBER(SEARCH(", "&amp;$B178&amp;", ", ", "&amp;INDEX('Form Responses'!$I$1:$Q$200,22,$A178)&amp;", ")),ISNUMBER(SEARCH(", "&amp;$B178&amp;", ", ", "&amp;INDEX('Form Responses'!$R$1:$R$200,22)&amp;", "))),1,""))</f>
        <v/>
      </c>
      <c r="Y178">
        <f>IF(Wizards!$A$23="","",IF(OR(ISNUMBER(SEARCH(", "&amp;$B178&amp;", ", ", "&amp;INDEX('Form Responses'!$I$1:$Q$200,23,$A178)&amp;", ")),ISNUMBER(SEARCH(", "&amp;$B178&amp;", ", ", "&amp;INDEX('Form Responses'!$R$1:$R$200,23)&amp;", "))),1,""))</f>
        <v/>
      </c>
      <c r="Z178">
        <f>IF(Wizards!$A$24="","",IF(OR(ISNUMBER(SEARCH(", "&amp;$B178&amp;", ", ", "&amp;INDEX('Form Responses'!$I$1:$Q$200,24,$A178)&amp;", ")),ISNUMBER(SEARCH(", "&amp;$B178&amp;", ", ", "&amp;INDEX('Form Responses'!$R$1:$R$200,24)&amp;", "))),1,""))</f>
        <v/>
      </c>
      <c r="AA178">
        <f>IF(Wizards!$A$25="","",IF(OR(ISNUMBER(SEARCH(", "&amp;$B178&amp;", ", ", "&amp;INDEX('Form Responses'!$I$1:$Q$200,25,$A178)&amp;", ")),ISNUMBER(SEARCH(", "&amp;$B178&amp;", ", ", "&amp;INDEX('Form Responses'!$R$1:$R$200,25)&amp;", "))),1,""))</f>
        <v/>
      </c>
      <c r="AB178">
        <f>IF(D178=1,", "&amp;D$1,"")</f>
        <v/>
      </c>
      <c r="AC178">
        <f>IF(E178=1,", "&amp;E$1,"")</f>
        <v/>
      </c>
      <c r="AD178">
        <f>IF(F178=1,", "&amp;F$1,"")</f>
        <v/>
      </c>
      <c r="AE178">
        <f>IF(G178=1,", "&amp;G$1,"")</f>
        <v/>
      </c>
      <c r="AF178">
        <f>IF(H178=1,", "&amp;H$1,"")</f>
        <v/>
      </c>
      <c r="AG178">
        <f>IF(I178=1,", "&amp;I$1,"")</f>
        <v/>
      </c>
      <c r="AH178">
        <f>IF(J178=1,", "&amp;J$1,"")</f>
        <v/>
      </c>
      <c r="AI178">
        <f>IF(K178=1,", "&amp;K$1,"")</f>
        <v/>
      </c>
      <c r="AJ178">
        <f>IF(L178=1,", "&amp;L$1,"")</f>
        <v/>
      </c>
      <c r="AK178">
        <f>IF(M178=1,", "&amp;M$1,"")</f>
        <v/>
      </c>
      <c r="AL178">
        <f>IF(N178=1,", "&amp;N$1,"")</f>
        <v/>
      </c>
      <c r="AM178">
        <f>IF(O178=1,", "&amp;O$1,"")</f>
        <v/>
      </c>
      <c r="AN178">
        <f>IF(P178=1,", "&amp;P$1,"")</f>
        <v/>
      </c>
      <c r="AO178">
        <f>IF(Q178=1,", "&amp;Q$1,"")</f>
        <v/>
      </c>
      <c r="AP178">
        <f>IF(R178=1,", "&amp;R$1,"")</f>
        <v/>
      </c>
      <c r="AQ178">
        <f>IF(S178=1,", "&amp;S$1,"")</f>
        <v/>
      </c>
      <c r="AR178">
        <f>IF(T178=1,", "&amp;T$1,"")</f>
        <v/>
      </c>
      <c r="AS178">
        <f>IF(U178=1,", "&amp;U$1,"")</f>
        <v/>
      </c>
      <c r="AT178">
        <f>IF(V178=1,", "&amp;V$1,"")</f>
        <v/>
      </c>
      <c r="AU178">
        <f>IF(W178=1,", "&amp;W$1,"")</f>
        <v/>
      </c>
      <c r="AV178">
        <f>IF(X178=1,", "&amp;X$1,"")</f>
        <v/>
      </c>
      <c r="AW178">
        <f>IF(Y178=1,", "&amp;Y$1,"")</f>
        <v/>
      </c>
      <c r="AX178">
        <f>IF(Z178=1,", "&amp;Z$1,"")</f>
        <v/>
      </c>
      <c r="AY178">
        <f>IF(AA178=1,", "&amp;AA$1,"")</f>
        <v/>
      </c>
      <c r="AZ178">
        <f>MID($AB178&amp;$AC178&amp;$AD178&amp;$AE178&amp;$AF178&amp;$AG178&amp;$AH178&amp;$AI178&amp;$AJ178&amp;$AK178&amp;$AL178&amp;$AM178&amp;$AN178&amp;$AO178&amp;$AP178&amp;$AQ178&amp;$AR178&amp;$AS178&amp;$AT178&amp;$AU178&amp;$AV178&amp;$AW178&amp;$AX178&amp;$AY178,3,32767)</f>
        <v/>
      </c>
      <c r="BA178">
        <f>COUNT($D178:$AA178)</f>
        <v/>
      </c>
    </row>
    <row r="179">
      <c r="A179" t="n">
        <v>4</v>
      </c>
      <c r="B179" t="inlineStr">
        <is>
          <t>Hallucinatory Terrain</t>
        </is>
      </c>
      <c r="C179" t="inlineStr">
        <is>
          <t>Illusion</t>
        </is>
      </c>
      <c r="D179">
        <f>IF(Wizards!$A$2="","",IF(OR(ISNUMBER(SEARCH(", "&amp;$B179&amp;", ", ", "&amp;INDEX('Form Responses'!$I$1:$Q$200,2,$A179)&amp;", ")),ISNUMBER(SEARCH(", "&amp;$B179&amp;", ", ", "&amp;INDEX('Form Responses'!$R$1:$R$200,2)&amp;", "))),1,""))</f>
        <v/>
      </c>
      <c r="E179">
        <f>IF(Wizards!$A$3="","",IF(OR(ISNUMBER(SEARCH(", "&amp;$B179&amp;", ", ", "&amp;INDEX('Form Responses'!$I$1:$Q$200,3,$A179)&amp;", ")),ISNUMBER(SEARCH(", "&amp;$B179&amp;", ", ", "&amp;INDEX('Form Responses'!$R$1:$R$200,3)&amp;", "))),1,""))</f>
        <v/>
      </c>
      <c r="F179">
        <f>IF(Wizards!$A$4="","",IF(OR(ISNUMBER(SEARCH(", "&amp;$B179&amp;", ", ", "&amp;INDEX('Form Responses'!$I$1:$Q$200,4,$A179)&amp;", ")),ISNUMBER(SEARCH(", "&amp;$B179&amp;", ", ", "&amp;INDEX('Form Responses'!$R$1:$R$200,4)&amp;", "))),1,""))</f>
        <v/>
      </c>
      <c r="G179">
        <f>IF(Wizards!$A$5="","",IF(OR(ISNUMBER(SEARCH(", "&amp;$B179&amp;", ", ", "&amp;INDEX('Form Responses'!$I$1:$Q$200,5,$A179)&amp;", ")),ISNUMBER(SEARCH(", "&amp;$B179&amp;", ", ", "&amp;INDEX('Form Responses'!$R$1:$R$200,5)&amp;", "))),1,""))</f>
        <v/>
      </c>
      <c r="H179">
        <f>IF(Wizards!$A$6="","",IF(OR(ISNUMBER(SEARCH(", "&amp;$B179&amp;", ", ", "&amp;INDEX('Form Responses'!$I$1:$Q$200,6,$A179)&amp;", ")),ISNUMBER(SEARCH(", "&amp;$B179&amp;", ", ", "&amp;INDEX('Form Responses'!$R$1:$R$200,6)&amp;", "))),1,""))</f>
        <v/>
      </c>
      <c r="I179">
        <f>IF(Wizards!$A$7="","",IF(OR(ISNUMBER(SEARCH(", "&amp;$B179&amp;", ", ", "&amp;INDEX('Form Responses'!$I$1:$Q$200,7,$A179)&amp;", ")),ISNUMBER(SEARCH(", "&amp;$B179&amp;", ", ", "&amp;INDEX('Form Responses'!$R$1:$R$200,7)&amp;", "))),1,""))</f>
        <v/>
      </c>
      <c r="J179">
        <f>IF(Wizards!$A$8="","",IF(OR(ISNUMBER(SEARCH(", "&amp;$B179&amp;", ", ", "&amp;INDEX('Form Responses'!$I$1:$Q$200,8,$A179)&amp;", ")),ISNUMBER(SEARCH(", "&amp;$B179&amp;", ", ", "&amp;INDEX('Form Responses'!$R$1:$R$200,8)&amp;", "))),1,""))</f>
        <v/>
      </c>
      <c r="K179">
        <f>IF(Wizards!$A$9="","",IF(OR(ISNUMBER(SEARCH(", "&amp;$B179&amp;", ", ", "&amp;INDEX('Form Responses'!$I$1:$Q$200,9,$A179)&amp;", ")),ISNUMBER(SEARCH(", "&amp;$B179&amp;", ", ", "&amp;INDEX('Form Responses'!$R$1:$R$200,9)&amp;", "))),1,""))</f>
        <v/>
      </c>
      <c r="L179">
        <f>IF(Wizards!$A$10="","",IF(OR(ISNUMBER(SEARCH(", "&amp;$B179&amp;", ", ", "&amp;INDEX('Form Responses'!$I$1:$Q$200,10,$A179)&amp;", ")),ISNUMBER(SEARCH(", "&amp;$B179&amp;", ", ", "&amp;INDEX('Form Responses'!$R$1:$R$200,10)&amp;", "))),1,""))</f>
        <v/>
      </c>
      <c r="M179">
        <f>IF(Wizards!$A$11="","",IF(OR(ISNUMBER(SEARCH(", "&amp;$B179&amp;", ", ", "&amp;INDEX('Form Responses'!$I$1:$Q$200,11,$A179)&amp;", ")),ISNUMBER(SEARCH(", "&amp;$B179&amp;", ", ", "&amp;INDEX('Form Responses'!$R$1:$R$200,11)&amp;", "))),1,""))</f>
        <v/>
      </c>
      <c r="N179">
        <f>IF(Wizards!$A$12="","",IF(OR(ISNUMBER(SEARCH(", "&amp;$B179&amp;", ", ", "&amp;INDEX('Form Responses'!$I$1:$Q$200,12,$A179)&amp;", ")),ISNUMBER(SEARCH(", "&amp;$B179&amp;", ", ", "&amp;INDEX('Form Responses'!$R$1:$R$200,12)&amp;", "))),1,""))</f>
        <v/>
      </c>
      <c r="O179">
        <f>IF(Wizards!$A$13="","",IF(OR(ISNUMBER(SEARCH(", "&amp;$B179&amp;", ", ", "&amp;INDEX('Form Responses'!$I$1:$Q$200,13,$A179)&amp;", ")),ISNUMBER(SEARCH(", "&amp;$B179&amp;", ", ", "&amp;INDEX('Form Responses'!$R$1:$R$200,13)&amp;", "))),1,""))</f>
        <v/>
      </c>
      <c r="P179">
        <f>IF(Wizards!$A$14="","",IF(OR(ISNUMBER(SEARCH(", "&amp;$B179&amp;", ", ", "&amp;INDEX('Form Responses'!$I$1:$Q$200,14,$A179)&amp;", ")),ISNUMBER(SEARCH(", "&amp;$B179&amp;", ", ", "&amp;INDEX('Form Responses'!$R$1:$R$200,14)&amp;", "))),1,""))</f>
        <v/>
      </c>
      <c r="Q179">
        <f>IF(Wizards!$A$15="","",IF(OR(ISNUMBER(SEARCH(", "&amp;$B179&amp;", ", ", "&amp;INDEX('Form Responses'!$I$1:$Q$200,15,$A179)&amp;", ")),ISNUMBER(SEARCH(", "&amp;$B179&amp;", ", ", "&amp;INDEX('Form Responses'!$R$1:$R$200,15)&amp;", "))),1,""))</f>
        <v/>
      </c>
      <c r="R179">
        <f>IF(Wizards!$A$16="","",IF(OR(ISNUMBER(SEARCH(", "&amp;$B179&amp;", ", ", "&amp;INDEX('Form Responses'!$I$1:$Q$200,16,$A179)&amp;", ")),ISNUMBER(SEARCH(", "&amp;$B179&amp;", ", ", "&amp;INDEX('Form Responses'!$R$1:$R$200,16)&amp;", "))),1,""))</f>
        <v/>
      </c>
      <c r="S179">
        <f>IF(Wizards!$A$17="","",IF(OR(ISNUMBER(SEARCH(", "&amp;$B179&amp;", ", ", "&amp;INDEX('Form Responses'!$I$1:$Q$200,17,$A179)&amp;", ")),ISNUMBER(SEARCH(", "&amp;$B179&amp;", ", ", "&amp;INDEX('Form Responses'!$R$1:$R$200,17)&amp;", "))),1,""))</f>
        <v/>
      </c>
      <c r="T179">
        <f>IF(Wizards!$A$18="","",IF(OR(ISNUMBER(SEARCH(", "&amp;$B179&amp;", ", ", "&amp;INDEX('Form Responses'!$I$1:$Q$200,18,$A179)&amp;", ")),ISNUMBER(SEARCH(", "&amp;$B179&amp;", ", ", "&amp;INDEX('Form Responses'!$R$1:$R$200,18)&amp;", "))),1,""))</f>
        <v/>
      </c>
      <c r="U179">
        <f>IF(Wizards!$A$19="","",IF(OR(ISNUMBER(SEARCH(", "&amp;$B179&amp;", ", ", "&amp;INDEX('Form Responses'!$I$1:$Q$200,19,$A179)&amp;", ")),ISNUMBER(SEARCH(", "&amp;$B179&amp;", ", ", "&amp;INDEX('Form Responses'!$R$1:$R$200,19)&amp;", "))),1,""))</f>
        <v/>
      </c>
      <c r="V179">
        <f>IF(Wizards!$A$20="","",IF(OR(ISNUMBER(SEARCH(", "&amp;$B179&amp;", ", ", "&amp;INDEX('Form Responses'!$I$1:$Q$200,20,$A179)&amp;", ")),ISNUMBER(SEARCH(", "&amp;$B179&amp;", ", ", "&amp;INDEX('Form Responses'!$R$1:$R$200,20)&amp;", "))),1,""))</f>
        <v/>
      </c>
      <c r="W179">
        <f>IF(Wizards!$A$21="","",IF(OR(ISNUMBER(SEARCH(", "&amp;$B179&amp;", ", ", "&amp;INDEX('Form Responses'!$I$1:$Q$200,21,$A179)&amp;", ")),ISNUMBER(SEARCH(", "&amp;$B179&amp;", ", ", "&amp;INDEX('Form Responses'!$R$1:$R$200,21)&amp;", "))),1,""))</f>
        <v/>
      </c>
      <c r="X179">
        <f>IF(Wizards!$A$22="","",IF(OR(ISNUMBER(SEARCH(", "&amp;$B179&amp;", ", ", "&amp;INDEX('Form Responses'!$I$1:$Q$200,22,$A179)&amp;", ")),ISNUMBER(SEARCH(", "&amp;$B179&amp;", ", ", "&amp;INDEX('Form Responses'!$R$1:$R$200,22)&amp;", "))),1,""))</f>
        <v/>
      </c>
      <c r="Y179">
        <f>IF(Wizards!$A$23="","",IF(OR(ISNUMBER(SEARCH(", "&amp;$B179&amp;", ", ", "&amp;INDEX('Form Responses'!$I$1:$Q$200,23,$A179)&amp;", ")),ISNUMBER(SEARCH(", "&amp;$B179&amp;", ", ", "&amp;INDEX('Form Responses'!$R$1:$R$200,23)&amp;", "))),1,""))</f>
        <v/>
      </c>
      <c r="Z179">
        <f>IF(Wizards!$A$24="","",IF(OR(ISNUMBER(SEARCH(", "&amp;$B179&amp;", ", ", "&amp;INDEX('Form Responses'!$I$1:$Q$200,24,$A179)&amp;", ")),ISNUMBER(SEARCH(", "&amp;$B179&amp;", ", ", "&amp;INDEX('Form Responses'!$R$1:$R$200,24)&amp;", "))),1,""))</f>
        <v/>
      </c>
      <c r="AA179">
        <f>IF(Wizards!$A$25="","",IF(OR(ISNUMBER(SEARCH(", "&amp;$B179&amp;", ", ", "&amp;INDEX('Form Responses'!$I$1:$Q$200,25,$A179)&amp;", ")),ISNUMBER(SEARCH(", "&amp;$B179&amp;", ", ", "&amp;INDEX('Form Responses'!$R$1:$R$200,25)&amp;", "))),1,""))</f>
        <v/>
      </c>
      <c r="AB179">
        <f>IF(D179=1,", "&amp;D$1,"")</f>
        <v/>
      </c>
      <c r="AC179">
        <f>IF(E179=1,", "&amp;E$1,"")</f>
        <v/>
      </c>
      <c r="AD179">
        <f>IF(F179=1,", "&amp;F$1,"")</f>
        <v/>
      </c>
      <c r="AE179">
        <f>IF(G179=1,", "&amp;G$1,"")</f>
        <v/>
      </c>
      <c r="AF179">
        <f>IF(H179=1,", "&amp;H$1,"")</f>
        <v/>
      </c>
      <c r="AG179">
        <f>IF(I179=1,", "&amp;I$1,"")</f>
        <v/>
      </c>
      <c r="AH179">
        <f>IF(J179=1,", "&amp;J$1,"")</f>
        <v/>
      </c>
      <c r="AI179">
        <f>IF(K179=1,", "&amp;K$1,"")</f>
        <v/>
      </c>
      <c r="AJ179">
        <f>IF(L179=1,", "&amp;L$1,"")</f>
        <v/>
      </c>
      <c r="AK179">
        <f>IF(M179=1,", "&amp;M$1,"")</f>
        <v/>
      </c>
      <c r="AL179">
        <f>IF(N179=1,", "&amp;N$1,"")</f>
        <v/>
      </c>
      <c r="AM179">
        <f>IF(O179=1,", "&amp;O$1,"")</f>
        <v/>
      </c>
      <c r="AN179">
        <f>IF(P179=1,", "&amp;P$1,"")</f>
        <v/>
      </c>
      <c r="AO179">
        <f>IF(Q179=1,", "&amp;Q$1,"")</f>
        <v/>
      </c>
      <c r="AP179">
        <f>IF(R179=1,", "&amp;R$1,"")</f>
        <v/>
      </c>
      <c r="AQ179">
        <f>IF(S179=1,", "&amp;S$1,"")</f>
        <v/>
      </c>
      <c r="AR179">
        <f>IF(T179=1,", "&amp;T$1,"")</f>
        <v/>
      </c>
      <c r="AS179">
        <f>IF(U179=1,", "&amp;U$1,"")</f>
        <v/>
      </c>
      <c r="AT179">
        <f>IF(V179=1,", "&amp;V$1,"")</f>
        <v/>
      </c>
      <c r="AU179">
        <f>IF(W179=1,", "&amp;W$1,"")</f>
        <v/>
      </c>
      <c r="AV179">
        <f>IF(X179=1,", "&amp;X$1,"")</f>
        <v/>
      </c>
      <c r="AW179">
        <f>IF(Y179=1,", "&amp;Y$1,"")</f>
        <v/>
      </c>
      <c r="AX179">
        <f>IF(Z179=1,", "&amp;Z$1,"")</f>
        <v/>
      </c>
      <c r="AY179">
        <f>IF(AA179=1,", "&amp;AA$1,"")</f>
        <v/>
      </c>
      <c r="AZ179">
        <f>MID($AB179&amp;$AC179&amp;$AD179&amp;$AE179&amp;$AF179&amp;$AG179&amp;$AH179&amp;$AI179&amp;$AJ179&amp;$AK179&amp;$AL179&amp;$AM179&amp;$AN179&amp;$AO179&amp;$AP179&amp;$AQ179&amp;$AR179&amp;$AS179&amp;$AT179&amp;$AU179&amp;$AV179&amp;$AW179&amp;$AX179&amp;$AY179,3,32767)</f>
        <v/>
      </c>
      <c r="BA179">
        <f>COUNT($D179:$AA179)</f>
        <v/>
      </c>
    </row>
    <row r="180">
      <c r="A180" t="n">
        <v>4</v>
      </c>
      <c r="B180" t="inlineStr">
        <is>
          <t>Ice Storm</t>
        </is>
      </c>
      <c r="C180" t="inlineStr">
        <is>
          <t>Evocation</t>
        </is>
      </c>
      <c r="D180">
        <f>IF(Wizards!$A$2="","",IF(OR(ISNUMBER(SEARCH(", "&amp;$B180&amp;", ", ", "&amp;INDEX('Form Responses'!$I$1:$Q$200,2,$A180)&amp;", ")),ISNUMBER(SEARCH(", "&amp;$B180&amp;", ", ", "&amp;INDEX('Form Responses'!$R$1:$R$200,2)&amp;", "))),1,""))</f>
        <v/>
      </c>
      <c r="E180">
        <f>IF(Wizards!$A$3="","",IF(OR(ISNUMBER(SEARCH(", "&amp;$B180&amp;", ", ", "&amp;INDEX('Form Responses'!$I$1:$Q$200,3,$A180)&amp;", ")),ISNUMBER(SEARCH(", "&amp;$B180&amp;", ", ", "&amp;INDEX('Form Responses'!$R$1:$R$200,3)&amp;", "))),1,""))</f>
        <v/>
      </c>
      <c r="F180">
        <f>IF(Wizards!$A$4="","",IF(OR(ISNUMBER(SEARCH(", "&amp;$B180&amp;", ", ", "&amp;INDEX('Form Responses'!$I$1:$Q$200,4,$A180)&amp;", ")),ISNUMBER(SEARCH(", "&amp;$B180&amp;", ", ", "&amp;INDEX('Form Responses'!$R$1:$R$200,4)&amp;", "))),1,""))</f>
        <v/>
      </c>
      <c r="G180">
        <f>IF(Wizards!$A$5="","",IF(OR(ISNUMBER(SEARCH(", "&amp;$B180&amp;", ", ", "&amp;INDEX('Form Responses'!$I$1:$Q$200,5,$A180)&amp;", ")),ISNUMBER(SEARCH(", "&amp;$B180&amp;", ", ", "&amp;INDEX('Form Responses'!$R$1:$R$200,5)&amp;", "))),1,""))</f>
        <v/>
      </c>
      <c r="H180">
        <f>IF(Wizards!$A$6="","",IF(OR(ISNUMBER(SEARCH(", "&amp;$B180&amp;", ", ", "&amp;INDEX('Form Responses'!$I$1:$Q$200,6,$A180)&amp;", ")),ISNUMBER(SEARCH(", "&amp;$B180&amp;", ", ", "&amp;INDEX('Form Responses'!$R$1:$R$200,6)&amp;", "))),1,""))</f>
        <v/>
      </c>
      <c r="I180">
        <f>IF(Wizards!$A$7="","",IF(OR(ISNUMBER(SEARCH(", "&amp;$B180&amp;", ", ", "&amp;INDEX('Form Responses'!$I$1:$Q$200,7,$A180)&amp;", ")),ISNUMBER(SEARCH(", "&amp;$B180&amp;", ", ", "&amp;INDEX('Form Responses'!$R$1:$R$200,7)&amp;", "))),1,""))</f>
        <v/>
      </c>
      <c r="J180">
        <f>IF(Wizards!$A$8="","",IF(OR(ISNUMBER(SEARCH(", "&amp;$B180&amp;", ", ", "&amp;INDEX('Form Responses'!$I$1:$Q$200,8,$A180)&amp;", ")),ISNUMBER(SEARCH(", "&amp;$B180&amp;", ", ", "&amp;INDEX('Form Responses'!$R$1:$R$200,8)&amp;", "))),1,""))</f>
        <v/>
      </c>
      <c r="K180">
        <f>IF(Wizards!$A$9="","",IF(OR(ISNUMBER(SEARCH(", "&amp;$B180&amp;", ", ", "&amp;INDEX('Form Responses'!$I$1:$Q$200,9,$A180)&amp;", ")),ISNUMBER(SEARCH(", "&amp;$B180&amp;", ", ", "&amp;INDEX('Form Responses'!$R$1:$R$200,9)&amp;", "))),1,""))</f>
        <v/>
      </c>
      <c r="L180">
        <f>IF(Wizards!$A$10="","",IF(OR(ISNUMBER(SEARCH(", "&amp;$B180&amp;", ", ", "&amp;INDEX('Form Responses'!$I$1:$Q$200,10,$A180)&amp;", ")),ISNUMBER(SEARCH(", "&amp;$B180&amp;", ", ", "&amp;INDEX('Form Responses'!$R$1:$R$200,10)&amp;", "))),1,""))</f>
        <v/>
      </c>
      <c r="M180">
        <f>IF(Wizards!$A$11="","",IF(OR(ISNUMBER(SEARCH(", "&amp;$B180&amp;", ", ", "&amp;INDEX('Form Responses'!$I$1:$Q$200,11,$A180)&amp;", ")),ISNUMBER(SEARCH(", "&amp;$B180&amp;", ", ", "&amp;INDEX('Form Responses'!$R$1:$R$200,11)&amp;", "))),1,""))</f>
        <v/>
      </c>
      <c r="N180">
        <f>IF(Wizards!$A$12="","",IF(OR(ISNUMBER(SEARCH(", "&amp;$B180&amp;", ", ", "&amp;INDEX('Form Responses'!$I$1:$Q$200,12,$A180)&amp;", ")),ISNUMBER(SEARCH(", "&amp;$B180&amp;", ", ", "&amp;INDEX('Form Responses'!$R$1:$R$200,12)&amp;", "))),1,""))</f>
        <v/>
      </c>
      <c r="O180">
        <f>IF(Wizards!$A$13="","",IF(OR(ISNUMBER(SEARCH(", "&amp;$B180&amp;", ", ", "&amp;INDEX('Form Responses'!$I$1:$Q$200,13,$A180)&amp;", ")),ISNUMBER(SEARCH(", "&amp;$B180&amp;", ", ", "&amp;INDEX('Form Responses'!$R$1:$R$200,13)&amp;", "))),1,""))</f>
        <v/>
      </c>
      <c r="P180">
        <f>IF(Wizards!$A$14="","",IF(OR(ISNUMBER(SEARCH(", "&amp;$B180&amp;", ", ", "&amp;INDEX('Form Responses'!$I$1:$Q$200,14,$A180)&amp;", ")),ISNUMBER(SEARCH(", "&amp;$B180&amp;", ", ", "&amp;INDEX('Form Responses'!$R$1:$R$200,14)&amp;", "))),1,""))</f>
        <v/>
      </c>
      <c r="Q180">
        <f>IF(Wizards!$A$15="","",IF(OR(ISNUMBER(SEARCH(", "&amp;$B180&amp;", ", ", "&amp;INDEX('Form Responses'!$I$1:$Q$200,15,$A180)&amp;", ")),ISNUMBER(SEARCH(", "&amp;$B180&amp;", ", ", "&amp;INDEX('Form Responses'!$R$1:$R$200,15)&amp;", "))),1,""))</f>
        <v/>
      </c>
      <c r="R180">
        <f>IF(Wizards!$A$16="","",IF(OR(ISNUMBER(SEARCH(", "&amp;$B180&amp;", ", ", "&amp;INDEX('Form Responses'!$I$1:$Q$200,16,$A180)&amp;", ")),ISNUMBER(SEARCH(", "&amp;$B180&amp;", ", ", "&amp;INDEX('Form Responses'!$R$1:$R$200,16)&amp;", "))),1,""))</f>
        <v/>
      </c>
      <c r="S180">
        <f>IF(Wizards!$A$17="","",IF(OR(ISNUMBER(SEARCH(", "&amp;$B180&amp;", ", ", "&amp;INDEX('Form Responses'!$I$1:$Q$200,17,$A180)&amp;", ")),ISNUMBER(SEARCH(", "&amp;$B180&amp;", ", ", "&amp;INDEX('Form Responses'!$R$1:$R$200,17)&amp;", "))),1,""))</f>
        <v/>
      </c>
      <c r="T180">
        <f>IF(Wizards!$A$18="","",IF(OR(ISNUMBER(SEARCH(", "&amp;$B180&amp;", ", ", "&amp;INDEX('Form Responses'!$I$1:$Q$200,18,$A180)&amp;", ")),ISNUMBER(SEARCH(", "&amp;$B180&amp;", ", ", "&amp;INDEX('Form Responses'!$R$1:$R$200,18)&amp;", "))),1,""))</f>
        <v/>
      </c>
      <c r="U180">
        <f>IF(Wizards!$A$19="","",IF(OR(ISNUMBER(SEARCH(", "&amp;$B180&amp;", ", ", "&amp;INDEX('Form Responses'!$I$1:$Q$200,19,$A180)&amp;", ")),ISNUMBER(SEARCH(", "&amp;$B180&amp;", ", ", "&amp;INDEX('Form Responses'!$R$1:$R$200,19)&amp;", "))),1,""))</f>
        <v/>
      </c>
      <c r="V180">
        <f>IF(Wizards!$A$20="","",IF(OR(ISNUMBER(SEARCH(", "&amp;$B180&amp;", ", ", "&amp;INDEX('Form Responses'!$I$1:$Q$200,20,$A180)&amp;", ")),ISNUMBER(SEARCH(", "&amp;$B180&amp;", ", ", "&amp;INDEX('Form Responses'!$R$1:$R$200,20)&amp;", "))),1,""))</f>
        <v/>
      </c>
      <c r="W180">
        <f>IF(Wizards!$A$21="","",IF(OR(ISNUMBER(SEARCH(", "&amp;$B180&amp;", ", ", "&amp;INDEX('Form Responses'!$I$1:$Q$200,21,$A180)&amp;", ")),ISNUMBER(SEARCH(", "&amp;$B180&amp;", ", ", "&amp;INDEX('Form Responses'!$R$1:$R$200,21)&amp;", "))),1,""))</f>
        <v/>
      </c>
      <c r="X180">
        <f>IF(Wizards!$A$22="","",IF(OR(ISNUMBER(SEARCH(", "&amp;$B180&amp;", ", ", "&amp;INDEX('Form Responses'!$I$1:$Q$200,22,$A180)&amp;", ")),ISNUMBER(SEARCH(", "&amp;$B180&amp;", ", ", "&amp;INDEX('Form Responses'!$R$1:$R$200,22)&amp;", "))),1,""))</f>
        <v/>
      </c>
      <c r="Y180">
        <f>IF(Wizards!$A$23="","",IF(OR(ISNUMBER(SEARCH(", "&amp;$B180&amp;", ", ", "&amp;INDEX('Form Responses'!$I$1:$Q$200,23,$A180)&amp;", ")),ISNUMBER(SEARCH(", "&amp;$B180&amp;", ", ", "&amp;INDEX('Form Responses'!$R$1:$R$200,23)&amp;", "))),1,""))</f>
        <v/>
      </c>
      <c r="Z180">
        <f>IF(Wizards!$A$24="","",IF(OR(ISNUMBER(SEARCH(", "&amp;$B180&amp;", ", ", "&amp;INDEX('Form Responses'!$I$1:$Q$200,24,$A180)&amp;", ")),ISNUMBER(SEARCH(", "&amp;$B180&amp;", ", ", "&amp;INDEX('Form Responses'!$R$1:$R$200,24)&amp;", "))),1,""))</f>
        <v/>
      </c>
      <c r="AA180">
        <f>IF(Wizards!$A$25="","",IF(OR(ISNUMBER(SEARCH(", "&amp;$B180&amp;", ", ", "&amp;INDEX('Form Responses'!$I$1:$Q$200,25,$A180)&amp;", ")),ISNUMBER(SEARCH(", "&amp;$B180&amp;", ", ", "&amp;INDEX('Form Responses'!$R$1:$R$200,25)&amp;", "))),1,""))</f>
        <v/>
      </c>
      <c r="AB180">
        <f>IF(D180=1,", "&amp;D$1,"")</f>
        <v/>
      </c>
      <c r="AC180">
        <f>IF(E180=1,", "&amp;E$1,"")</f>
        <v/>
      </c>
      <c r="AD180">
        <f>IF(F180=1,", "&amp;F$1,"")</f>
        <v/>
      </c>
      <c r="AE180">
        <f>IF(G180=1,", "&amp;G$1,"")</f>
        <v/>
      </c>
      <c r="AF180">
        <f>IF(H180=1,", "&amp;H$1,"")</f>
        <v/>
      </c>
      <c r="AG180">
        <f>IF(I180=1,", "&amp;I$1,"")</f>
        <v/>
      </c>
      <c r="AH180">
        <f>IF(J180=1,", "&amp;J$1,"")</f>
        <v/>
      </c>
      <c r="AI180">
        <f>IF(K180=1,", "&amp;K$1,"")</f>
        <v/>
      </c>
      <c r="AJ180">
        <f>IF(L180=1,", "&amp;L$1,"")</f>
        <v/>
      </c>
      <c r="AK180">
        <f>IF(M180=1,", "&amp;M$1,"")</f>
        <v/>
      </c>
      <c r="AL180">
        <f>IF(N180=1,", "&amp;N$1,"")</f>
        <v/>
      </c>
      <c r="AM180">
        <f>IF(O180=1,", "&amp;O$1,"")</f>
        <v/>
      </c>
      <c r="AN180">
        <f>IF(P180=1,", "&amp;P$1,"")</f>
        <v/>
      </c>
      <c r="AO180">
        <f>IF(Q180=1,", "&amp;Q$1,"")</f>
        <v/>
      </c>
      <c r="AP180">
        <f>IF(R180=1,", "&amp;R$1,"")</f>
        <v/>
      </c>
      <c r="AQ180">
        <f>IF(S180=1,", "&amp;S$1,"")</f>
        <v/>
      </c>
      <c r="AR180">
        <f>IF(T180=1,", "&amp;T$1,"")</f>
        <v/>
      </c>
      <c r="AS180">
        <f>IF(U180=1,", "&amp;U$1,"")</f>
        <v/>
      </c>
      <c r="AT180">
        <f>IF(V180=1,", "&amp;V$1,"")</f>
        <v/>
      </c>
      <c r="AU180">
        <f>IF(W180=1,", "&amp;W$1,"")</f>
        <v/>
      </c>
      <c r="AV180">
        <f>IF(X180=1,", "&amp;X$1,"")</f>
        <v/>
      </c>
      <c r="AW180">
        <f>IF(Y180=1,", "&amp;Y$1,"")</f>
        <v/>
      </c>
      <c r="AX180">
        <f>IF(Z180=1,", "&amp;Z$1,"")</f>
        <v/>
      </c>
      <c r="AY180">
        <f>IF(AA180=1,", "&amp;AA$1,"")</f>
        <v/>
      </c>
      <c r="AZ180">
        <f>MID($AB180&amp;$AC180&amp;$AD180&amp;$AE180&amp;$AF180&amp;$AG180&amp;$AH180&amp;$AI180&amp;$AJ180&amp;$AK180&amp;$AL180&amp;$AM180&amp;$AN180&amp;$AO180&amp;$AP180&amp;$AQ180&amp;$AR180&amp;$AS180&amp;$AT180&amp;$AU180&amp;$AV180&amp;$AW180&amp;$AX180&amp;$AY180,3,32767)</f>
        <v/>
      </c>
      <c r="BA180">
        <f>COUNT($D180:$AA180)</f>
        <v/>
      </c>
    </row>
    <row r="181">
      <c r="A181" t="n">
        <v>4</v>
      </c>
      <c r="B181" t="inlineStr">
        <is>
          <t>Leomund's Secret Chest</t>
        </is>
      </c>
      <c r="C181" t="inlineStr">
        <is>
          <t>Conjuration</t>
        </is>
      </c>
      <c r="D181">
        <f>IF(Wizards!$A$2="","",IF(OR(ISNUMBER(SEARCH(", "&amp;$B181&amp;", ", ", "&amp;INDEX('Form Responses'!$I$1:$Q$200,2,$A181)&amp;", ")),ISNUMBER(SEARCH(", "&amp;$B181&amp;", ", ", "&amp;INDEX('Form Responses'!$R$1:$R$200,2)&amp;", "))),1,""))</f>
        <v/>
      </c>
      <c r="E181">
        <f>IF(Wizards!$A$3="","",IF(OR(ISNUMBER(SEARCH(", "&amp;$B181&amp;", ", ", "&amp;INDEX('Form Responses'!$I$1:$Q$200,3,$A181)&amp;", ")),ISNUMBER(SEARCH(", "&amp;$B181&amp;", ", ", "&amp;INDEX('Form Responses'!$R$1:$R$200,3)&amp;", "))),1,""))</f>
        <v/>
      </c>
      <c r="F181">
        <f>IF(Wizards!$A$4="","",IF(OR(ISNUMBER(SEARCH(", "&amp;$B181&amp;", ", ", "&amp;INDEX('Form Responses'!$I$1:$Q$200,4,$A181)&amp;", ")),ISNUMBER(SEARCH(", "&amp;$B181&amp;", ", ", "&amp;INDEX('Form Responses'!$R$1:$R$200,4)&amp;", "))),1,""))</f>
        <v/>
      </c>
      <c r="G181">
        <f>IF(Wizards!$A$5="","",IF(OR(ISNUMBER(SEARCH(", "&amp;$B181&amp;", ", ", "&amp;INDEX('Form Responses'!$I$1:$Q$200,5,$A181)&amp;", ")),ISNUMBER(SEARCH(", "&amp;$B181&amp;", ", ", "&amp;INDEX('Form Responses'!$R$1:$R$200,5)&amp;", "))),1,""))</f>
        <v/>
      </c>
      <c r="H181">
        <f>IF(Wizards!$A$6="","",IF(OR(ISNUMBER(SEARCH(", "&amp;$B181&amp;", ", ", "&amp;INDEX('Form Responses'!$I$1:$Q$200,6,$A181)&amp;", ")),ISNUMBER(SEARCH(", "&amp;$B181&amp;", ", ", "&amp;INDEX('Form Responses'!$R$1:$R$200,6)&amp;", "))),1,""))</f>
        <v/>
      </c>
      <c r="I181">
        <f>IF(Wizards!$A$7="","",IF(OR(ISNUMBER(SEARCH(", "&amp;$B181&amp;", ", ", "&amp;INDEX('Form Responses'!$I$1:$Q$200,7,$A181)&amp;", ")),ISNUMBER(SEARCH(", "&amp;$B181&amp;", ", ", "&amp;INDEX('Form Responses'!$R$1:$R$200,7)&amp;", "))),1,""))</f>
        <v/>
      </c>
      <c r="J181">
        <f>IF(Wizards!$A$8="","",IF(OR(ISNUMBER(SEARCH(", "&amp;$B181&amp;", ", ", "&amp;INDEX('Form Responses'!$I$1:$Q$200,8,$A181)&amp;", ")),ISNUMBER(SEARCH(", "&amp;$B181&amp;", ", ", "&amp;INDEX('Form Responses'!$R$1:$R$200,8)&amp;", "))),1,""))</f>
        <v/>
      </c>
      <c r="K181">
        <f>IF(Wizards!$A$9="","",IF(OR(ISNUMBER(SEARCH(", "&amp;$B181&amp;", ", ", "&amp;INDEX('Form Responses'!$I$1:$Q$200,9,$A181)&amp;", ")),ISNUMBER(SEARCH(", "&amp;$B181&amp;", ", ", "&amp;INDEX('Form Responses'!$R$1:$R$200,9)&amp;", "))),1,""))</f>
        <v/>
      </c>
      <c r="L181">
        <f>IF(Wizards!$A$10="","",IF(OR(ISNUMBER(SEARCH(", "&amp;$B181&amp;", ", ", "&amp;INDEX('Form Responses'!$I$1:$Q$200,10,$A181)&amp;", ")),ISNUMBER(SEARCH(", "&amp;$B181&amp;", ", ", "&amp;INDEX('Form Responses'!$R$1:$R$200,10)&amp;", "))),1,""))</f>
        <v/>
      </c>
      <c r="M181">
        <f>IF(Wizards!$A$11="","",IF(OR(ISNUMBER(SEARCH(", "&amp;$B181&amp;", ", ", "&amp;INDEX('Form Responses'!$I$1:$Q$200,11,$A181)&amp;", ")),ISNUMBER(SEARCH(", "&amp;$B181&amp;", ", ", "&amp;INDEX('Form Responses'!$R$1:$R$200,11)&amp;", "))),1,""))</f>
        <v/>
      </c>
      <c r="N181">
        <f>IF(Wizards!$A$12="","",IF(OR(ISNUMBER(SEARCH(", "&amp;$B181&amp;", ", ", "&amp;INDEX('Form Responses'!$I$1:$Q$200,12,$A181)&amp;", ")),ISNUMBER(SEARCH(", "&amp;$B181&amp;", ", ", "&amp;INDEX('Form Responses'!$R$1:$R$200,12)&amp;", "))),1,""))</f>
        <v/>
      </c>
      <c r="O181">
        <f>IF(Wizards!$A$13="","",IF(OR(ISNUMBER(SEARCH(", "&amp;$B181&amp;", ", ", "&amp;INDEX('Form Responses'!$I$1:$Q$200,13,$A181)&amp;", ")),ISNUMBER(SEARCH(", "&amp;$B181&amp;", ", ", "&amp;INDEX('Form Responses'!$R$1:$R$200,13)&amp;", "))),1,""))</f>
        <v/>
      </c>
      <c r="P181">
        <f>IF(Wizards!$A$14="","",IF(OR(ISNUMBER(SEARCH(", "&amp;$B181&amp;", ", ", "&amp;INDEX('Form Responses'!$I$1:$Q$200,14,$A181)&amp;", ")),ISNUMBER(SEARCH(", "&amp;$B181&amp;", ", ", "&amp;INDEX('Form Responses'!$R$1:$R$200,14)&amp;", "))),1,""))</f>
        <v/>
      </c>
      <c r="Q181">
        <f>IF(Wizards!$A$15="","",IF(OR(ISNUMBER(SEARCH(", "&amp;$B181&amp;", ", ", "&amp;INDEX('Form Responses'!$I$1:$Q$200,15,$A181)&amp;", ")),ISNUMBER(SEARCH(", "&amp;$B181&amp;", ", ", "&amp;INDEX('Form Responses'!$R$1:$R$200,15)&amp;", "))),1,""))</f>
        <v/>
      </c>
      <c r="R181">
        <f>IF(Wizards!$A$16="","",IF(OR(ISNUMBER(SEARCH(", "&amp;$B181&amp;", ", ", "&amp;INDEX('Form Responses'!$I$1:$Q$200,16,$A181)&amp;", ")),ISNUMBER(SEARCH(", "&amp;$B181&amp;", ", ", "&amp;INDEX('Form Responses'!$R$1:$R$200,16)&amp;", "))),1,""))</f>
        <v/>
      </c>
      <c r="S181">
        <f>IF(Wizards!$A$17="","",IF(OR(ISNUMBER(SEARCH(", "&amp;$B181&amp;", ", ", "&amp;INDEX('Form Responses'!$I$1:$Q$200,17,$A181)&amp;", ")),ISNUMBER(SEARCH(", "&amp;$B181&amp;", ", ", "&amp;INDEX('Form Responses'!$R$1:$R$200,17)&amp;", "))),1,""))</f>
        <v/>
      </c>
      <c r="T181">
        <f>IF(Wizards!$A$18="","",IF(OR(ISNUMBER(SEARCH(", "&amp;$B181&amp;", ", ", "&amp;INDEX('Form Responses'!$I$1:$Q$200,18,$A181)&amp;", ")),ISNUMBER(SEARCH(", "&amp;$B181&amp;", ", ", "&amp;INDEX('Form Responses'!$R$1:$R$200,18)&amp;", "))),1,""))</f>
        <v/>
      </c>
      <c r="U181">
        <f>IF(Wizards!$A$19="","",IF(OR(ISNUMBER(SEARCH(", "&amp;$B181&amp;", ", ", "&amp;INDEX('Form Responses'!$I$1:$Q$200,19,$A181)&amp;", ")),ISNUMBER(SEARCH(", "&amp;$B181&amp;", ", ", "&amp;INDEX('Form Responses'!$R$1:$R$200,19)&amp;", "))),1,""))</f>
        <v/>
      </c>
      <c r="V181">
        <f>IF(Wizards!$A$20="","",IF(OR(ISNUMBER(SEARCH(", "&amp;$B181&amp;", ", ", "&amp;INDEX('Form Responses'!$I$1:$Q$200,20,$A181)&amp;", ")),ISNUMBER(SEARCH(", "&amp;$B181&amp;", ", ", "&amp;INDEX('Form Responses'!$R$1:$R$200,20)&amp;", "))),1,""))</f>
        <v/>
      </c>
      <c r="W181">
        <f>IF(Wizards!$A$21="","",IF(OR(ISNUMBER(SEARCH(", "&amp;$B181&amp;", ", ", "&amp;INDEX('Form Responses'!$I$1:$Q$200,21,$A181)&amp;", ")),ISNUMBER(SEARCH(", "&amp;$B181&amp;", ", ", "&amp;INDEX('Form Responses'!$R$1:$R$200,21)&amp;", "))),1,""))</f>
        <v/>
      </c>
      <c r="X181">
        <f>IF(Wizards!$A$22="","",IF(OR(ISNUMBER(SEARCH(", "&amp;$B181&amp;", ", ", "&amp;INDEX('Form Responses'!$I$1:$Q$200,22,$A181)&amp;", ")),ISNUMBER(SEARCH(", "&amp;$B181&amp;", ", ", "&amp;INDEX('Form Responses'!$R$1:$R$200,22)&amp;", "))),1,""))</f>
        <v/>
      </c>
      <c r="Y181">
        <f>IF(Wizards!$A$23="","",IF(OR(ISNUMBER(SEARCH(", "&amp;$B181&amp;", ", ", "&amp;INDEX('Form Responses'!$I$1:$Q$200,23,$A181)&amp;", ")),ISNUMBER(SEARCH(", "&amp;$B181&amp;", ", ", "&amp;INDEX('Form Responses'!$R$1:$R$200,23)&amp;", "))),1,""))</f>
        <v/>
      </c>
      <c r="Z181">
        <f>IF(Wizards!$A$24="","",IF(OR(ISNUMBER(SEARCH(", "&amp;$B181&amp;", ", ", "&amp;INDEX('Form Responses'!$I$1:$Q$200,24,$A181)&amp;", ")),ISNUMBER(SEARCH(", "&amp;$B181&amp;", ", ", "&amp;INDEX('Form Responses'!$R$1:$R$200,24)&amp;", "))),1,""))</f>
        <v/>
      </c>
      <c r="AA181">
        <f>IF(Wizards!$A$25="","",IF(OR(ISNUMBER(SEARCH(", "&amp;$B181&amp;", ", ", "&amp;INDEX('Form Responses'!$I$1:$Q$200,25,$A181)&amp;", ")),ISNUMBER(SEARCH(", "&amp;$B181&amp;", ", ", "&amp;INDEX('Form Responses'!$R$1:$R$200,25)&amp;", "))),1,""))</f>
        <v/>
      </c>
      <c r="AB181">
        <f>IF(D181=1,", "&amp;D$1,"")</f>
        <v/>
      </c>
      <c r="AC181">
        <f>IF(E181=1,", "&amp;E$1,"")</f>
        <v/>
      </c>
      <c r="AD181">
        <f>IF(F181=1,", "&amp;F$1,"")</f>
        <v/>
      </c>
      <c r="AE181">
        <f>IF(G181=1,", "&amp;G$1,"")</f>
        <v/>
      </c>
      <c r="AF181">
        <f>IF(H181=1,", "&amp;H$1,"")</f>
        <v/>
      </c>
      <c r="AG181">
        <f>IF(I181=1,", "&amp;I$1,"")</f>
        <v/>
      </c>
      <c r="AH181">
        <f>IF(J181=1,", "&amp;J$1,"")</f>
        <v/>
      </c>
      <c r="AI181">
        <f>IF(K181=1,", "&amp;K$1,"")</f>
        <v/>
      </c>
      <c r="AJ181">
        <f>IF(L181=1,", "&amp;L$1,"")</f>
        <v/>
      </c>
      <c r="AK181">
        <f>IF(M181=1,", "&amp;M$1,"")</f>
        <v/>
      </c>
      <c r="AL181">
        <f>IF(N181=1,", "&amp;N$1,"")</f>
        <v/>
      </c>
      <c r="AM181">
        <f>IF(O181=1,", "&amp;O$1,"")</f>
        <v/>
      </c>
      <c r="AN181">
        <f>IF(P181=1,", "&amp;P$1,"")</f>
        <v/>
      </c>
      <c r="AO181">
        <f>IF(Q181=1,", "&amp;Q$1,"")</f>
        <v/>
      </c>
      <c r="AP181">
        <f>IF(R181=1,", "&amp;R$1,"")</f>
        <v/>
      </c>
      <c r="AQ181">
        <f>IF(S181=1,", "&amp;S$1,"")</f>
        <v/>
      </c>
      <c r="AR181">
        <f>IF(T181=1,", "&amp;T$1,"")</f>
        <v/>
      </c>
      <c r="AS181">
        <f>IF(U181=1,", "&amp;U$1,"")</f>
        <v/>
      </c>
      <c r="AT181">
        <f>IF(V181=1,", "&amp;V$1,"")</f>
        <v/>
      </c>
      <c r="AU181">
        <f>IF(W181=1,", "&amp;W$1,"")</f>
        <v/>
      </c>
      <c r="AV181">
        <f>IF(X181=1,", "&amp;X$1,"")</f>
        <v/>
      </c>
      <c r="AW181">
        <f>IF(Y181=1,", "&amp;Y$1,"")</f>
        <v/>
      </c>
      <c r="AX181">
        <f>IF(Z181=1,", "&amp;Z$1,"")</f>
        <v/>
      </c>
      <c r="AY181">
        <f>IF(AA181=1,", "&amp;AA$1,"")</f>
        <v/>
      </c>
      <c r="AZ181">
        <f>MID($AB181&amp;$AC181&amp;$AD181&amp;$AE181&amp;$AF181&amp;$AG181&amp;$AH181&amp;$AI181&amp;$AJ181&amp;$AK181&amp;$AL181&amp;$AM181&amp;$AN181&amp;$AO181&amp;$AP181&amp;$AQ181&amp;$AR181&amp;$AS181&amp;$AT181&amp;$AU181&amp;$AV181&amp;$AW181&amp;$AX181&amp;$AY181,3,32767)</f>
        <v/>
      </c>
      <c r="BA181">
        <f>COUNT($D181:$AA181)</f>
        <v/>
      </c>
    </row>
    <row r="182">
      <c r="A182" t="n">
        <v>4</v>
      </c>
      <c r="B182" t="inlineStr">
        <is>
          <t>Locate Creature</t>
        </is>
      </c>
      <c r="C182" t="inlineStr">
        <is>
          <t>Divination</t>
        </is>
      </c>
      <c r="D182">
        <f>IF(Wizards!$A$2="","",IF(OR(ISNUMBER(SEARCH(", "&amp;$B182&amp;", ", ", "&amp;INDEX('Form Responses'!$I$1:$Q$200,2,$A182)&amp;", ")),ISNUMBER(SEARCH(", "&amp;$B182&amp;", ", ", "&amp;INDEX('Form Responses'!$R$1:$R$200,2)&amp;", "))),1,""))</f>
        <v/>
      </c>
      <c r="E182">
        <f>IF(Wizards!$A$3="","",IF(OR(ISNUMBER(SEARCH(", "&amp;$B182&amp;", ", ", "&amp;INDEX('Form Responses'!$I$1:$Q$200,3,$A182)&amp;", ")),ISNUMBER(SEARCH(", "&amp;$B182&amp;", ", ", "&amp;INDEX('Form Responses'!$R$1:$R$200,3)&amp;", "))),1,""))</f>
        <v/>
      </c>
      <c r="F182">
        <f>IF(Wizards!$A$4="","",IF(OR(ISNUMBER(SEARCH(", "&amp;$B182&amp;", ", ", "&amp;INDEX('Form Responses'!$I$1:$Q$200,4,$A182)&amp;", ")),ISNUMBER(SEARCH(", "&amp;$B182&amp;", ", ", "&amp;INDEX('Form Responses'!$R$1:$R$200,4)&amp;", "))),1,""))</f>
        <v/>
      </c>
      <c r="G182">
        <f>IF(Wizards!$A$5="","",IF(OR(ISNUMBER(SEARCH(", "&amp;$B182&amp;", ", ", "&amp;INDEX('Form Responses'!$I$1:$Q$200,5,$A182)&amp;", ")),ISNUMBER(SEARCH(", "&amp;$B182&amp;", ", ", "&amp;INDEX('Form Responses'!$R$1:$R$200,5)&amp;", "))),1,""))</f>
        <v/>
      </c>
      <c r="H182">
        <f>IF(Wizards!$A$6="","",IF(OR(ISNUMBER(SEARCH(", "&amp;$B182&amp;", ", ", "&amp;INDEX('Form Responses'!$I$1:$Q$200,6,$A182)&amp;", ")),ISNUMBER(SEARCH(", "&amp;$B182&amp;", ", ", "&amp;INDEX('Form Responses'!$R$1:$R$200,6)&amp;", "))),1,""))</f>
        <v/>
      </c>
      <c r="I182">
        <f>IF(Wizards!$A$7="","",IF(OR(ISNUMBER(SEARCH(", "&amp;$B182&amp;", ", ", "&amp;INDEX('Form Responses'!$I$1:$Q$200,7,$A182)&amp;", ")),ISNUMBER(SEARCH(", "&amp;$B182&amp;", ", ", "&amp;INDEX('Form Responses'!$R$1:$R$200,7)&amp;", "))),1,""))</f>
        <v/>
      </c>
      <c r="J182">
        <f>IF(Wizards!$A$8="","",IF(OR(ISNUMBER(SEARCH(", "&amp;$B182&amp;", ", ", "&amp;INDEX('Form Responses'!$I$1:$Q$200,8,$A182)&amp;", ")),ISNUMBER(SEARCH(", "&amp;$B182&amp;", ", ", "&amp;INDEX('Form Responses'!$R$1:$R$200,8)&amp;", "))),1,""))</f>
        <v/>
      </c>
      <c r="K182">
        <f>IF(Wizards!$A$9="","",IF(OR(ISNUMBER(SEARCH(", "&amp;$B182&amp;", ", ", "&amp;INDEX('Form Responses'!$I$1:$Q$200,9,$A182)&amp;", ")),ISNUMBER(SEARCH(", "&amp;$B182&amp;", ", ", "&amp;INDEX('Form Responses'!$R$1:$R$200,9)&amp;", "))),1,""))</f>
        <v/>
      </c>
      <c r="L182">
        <f>IF(Wizards!$A$10="","",IF(OR(ISNUMBER(SEARCH(", "&amp;$B182&amp;", ", ", "&amp;INDEX('Form Responses'!$I$1:$Q$200,10,$A182)&amp;", ")),ISNUMBER(SEARCH(", "&amp;$B182&amp;", ", ", "&amp;INDEX('Form Responses'!$R$1:$R$200,10)&amp;", "))),1,""))</f>
        <v/>
      </c>
      <c r="M182">
        <f>IF(Wizards!$A$11="","",IF(OR(ISNUMBER(SEARCH(", "&amp;$B182&amp;", ", ", "&amp;INDEX('Form Responses'!$I$1:$Q$200,11,$A182)&amp;", ")),ISNUMBER(SEARCH(", "&amp;$B182&amp;", ", ", "&amp;INDEX('Form Responses'!$R$1:$R$200,11)&amp;", "))),1,""))</f>
        <v/>
      </c>
      <c r="N182">
        <f>IF(Wizards!$A$12="","",IF(OR(ISNUMBER(SEARCH(", "&amp;$B182&amp;", ", ", "&amp;INDEX('Form Responses'!$I$1:$Q$200,12,$A182)&amp;", ")),ISNUMBER(SEARCH(", "&amp;$B182&amp;", ", ", "&amp;INDEX('Form Responses'!$R$1:$R$200,12)&amp;", "))),1,""))</f>
        <v/>
      </c>
      <c r="O182">
        <f>IF(Wizards!$A$13="","",IF(OR(ISNUMBER(SEARCH(", "&amp;$B182&amp;", ", ", "&amp;INDEX('Form Responses'!$I$1:$Q$200,13,$A182)&amp;", ")),ISNUMBER(SEARCH(", "&amp;$B182&amp;", ", ", "&amp;INDEX('Form Responses'!$R$1:$R$200,13)&amp;", "))),1,""))</f>
        <v/>
      </c>
      <c r="P182">
        <f>IF(Wizards!$A$14="","",IF(OR(ISNUMBER(SEARCH(", "&amp;$B182&amp;", ", ", "&amp;INDEX('Form Responses'!$I$1:$Q$200,14,$A182)&amp;", ")),ISNUMBER(SEARCH(", "&amp;$B182&amp;", ", ", "&amp;INDEX('Form Responses'!$R$1:$R$200,14)&amp;", "))),1,""))</f>
        <v/>
      </c>
      <c r="Q182">
        <f>IF(Wizards!$A$15="","",IF(OR(ISNUMBER(SEARCH(", "&amp;$B182&amp;", ", ", "&amp;INDEX('Form Responses'!$I$1:$Q$200,15,$A182)&amp;", ")),ISNUMBER(SEARCH(", "&amp;$B182&amp;", ", ", "&amp;INDEX('Form Responses'!$R$1:$R$200,15)&amp;", "))),1,""))</f>
        <v/>
      </c>
      <c r="R182">
        <f>IF(Wizards!$A$16="","",IF(OR(ISNUMBER(SEARCH(", "&amp;$B182&amp;", ", ", "&amp;INDEX('Form Responses'!$I$1:$Q$200,16,$A182)&amp;", ")),ISNUMBER(SEARCH(", "&amp;$B182&amp;", ", ", "&amp;INDEX('Form Responses'!$R$1:$R$200,16)&amp;", "))),1,""))</f>
        <v/>
      </c>
      <c r="S182">
        <f>IF(Wizards!$A$17="","",IF(OR(ISNUMBER(SEARCH(", "&amp;$B182&amp;", ", ", "&amp;INDEX('Form Responses'!$I$1:$Q$200,17,$A182)&amp;", ")),ISNUMBER(SEARCH(", "&amp;$B182&amp;", ", ", "&amp;INDEX('Form Responses'!$R$1:$R$200,17)&amp;", "))),1,""))</f>
        <v/>
      </c>
      <c r="T182">
        <f>IF(Wizards!$A$18="","",IF(OR(ISNUMBER(SEARCH(", "&amp;$B182&amp;", ", ", "&amp;INDEX('Form Responses'!$I$1:$Q$200,18,$A182)&amp;", ")),ISNUMBER(SEARCH(", "&amp;$B182&amp;", ", ", "&amp;INDEX('Form Responses'!$R$1:$R$200,18)&amp;", "))),1,""))</f>
        <v/>
      </c>
      <c r="U182">
        <f>IF(Wizards!$A$19="","",IF(OR(ISNUMBER(SEARCH(", "&amp;$B182&amp;", ", ", "&amp;INDEX('Form Responses'!$I$1:$Q$200,19,$A182)&amp;", ")),ISNUMBER(SEARCH(", "&amp;$B182&amp;", ", ", "&amp;INDEX('Form Responses'!$R$1:$R$200,19)&amp;", "))),1,""))</f>
        <v/>
      </c>
      <c r="V182">
        <f>IF(Wizards!$A$20="","",IF(OR(ISNUMBER(SEARCH(", "&amp;$B182&amp;", ", ", "&amp;INDEX('Form Responses'!$I$1:$Q$200,20,$A182)&amp;", ")),ISNUMBER(SEARCH(", "&amp;$B182&amp;", ", ", "&amp;INDEX('Form Responses'!$R$1:$R$200,20)&amp;", "))),1,""))</f>
        <v/>
      </c>
      <c r="W182">
        <f>IF(Wizards!$A$21="","",IF(OR(ISNUMBER(SEARCH(", "&amp;$B182&amp;", ", ", "&amp;INDEX('Form Responses'!$I$1:$Q$200,21,$A182)&amp;", ")),ISNUMBER(SEARCH(", "&amp;$B182&amp;", ", ", "&amp;INDEX('Form Responses'!$R$1:$R$200,21)&amp;", "))),1,""))</f>
        <v/>
      </c>
      <c r="X182">
        <f>IF(Wizards!$A$22="","",IF(OR(ISNUMBER(SEARCH(", "&amp;$B182&amp;", ", ", "&amp;INDEX('Form Responses'!$I$1:$Q$200,22,$A182)&amp;", ")),ISNUMBER(SEARCH(", "&amp;$B182&amp;", ", ", "&amp;INDEX('Form Responses'!$R$1:$R$200,22)&amp;", "))),1,""))</f>
        <v/>
      </c>
      <c r="Y182">
        <f>IF(Wizards!$A$23="","",IF(OR(ISNUMBER(SEARCH(", "&amp;$B182&amp;", ", ", "&amp;INDEX('Form Responses'!$I$1:$Q$200,23,$A182)&amp;", ")),ISNUMBER(SEARCH(", "&amp;$B182&amp;", ", ", "&amp;INDEX('Form Responses'!$R$1:$R$200,23)&amp;", "))),1,""))</f>
        <v/>
      </c>
      <c r="Z182">
        <f>IF(Wizards!$A$24="","",IF(OR(ISNUMBER(SEARCH(", "&amp;$B182&amp;", ", ", "&amp;INDEX('Form Responses'!$I$1:$Q$200,24,$A182)&amp;", ")),ISNUMBER(SEARCH(", "&amp;$B182&amp;", ", ", "&amp;INDEX('Form Responses'!$R$1:$R$200,24)&amp;", "))),1,""))</f>
        <v/>
      </c>
      <c r="AA182">
        <f>IF(Wizards!$A$25="","",IF(OR(ISNUMBER(SEARCH(", "&amp;$B182&amp;", ", ", "&amp;INDEX('Form Responses'!$I$1:$Q$200,25,$A182)&amp;", ")),ISNUMBER(SEARCH(", "&amp;$B182&amp;", ", ", "&amp;INDEX('Form Responses'!$R$1:$R$200,25)&amp;", "))),1,""))</f>
        <v/>
      </c>
      <c r="AB182">
        <f>IF(D182=1,", "&amp;D$1,"")</f>
        <v/>
      </c>
      <c r="AC182">
        <f>IF(E182=1,", "&amp;E$1,"")</f>
        <v/>
      </c>
      <c r="AD182">
        <f>IF(F182=1,", "&amp;F$1,"")</f>
        <v/>
      </c>
      <c r="AE182">
        <f>IF(G182=1,", "&amp;G$1,"")</f>
        <v/>
      </c>
      <c r="AF182">
        <f>IF(H182=1,", "&amp;H$1,"")</f>
        <v/>
      </c>
      <c r="AG182">
        <f>IF(I182=1,", "&amp;I$1,"")</f>
        <v/>
      </c>
      <c r="AH182">
        <f>IF(J182=1,", "&amp;J$1,"")</f>
        <v/>
      </c>
      <c r="AI182">
        <f>IF(K182=1,", "&amp;K$1,"")</f>
        <v/>
      </c>
      <c r="AJ182">
        <f>IF(L182=1,", "&amp;L$1,"")</f>
        <v/>
      </c>
      <c r="AK182">
        <f>IF(M182=1,", "&amp;M$1,"")</f>
        <v/>
      </c>
      <c r="AL182">
        <f>IF(N182=1,", "&amp;N$1,"")</f>
        <v/>
      </c>
      <c r="AM182">
        <f>IF(O182=1,", "&amp;O$1,"")</f>
        <v/>
      </c>
      <c r="AN182">
        <f>IF(P182=1,", "&amp;P$1,"")</f>
        <v/>
      </c>
      <c r="AO182">
        <f>IF(Q182=1,", "&amp;Q$1,"")</f>
        <v/>
      </c>
      <c r="AP182">
        <f>IF(R182=1,", "&amp;R$1,"")</f>
        <v/>
      </c>
      <c r="AQ182">
        <f>IF(S182=1,", "&amp;S$1,"")</f>
        <v/>
      </c>
      <c r="AR182">
        <f>IF(T182=1,", "&amp;T$1,"")</f>
        <v/>
      </c>
      <c r="AS182">
        <f>IF(U182=1,", "&amp;U$1,"")</f>
        <v/>
      </c>
      <c r="AT182">
        <f>IF(V182=1,", "&amp;V$1,"")</f>
        <v/>
      </c>
      <c r="AU182">
        <f>IF(W182=1,", "&amp;W$1,"")</f>
        <v/>
      </c>
      <c r="AV182">
        <f>IF(X182=1,", "&amp;X$1,"")</f>
        <v/>
      </c>
      <c r="AW182">
        <f>IF(Y182=1,", "&amp;Y$1,"")</f>
        <v/>
      </c>
      <c r="AX182">
        <f>IF(Z182=1,", "&amp;Z$1,"")</f>
        <v/>
      </c>
      <c r="AY182">
        <f>IF(AA182=1,", "&amp;AA$1,"")</f>
        <v/>
      </c>
      <c r="AZ182">
        <f>MID($AB182&amp;$AC182&amp;$AD182&amp;$AE182&amp;$AF182&amp;$AG182&amp;$AH182&amp;$AI182&amp;$AJ182&amp;$AK182&amp;$AL182&amp;$AM182&amp;$AN182&amp;$AO182&amp;$AP182&amp;$AQ182&amp;$AR182&amp;$AS182&amp;$AT182&amp;$AU182&amp;$AV182&amp;$AW182&amp;$AX182&amp;$AY182,3,32767)</f>
        <v/>
      </c>
      <c r="BA182">
        <f>COUNT($D182:$AA182)</f>
        <v/>
      </c>
    </row>
    <row r="183">
      <c r="A183" t="n">
        <v>4</v>
      </c>
      <c r="B183" t="inlineStr">
        <is>
          <t>Mordenkainen's Faithful Hound</t>
        </is>
      </c>
      <c r="C183" t="inlineStr">
        <is>
          <t>Conjuration</t>
        </is>
      </c>
      <c r="D183">
        <f>IF(Wizards!$A$2="","",IF(OR(ISNUMBER(SEARCH(", "&amp;$B183&amp;", ", ", "&amp;INDEX('Form Responses'!$I$1:$Q$200,2,$A183)&amp;", ")),ISNUMBER(SEARCH(", "&amp;$B183&amp;", ", ", "&amp;INDEX('Form Responses'!$R$1:$R$200,2)&amp;", "))),1,""))</f>
        <v/>
      </c>
      <c r="E183">
        <f>IF(Wizards!$A$3="","",IF(OR(ISNUMBER(SEARCH(", "&amp;$B183&amp;", ", ", "&amp;INDEX('Form Responses'!$I$1:$Q$200,3,$A183)&amp;", ")),ISNUMBER(SEARCH(", "&amp;$B183&amp;", ", ", "&amp;INDEX('Form Responses'!$R$1:$R$200,3)&amp;", "))),1,""))</f>
        <v/>
      </c>
      <c r="F183">
        <f>IF(Wizards!$A$4="","",IF(OR(ISNUMBER(SEARCH(", "&amp;$B183&amp;", ", ", "&amp;INDEX('Form Responses'!$I$1:$Q$200,4,$A183)&amp;", ")),ISNUMBER(SEARCH(", "&amp;$B183&amp;", ", ", "&amp;INDEX('Form Responses'!$R$1:$R$200,4)&amp;", "))),1,""))</f>
        <v/>
      </c>
      <c r="G183">
        <f>IF(Wizards!$A$5="","",IF(OR(ISNUMBER(SEARCH(", "&amp;$B183&amp;", ", ", "&amp;INDEX('Form Responses'!$I$1:$Q$200,5,$A183)&amp;", ")),ISNUMBER(SEARCH(", "&amp;$B183&amp;", ", ", "&amp;INDEX('Form Responses'!$R$1:$R$200,5)&amp;", "))),1,""))</f>
        <v/>
      </c>
      <c r="H183">
        <f>IF(Wizards!$A$6="","",IF(OR(ISNUMBER(SEARCH(", "&amp;$B183&amp;", ", ", "&amp;INDEX('Form Responses'!$I$1:$Q$200,6,$A183)&amp;", ")),ISNUMBER(SEARCH(", "&amp;$B183&amp;", ", ", "&amp;INDEX('Form Responses'!$R$1:$R$200,6)&amp;", "))),1,""))</f>
        <v/>
      </c>
      <c r="I183">
        <f>IF(Wizards!$A$7="","",IF(OR(ISNUMBER(SEARCH(", "&amp;$B183&amp;", ", ", "&amp;INDEX('Form Responses'!$I$1:$Q$200,7,$A183)&amp;", ")),ISNUMBER(SEARCH(", "&amp;$B183&amp;", ", ", "&amp;INDEX('Form Responses'!$R$1:$R$200,7)&amp;", "))),1,""))</f>
        <v/>
      </c>
      <c r="J183">
        <f>IF(Wizards!$A$8="","",IF(OR(ISNUMBER(SEARCH(", "&amp;$B183&amp;", ", ", "&amp;INDEX('Form Responses'!$I$1:$Q$200,8,$A183)&amp;", ")),ISNUMBER(SEARCH(", "&amp;$B183&amp;", ", ", "&amp;INDEX('Form Responses'!$R$1:$R$200,8)&amp;", "))),1,""))</f>
        <v/>
      </c>
      <c r="K183">
        <f>IF(Wizards!$A$9="","",IF(OR(ISNUMBER(SEARCH(", "&amp;$B183&amp;", ", ", "&amp;INDEX('Form Responses'!$I$1:$Q$200,9,$A183)&amp;", ")),ISNUMBER(SEARCH(", "&amp;$B183&amp;", ", ", "&amp;INDEX('Form Responses'!$R$1:$R$200,9)&amp;", "))),1,""))</f>
        <v/>
      </c>
      <c r="L183">
        <f>IF(Wizards!$A$10="","",IF(OR(ISNUMBER(SEARCH(", "&amp;$B183&amp;", ", ", "&amp;INDEX('Form Responses'!$I$1:$Q$200,10,$A183)&amp;", ")),ISNUMBER(SEARCH(", "&amp;$B183&amp;", ", ", "&amp;INDEX('Form Responses'!$R$1:$R$200,10)&amp;", "))),1,""))</f>
        <v/>
      </c>
      <c r="M183">
        <f>IF(Wizards!$A$11="","",IF(OR(ISNUMBER(SEARCH(", "&amp;$B183&amp;", ", ", "&amp;INDEX('Form Responses'!$I$1:$Q$200,11,$A183)&amp;", ")),ISNUMBER(SEARCH(", "&amp;$B183&amp;", ", ", "&amp;INDEX('Form Responses'!$R$1:$R$200,11)&amp;", "))),1,""))</f>
        <v/>
      </c>
      <c r="N183">
        <f>IF(Wizards!$A$12="","",IF(OR(ISNUMBER(SEARCH(", "&amp;$B183&amp;", ", ", "&amp;INDEX('Form Responses'!$I$1:$Q$200,12,$A183)&amp;", ")),ISNUMBER(SEARCH(", "&amp;$B183&amp;", ", ", "&amp;INDEX('Form Responses'!$R$1:$R$200,12)&amp;", "))),1,""))</f>
        <v/>
      </c>
      <c r="O183">
        <f>IF(Wizards!$A$13="","",IF(OR(ISNUMBER(SEARCH(", "&amp;$B183&amp;", ", ", "&amp;INDEX('Form Responses'!$I$1:$Q$200,13,$A183)&amp;", ")),ISNUMBER(SEARCH(", "&amp;$B183&amp;", ", ", "&amp;INDEX('Form Responses'!$R$1:$R$200,13)&amp;", "))),1,""))</f>
        <v/>
      </c>
      <c r="P183">
        <f>IF(Wizards!$A$14="","",IF(OR(ISNUMBER(SEARCH(", "&amp;$B183&amp;", ", ", "&amp;INDEX('Form Responses'!$I$1:$Q$200,14,$A183)&amp;", ")),ISNUMBER(SEARCH(", "&amp;$B183&amp;", ", ", "&amp;INDEX('Form Responses'!$R$1:$R$200,14)&amp;", "))),1,""))</f>
        <v/>
      </c>
      <c r="Q183">
        <f>IF(Wizards!$A$15="","",IF(OR(ISNUMBER(SEARCH(", "&amp;$B183&amp;", ", ", "&amp;INDEX('Form Responses'!$I$1:$Q$200,15,$A183)&amp;", ")),ISNUMBER(SEARCH(", "&amp;$B183&amp;", ", ", "&amp;INDEX('Form Responses'!$R$1:$R$200,15)&amp;", "))),1,""))</f>
        <v/>
      </c>
      <c r="R183">
        <f>IF(Wizards!$A$16="","",IF(OR(ISNUMBER(SEARCH(", "&amp;$B183&amp;", ", ", "&amp;INDEX('Form Responses'!$I$1:$Q$200,16,$A183)&amp;", ")),ISNUMBER(SEARCH(", "&amp;$B183&amp;", ", ", "&amp;INDEX('Form Responses'!$R$1:$R$200,16)&amp;", "))),1,""))</f>
        <v/>
      </c>
      <c r="S183">
        <f>IF(Wizards!$A$17="","",IF(OR(ISNUMBER(SEARCH(", "&amp;$B183&amp;", ", ", "&amp;INDEX('Form Responses'!$I$1:$Q$200,17,$A183)&amp;", ")),ISNUMBER(SEARCH(", "&amp;$B183&amp;", ", ", "&amp;INDEX('Form Responses'!$R$1:$R$200,17)&amp;", "))),1,""))</f>
        <v/>
      </c>
      <c r="T183">
        <f>IF(Wizards!$A$18="","",IF(OR(ISNUMBER(SEARCH(", "&amp;$B183&amp;", ", ", "&amp;INDEX('Form Responses'!$I$1:$Q$200,18,$A183)&amp;", ")),ISNUMBER(SEARCH(", "&amp;$B183&amp;", ", ", "&amp;INDEX('Form Responses'!$R$1:$R$200,18)&amp;", "))),1,""))</f>
        <v/>
      </c>
      <c r="U183">
        <f>IF(Wizards!$A$19="","",IF(OR(ISNUMBER(SEARCH(", "&amp;$B183&amp;", ", ", "&amp;INDEX('Form Responses'!$I$1:$Q$200,19,$A183)&amp;", ")),ISNUMBER(SEARCH(", "&amp;$B183&amp;", ", ", "&amp;INDEX('Form Responses'!$R$1:$R$200,19)&amp;", "))),1,""))</f>
        <v/>
      </c>
      <c r="V183">
        <f>IF(Wizards!$A$20="","",IF(OR(ISNUMBER(SEARCH(", "&amp;$B183&amp;", ", ", "&amp;INDEX('Form Responses'!$I$1:$Q$200,20,$A183)&amp;", ")),ISNUMBER(SEARCH(", "&amp;$B183&amp;", ", ", "&amp;INDEX('Form Responses'!$R$1:$R$200,20)&amp;", "))),1,""))</f>
        <v/>
      </c>
      <c r="W183">
        <f>IF(Wizards!$A$21="","",IF(OR(ISNUMBER(SEARCH(", "&amp;$B183&amp;", ", ", "&amp;INDEX('Form Responses'!$I$1:$Q$200,21,$A183)&amp;", ")),ISNUMBER(SEARCH(", "&amp;$B183&amp;", ", ", "&amp;INDEX('Form Responses'!$R$1:$R$200,21)&amp;", "))),1,""))</f>
        <v/>
      </c>
      <c r="X183">
        <f>IF(Wizards!$A$22="","",IF(OR(ISNUMBER(SEARCH(", "&amp;$B183&amp;", ", ", "&amp;INDEX('Form Responses'!$I$1:$Q$200,22,$A183)&amp;", ")),ISNUMBER(SEARCH(", "&amp;$B183&amp;", ", ", "&amp;INDEX('Form Responses'!$R$1:$R$200,22)&amp;", "))),1,""))</f>
        <v/>
      </c>
      <c r="Y183">
        <f>IF(Wizards!$A$23="","",IF(OR(ISNUMBER(SEARCH(", "&amp;$B183&amp;", ", ", "&amp;INDEX('Form Responses'!$I$1:$Q$200,23,$A183)&amp;", ")),ISNUMBER(SEARCH(", "&amp;$B183&amp;", ", ", "&amp;INDEX('Form Responses'!$R$1:$R$200,23)&amp;", "))),1,""))</f>
        <v/>
      </c>
      <c r="Z183">
        <f>IF(Wizards!$A$24="","",IF(OR(ISNUMBER(SEARCH(", "&amp;$B183&amp;", ", ", "&amp;INDEX('Form Responses'!$I$1:$Q$200,24,$A183)&amp;", ")),ISNUMBER(SEARCH(", "&amp;$B183&amp;", ", ", "&amp;INDEX('Form Responses'!$R$1:$R$200,24)&amp;", "))),1,""))</f>
        <v/>
      </c>
      <c r="AA183">
        <f>IF(Wizards!$A$25="","",IF(OR(ISNUMBER(SEARCH(", "&amp;$B183&amp;", ", ", "&amp;INDEX('Form Responses'!$I$1:$Q$200,25,$A183)&amp;", ")),ISNUMBER(SEARCH(", "&amp;$B183&amp;", ", ", "&amp;INDEX('Form Responses'!$R$1:$R$200,25)&amp;", "))),1,""))</f>
        <v/>
      </c>
      <c r="AB183">
        <f>IF(D183=1,", "&amp;D$1,"")</f>
        <v/>
      </c>
      <c r="AC183">
        <f>IF(E183=1,", "&amp;E$1,"")</f>
        <v/>
      </c>
      <c r="AD183">
        <f>IF(F183=1,", "&amp;F$1,"")</f>
        <v/>
      </c>
      <c r="AE183">
        <f>IF(G183=1,", "&amp;G$1,"")</f>
        <v/>
      </c>
      <c r="AF183">
        <f>IF(H183=1,", "&amp;H$1,"")</f>
        <v/>
      </c>
      <c r="AG183">
        <f>IF(I183=1,", "&amp;I$1,"")</f>
        <v/>
      </c>
      <c r="AH183">
        <f>IF(J183=1,", "&amp;J$1,"")</f>
        <v/>
      </c>
      <c r="AI183">
        <f>IF(K183=1,", "&amp;K$1,"")</f>
        <v/>
      </c>
      <c r="AJ183">
        <f>IF(L183=1,", "&amp;L$1,"")</f>
        <v/>
      </c>
      <c r="AK183">
        <f>IF(M183=1,", "&amp;M$1,"")</f>
        <v/>
      </c>
      <c r="AL183">
        <f>IF(N183=1,", "&amp;N$1,"")</f>
        <v/>
      </c>
      <c r="AM183">
        <f>IF(O183=1,", "&amp;O$1,"")</f>
        <v/>
      </c>
      <c r="AN183">
        <f>IF(P183=1,", "&amp;P$1,"")</f>
        <v/>
      </c>
      <c r="AO183">
        <f>IF(Q183=1,", "&amp;Q$1,"")</f>
        <v/>
      </c>
      <c r="AP183">
        <f>IF(R183=1,", "&amp;R$1,"")</f>
        <v/>
      </c>
      <c r="AQ183">
        <f>IF(S183=1,", "&amp;S$1,"")</f>
        <v/>
      </c>
      <c r="AR183">
        <f>IF(T183=1,", "&amp;T$1,"")</f>
        <v/>
      </c>
      <c r="AS183">
        <f>IF(U183=1,", "&amp;U$1,"")</f>
        <v/>
      </c>
      <c r="AT183">
        <f>IF(V183=1,", "&amp;V$1,"")</f>
        <v/>
      </c>
      <c r="AU183">
        <f>IF(W183=1,", "&amp;W$1,"")</f>
        <v/>
      </c>
      <c r="AV183">
        <f>IF(X183=1,", "&amp;X$1,"")</f>
        <v/>
      </c>
      <c r="AW183">
        <f>IF(Y183=1,", "&amp;Y$1,"")</f>
        <v/>
      </c>
      <c r="AX183">
        <f>IF(Z183=1,", "&amp;Z$1,"")</f>
        <v/>
      </c>
      <c r="AY183">
        <f>IF(AA183=1,", "&amp;AA$1,"")</f>
        <v/>
      </c>
      <c r="AZ183">
        <f>MID($AB183&amp;$AC183&amp;$AD183&amp;$AE183&amp;$AF183&amp;$AG183&amp;$AH183&amp;$AI183&amp;$AJ183&amp;$AK183&amp;$AL183&amp;$AM183&amp;$AN183&amp;$AO183&amp;$AP183&amp;$AQ183&amp;$AR183&amp;$AS183&amp;$AT183&amp;$AU183&amp;$AV183&amp;$AW183&amp;$AX183&amp;$AY183,3,32767)</f>
        <v/>
      </c>
      <c r="BA183">
        <f>COUNT($D183:$AA183)</f>
        <v/>
      </c>
    </row>
    <row r="184">
      <c r="A184" t="n">
        <v>4</v>
      </c>
      <c r="B184" t="inlineStr">
        <is>
          <t>Mordenkainen's Private Sanctum</t>
        </is>
      </c>
      <c r="C184" t="inlineStr">
        <is>
          <t>Abjuration</t>
        </is>
      </c>
      <c r="D184">
        <f>IF(Wizards!$A$2="","",IF(OR(ISNUMBER(SEARCH(", "&amp;$B184&amp;", ", ", "&amp;INDEX('Form Responses'!$I$1:$Q$200,2,$A184)&amp;", ")),ISNUMBER(SEARCH(", "&amp;$B184&amp;", ", ", "&amp;INDEX('Form Responses'!$R$1:$R$200,2)&amp;", "))),1,""))</f>
        <v/>
      </c>
      <c r="E184">
        <f>IF(Wizards!$A$3="","",IF(OR(ISNUMBER(SEARCH(", "&amp;$B184&amp;", ", ", "&amp;INDEX('Form Responses'!$I$1:$Q$200,3,$A184)&amp;", ")),ISNUMBER(SEARCH(", "&amp;$B184&amp;", ", ", "&amp;INDEX('Form Responses'!$R$1:$R$200,3)&amp;", "))),1,""))</f>
        <v/>
      </c>
      <c r="F184">
        <f>IF(Wizards!$A$4="","",IF(OR(ISNUMBER(SEARCH(", "&amp;$B184&amp;", ", ", "&amp;INDEX('Form Responses'!$I$1:$Q$200,4,$A184)&amp;", ")),ISNUMBER(SEARCH(", "&amp;$B184&amp;", ", ", "&amp;INDEX('Form Responses'!$R$1:$R$200,4)&amp;", "))),1,""))</f>
        <v/>
      </c>
      <c r="G184">
        <f>IF(Wizards!$A$5="","",IF(OR(ISNUMBER(SEARCH(", "&amp;$B184&amp;", ", ", "&amp;INDEX('Form Responses'!$I$1:$Q$200,5,$A184)&amp;", ")),ISNUMBER(SEARCH(", "&amp;$B184&amp;", ", ", "&amp;INDEX('Form Responses'!$R$1:$R$200,5)&amp;", "))),1,""))</f>
        <v/>
      </c>
      <c r="H184">
        <f>IF(Wizards!$A$6="","",IF(OR(ISNUMBER(SEARCH(", "&amp;$B184&amp;", ", ", "&amp;INDEX('Form Responses'!$I$1:$Q$200,6,$A184)&amp;", ")),ISNUMBER(SEARCH(", "&amp;$B184&amp;", ", ", "&amp;INDEX('Form Responses'!$R$1:$R$200,6)&amp;", "))),1,""))</f>
        <v/>
      </c>
      <c r="I184">
        <f>IF(Wizards!$A$7="","",IF(OR(ISNUMBER(SEARCH(", "&amp;$B184&amp;", ", ", "&amp;INDEX('Form Responses'!$I$1:$Q$200,7,$A184)&amp;", ")),ISNUMBER(SEARCH(", "&amp;$B184&amp;", ", ", "&amp;INDEX('Form Responses'!$R$1:$R$200,7)&amp;", "))),1,""))</f>
        <v/>
      </c>
      <c r="J184">
        <f>IF(Wizards!$A$8="","",IF(OR(ISNUMBER(SEARCH(", "&amp;$B184&amp;", ", ", "&amp;INDEX('Form Responses'!$I$1:$Q$200,8,$A184)&amp;", ")),ISNUMBER(SEARCH(", "&amp;$B184&amp;", ", ", "&amp;INDEX('Form Responses'!$R$1:$R$200,8)&amp;", "))),1,""))</f>
        <v/>
      </c>
      <c r="K184">
        <f>IF(Wizards!$A$9="","",IF(OR(ISNUMBER(SEARCH(", "&amp;$B184&amp;", ", ", "&amp;INDEX('Form Responses'!$I$1:$Q$200,9,$A184)&amp;", ")),ISNUMBER(SEARCH(", "&amp;$B184&amp;", ", ", "&amp;INDEX('Form Responses'!$R$1:$R$200,9)&amp;", "))),1,""))</f>
        <v/>
      </c>
      <c r="L184">
        <f>IF(Wizards!$A$10="","",IF(OR(ISNUMBER(SEARCH(", "&amp;$B184&amp;", ", ", "&amp;INDEX('Form Responses'!$I$1:$Q$200,10,$A184)&amp;", ")),ISNUMBER(SEARCH(", "&amp;$B184&amp;", ", ", "&amp;INDEX('Form Responses'!$R$1:$R$200,10)&amp;", "))),1,""))</f>
        <v/>
      </c>
      <c r="M184">
        <f>IF(Wizards!$A$11="","",IF(OR(ISNUMBER(SEARCH(", "&amp;$B184&amp;", ", ", "&amp;INDEX('Form Responses'!$I$1:$Q$200,11,$A184)&amp;", ")),ISNUMBER(SEARCH(", "&amp;$B184&amp;", ", ", "&amp;INDEX('Form Responses'!$R$1:$R$200,11)&amp;", "))),1,""))</f>
        <v/>
      </c>
      <c r="N184">
        <f>IF(Wizards!$A$12="","",IF(OR(ISNUMBER(SEARCH(", "&amp;$B184&amp;", ", ", "&amp;INDEX('Form Responses'!$I$1:$Q$200,12,$A184)&amp;", ")),ISNUMBER(SEARCH(", "&amp;$B184&amp;", ", ", "&amp;INDEX('Form Responses'!$R$1:$R$200,12)&amp;", "))),1,""))</f>
        <v/>
      </c>
      <c r="O184">
        <f>IF(Wizards!$A$13="","",IF(OR(ISNUMBER(SEARCH(", "&amp;$B184&amp;", ", ", "&amp;INDEX('Form Responses'!$I$1:$Q$200,13,$A184)&amp;", ")),ISNUMBER(SEARCH(", "&amp;$B184&amp;", ", ", "&amp;INDEX('Form Responses'!$R$1:$R$200,13)&amp;", "))),1,""))</f>
        <v/>
      </c>
      <c r="P184">
        <f>IF(Wizards!$A$14="","",IF(OR(ISNUMBER(SEARCH(", "&amp;$B184&amp;", ", ", "&amp;INDEX('Form Responses'!$I$1:$Q$200,14,$A184)&amp;", ")),ISNUMBER(SEARCH(", "&amp;$B184&amp;", ", ", "&amp;INDEX('Form Responses'!$R$1:$R$200,14)&amp;", "))),1,""))</f>
        <v/>
      </c>
      <c r="Q184">
        <f>IF(Wizards!$A$15="","",IF(OR(ISNUMBER(SEARCH(", "&amp;$B184&amp;", ", ", "&amp;INDEX('Form Responses'!$I$1:$Q$200,15,$A184)&amp;", ")),ISNUMBER(SEARCH(", "&amp;$B184&amp;", ", ", "&amp;INDEX('Form Responses'!$R$1:$R$200,15)&amp;", "))),1,""))</f>
        <v/>
      </c>
      <c r="R184">
        <f>IF(Wizards!$A$16="","",IF(OR(ISNUMBER(SEARCH(", "&amp;$B184&amp;", ", ", "&amp;INDEX('Form Responses'!$I$1:$Q$200,16,$A184)&amp;", ")),ISNUMBER(SEARCH(", "&amp;$B184&amp;", ", ", "&amp;INDEX('Form Responses'!$R$1:$R$200,16)&amp;", "))),1,""))</f>
        <v/>
      </c>
      <c r="S184">
        <f>IF(Wizards!$A$17="","",IF(OR(ISNUMBER(SEARCH(", "&amp;$B184&amp;", ", ", "&amp;INDEX('Form Responses'!$I$1:$Q$200,17,$A184)&amp;", ")),ISNUMBER(SEARCH(", "&amp;$B184&amp;", ", ", "&amp;INDEX('Form Responses'!$R$1:$R$200,17)&amp;", "))),1,""))</f>
        <v/>
      </c>
      <c r="T184">
        <f>IF(Wizards!$A$18="","",IF(OR(ISNUMBER(SEARCH(", "&amp;$B184&amp;", ", ", "&amp;INDEX('Form Responses'!$I$1:$Q$200,18,$A184)&amp;", ")),ISNUMBER(SEARCH(", "&amp;$B184&amp;", ", ", "&amp;INDEX('Form Responses'!$R$1:$R$200,18)&amp;", "))),1,""))</f>
        <v/>
      </c>
      <c r="U184">
        <f>IF(Wizards!$A$19="","",IF(OR(ISNUMBER(SEARCH(", "&amp;$B184&amp;", ", ", "&amp;INDEX('Form Responses'!$I$1:$Q$200,19,$A184)&amp;", ")),ISNUMBER(SEARCH(", "&amp;$B184&amp;", ", ", "&amp;INDEX('Form Responses'!$R$1:$R$200,19)&amp;", "))),1,""))</f>
        <v/>
      </c>
      <c r="V184">
        <f>IF(Wizards!$A$20="","",IF(OR(ISNUMBER(SEARCH(", "&amp;$B184&amp;", ", ", "&amp;INDEX('Form Responses'!$I$1:$Q$200,20,$A184)&amp;", ")),ISNUMBER(SEARCH(", "&amp;$B184&amp;", ", ", "&amp;INDEX('Form Responses'!$R$1:$R$200,20)&amp;", "))),1,""))</f>
        <v/>
      </c>
      <c r="W184">
        <f>IF(Wizards!$A$21="","",IF(OR(ISNUMBER(SEARCH(", "&amp;$B184&amp;", ", ", "&amp;INDEX('Form Responses'!$I$1:$Q$200,21,$A184)&amp;", ")),ISNUMBER(SEARCH(", "&amp;$B184&amp;", ", ", "&amp;INDEX('Form Responses'!$R$1:$R$200,21)&amp;", "))),1,""))</f>
        <v/>
      </c>
      <c r="X184">
        <f>IF(Wizards!$A$22="","",IF(OR(ISNUMBER(SEARCH(", "&amp;$B184&amp;", ", ", "&amp;INDEX('Form Responses'!$I$1:$Q$200,22,$A184)&amp;", ")),ISNUMBER(SEARCH(", "&amp;$B184&amp;", ", ", "&amp;INDEX('Form Responses'!$R$1:$R$200,22)&amp;", "))),1,""))</f>
        <v/>
      </c>
      <c r="Y184">
        <f>IF(Wizards!$A$23="","",IF(OR(ISNUMBER(SEARCH(", "&amp;$B184&amp;", ", ", "&amp;INDEX('Form Responses'!$I$1:$Q$200,23,$A184)&amp;", ")),ISNUMBER(SEARCH(", "&amp;$B184&amp;", ", ", "&amp;INDEX('Form Responses'!$R$1:$R$200,23)&amp;", "))),1,""))</f>
        <v/>
      </c>
      <c r="Z184">
        <f>IF(Wizards!$A$24="","",IF(OR(ISNUMBER(SEARCH(", "&amp;$B184&amp;", ", ", "&amp;INDEX('Form Responses'!$I$1:$Q$200,24,$A184)&amp;", ")),ISNUMBER(SEARCH(", "&amp;$B184&amp;", ", ", "&amp;INDEX('Form Responses'!$R$1:$R$200,24)&amp;", "))),1,""))</f>
        <v/>
      </c>
      <c r="AA184">
        <f>IF(Wizards!$A$25="","",IF(OR(ISNUMBER(SEARCH(", "&amp;$B184&amp;", ", ", "&amp;INDEX('Form Responses'!$I$1:$Q$200,25,$A184)&amp;", ")),ISNUMBER(SEARCH(", "&amp;$B184&amp;", ", ", "&amp;INDEX('Form Responses'!$R$1:$R$200,25)&amp;", "))),1,""))</f>
        <v/>
      </c>
      <c r="AB184">
        <f>IF(D184=1,", "&amp;D$1,"")</f>
        <v/>
      </c>
      <c r="AC184">
        <f>IF(E184=1,", "&amp;E$1,"")</f>
        <v/>
      </c>
      <c r="AD184">
        <f>IF(F184=1,", "&amp;F$1,"")</f>
        <v/>
      </c>
      <c r="AE184">
        <f>IF(G184=1,", "&amp;G$1,"")</f>
        <v/>
      </c>
      <c r="AF184">
        <f>IF(H184=1,", "&amp;H$1,"")</f>
        <v/>
      </c>
      <c r="AG184">
        <f>IF(I184=1,", "&amp;I$1,"")</f>
        <v/>
      </c>
      <c r="AH184">
        <f>IF(J184=1,", "&amp;J$1,"")</f>
        <v/>
      </c>
      <c r="AI184">
        <f>IF(K184=1,", "&amp;K$1,"")</f>
        <v/>
      </c>
      <c r="AJ184">
        <f>IF(L184=1,", "&amp;L$1,"")</f>
        <v/>
      </c>
      <c r="AK184">
        <f>IF(M184=1,", "&amp;M$1,"")</f>
        <v/>
      </c>
      <c r="AL184">
        <f>IF(N184=1,", "&amp;N$1,"")</f>
        <v/>
      </c>
      <c r="AM184">
        <f>IF(O184=1,", "&amp;O$1,"")</f>
        <v/>
      </c>
      <c r="AN184">
        <f>IF(P184=1,", "&amp;P$1,"")</f>
        <v/>
      </c>
      <c r="AO184">
        <f>IF(Q184=1,", "&amp;Q$1,"")</f>
        <v/>
      </c>
      <c r="AP184">
        <f>IF(R184=1,", "&amp;R$1,"")</f>
        <v/>
      </c>
      <c r="AQ184">
        <f>IF(S184=1,", "&amp;S$1,"")</f>
        <v/>
      </c>
      <c r="AR184">
        <f>IF(T184=1,", "&amp;T$1,"")</f>
        <v/>
      </c>
      <c r="AS184">
        <f>IF(U184=1,", "&amp;U$1,"")</f>
        <v/>
      </c>
      <c r="AT184">
        <f>IF(V184=1,", "&amp;V$1,"")</f>
        <v/>
      </c>
      <c r="AU184">
        <f>IF(W184=1,", "&amp;W$1,"")</f>
        <v/>
      </c>
      <c r="AV184">
        <f>IF(X184=1,", "&amp;X$1,"")</f>
        <v/>
      </c>
      <c r="AW184">
        <f>IF(Y184=1,", "&amp;Y$1,"")</f>
        <v/>
      </c>
      <c r="AX184">
        <f>IF(Z184=1,", "&amp;Z$1,"")</f>
        <v/>
      </c>
      <c r="AY184">
        <f>IF(AA184=1,", "&amp;AA$1,"")</f>
        <v/>
      </c>
      <c r="AZ184">
        <f>MID($AB184&amp;$AC184&amp;$AD184&amp;$AE184&amp;$AF184&amp;$AG184&amp;$AH184&amp;$AI184&amp;$AJ184&amp;$AK184&amp;$AL184&amp;$AM184&amp;$AN184&amp;$AO184&amp;$AP184&amp;$AQ184&amp;$AR184&amp;$AS184&amp;$AT184&amp;$AU184&amp;$AV184&amp;$AW184&amp;$AX184&amp;$AY184,3,32767)</f>
        <v/>
      </c>
      <c r="BA184">
        <f>COUNT($D184:$AA184)</f>
        <v/>
      </c>
    </row>
    <row r="185">
      <c r="A185" t="n">
        <v>4</v>
      </c>
      <c r="B185" t="inlineStr">
        <is>
          <t>Otiluke's Resilient Sphere</t>
        </is>
      </c>
      <c r="C185" t="inlineStr">
        <is>
          <t>Abjuration</t>
        </is>
      </c>
      <c r="D185">
        <f>IF(Wizards!$A$2="","",IF(OR(ISNUMBER(SEARCH(", "&amp;$B185&amp;", ", ", "&amp;INDEX('Form Responses'!$I$1:$Q$200,2,$A185)&amp;", ")),ISNUMBER(SEARCH(", "&amp;$B185&amp;", ", ", "&amp;INDEX('Form Responses'!$R$1:$R$200,2)&amp;", "))),1,""))</f>
        <v/>
      </c>
      <c r="E185">
        <f>IF(Wizards!$A$3="","",IF(OR(ISNUMBER(SEARCH(", "&amp;$B185&amp;", ", ", "&amp;INDEX('Form Responses'!$I$1:$Q$200,3,$A185)&amp;", ")),ISNUMBER(SEARCH(", "&amp;$B185&amp;", ", ", "&amp;INDEX('Form Responses'!$R$1:$R$200,3)&amp;", "))),1,""))</f>
        <v/>
      </c>
      <c r="F185">
        <f>IF(Wizards!$A$4="","",IF(OR(ISNUMBER(SEARCH(", "&amp;$B185&amp;", ", ", "&amp;INDEX('Form Responses'!$I$1:$Q$200,4,$A185)&amp;", ")),ISNUMBER(SEARCH(", "&amp;$B185&amp;", ", ", "&amp;INDEX('Form Responses'!$R$1:$R$200,4)&amp;", "))),1,""))</f>
        <v/>
      </c>
      <c r="G185">
        <f>IF(Wizards!$A$5="","",IF(OR(ISNUMBER(SEARCH(", "&amp;$B185&amp;", ", ", "&amp;INDEX('Form Responses'!$I$1:$Q$200,5,$A185)&amp;", ")),ISNUMBER(SEARCH(", "&amp;$B185&amp;", ", ", "&amp;INDEX('Form Responses'!$R$1:$R$200,5)&amp;", "))),1,""))</f>
        <v/>
      </c>
      <c r="H185">
        <f>IF(Wizards!$A$6="","",IF(OR(ISNUMBER(SEARCH(", "&amp;$B185&amp;", ", ", "&amp;INDEX('Form Responses'!$I$1:$Q$200,6,$A185)&amp;", ")),ISNUMBER(SEARCH(", "&amp;$B185&amp;", ", ", "&amp;INDEX('Form Responses'!$R$1:$R$200,6)&amp;", "))),1,""))</f>
        <v/>
      </c>
      <c r="I185">
        <f>IF(Wizards!$A$7="","",IF(OR(ISNUMBER(SEARCH(", "&amp;$B185&amp;", ", ", "&amp;INDEX('Form Responses'!$I$1:$Q$200,7,$A185)&amp;", ")),ISNUMBER(SEARCH(", "&amp;$B185&amp;", ", ", "&amp;INDEX('Form Responses'!$R$1:$R$200,7)&amp;", "))),1,""))</f>
        <v/>
      </c>
      <c r="J185">
        <f>IF(Wizards!$A$8="","",IF(OR(ISNUMBER(SEARCH(", "&amp;$B185&amp;", ", ", "&amp;INDEX('Form Responses'!$I$1:$Q$200,8,$A185)&amp;", ")),ISNUMBER(SEARCH(", "&amp;$B185&amp;", ", ", "&amp;INDEX('Form Responses'!$R$1:$R$200,8)&amp;", "))),1,""))</f>
        <v/>
      </c>
      <c r="K185">
        <f>IF(Wizards!$A$9="","",IF(OR(ISNUMBER(SEARCH(", "&amp;$B185&amp;", ", ", "&amp;INDEX('Form Responses'!$I$1:$Q$200,9,$A185)&amp;", ")),ISNUMBER(SEARCH(", "&amp;$B185&amp;", ", ", "&amp;INDEX('Form Responses'!$R$1:$R$200,9)&amp;", "))),1,""))</f>
        <v/>
      </c>
      <c r="L185">
        <f>IF(Wizards!$A$10="","",IF(OR(ISNUMBER(SEARCH(", "&amp;$B185&amp;", ", ", "&amp;INDEX('Form Responses'!$I$1:$Q$200,10,$A185)&amp;", ")),ISNUMBER(SEARCH(", "&amp;$B185&amp;", ", ", "&amp;INDEX('Form Responses'!$R$1:$R$200,10)&amp;", "))),1,""))</f>
        <v/>
      </c>
      <c r="M185">
        <f>IF(Wizards!$A$11="","",IF(OR(ISNUMBER(SEARCH(", "&amp;$B185&amp;", ", ", "&amp;INDEX('Form Responses'!$I$1:$Q$200,11,$A185)&amp;", ")),ISNUMBER(SEARCH(", "&amp;$B185&amp;", ", ", "&amp;INDEX('Form Responses'!$R$1:$R$200,11)&amp;", "))),1,""))</f>
        <v/>
      </c>
      <c r="N185">
        <f>IF(Wizards!$A$12="","",IF(OR(ISNUMBER(SEARCH(", "&amp;$B185&amp;", ", ", "&amp;INDEX('Form Responses'!$I$1:$Q$200,12,$A185)&amp;", ")),ISNUMBER(SEARCH(", "&amp;$B185&amp;", ", ", "&amp;INDEX('Form Responses'!$R$1:$R$200,12)&amp;", "))),1,""))</f>
        <v/>
      </c>
      <c r="O185">
        <f>IF(Wizards!$A$13="","",IF(OR(ISNUMBER(SEARCH(", "&amp;$B185&amp;", ", ", "&amp;INDEX('Form Responses'!$I$1:$Q$200,13,$A185)&amp;", ")),ISNUMBER(SEARCH(", "&amp;$B185&amp;", ", ", "&amp;INDEX('Form Responses'!$R$1:$R$200,13)&amp;", "))),1,""))</f>
        <v/>
      </c>
      <c r="P185">
        <f>IF(Wizards!$A$14="","",IF(OR(ISNUMBER(SEARCH(", "&amp;$B185&amp;", ", ", "&amp;INDEX('Form Responses'!$I$1:$Q$200,14,$A185)&amp;", ")),ISNUMBER(SEARCH(", "&amp;$B185&amp;", ", ", "&amp;INDEX('Form Responses'!$R$1:$R$200,14)&amp;", "))),1,""))</f>
        <v/>
      </c>
      <c r="Q185">
        <f>IF(Wizards!$A$15="","",IF(OR(ISNUMBER(SEARCH(", "&amp;$B185&amp;", ", ", "&amp;INDEX('Form Responses'!$I$1:$Q$200,15,$A185)&amp;", ")),ISNUMBER(SEARCH(", "&amp;$B185&amp;", ", ", "&amp;INDEX('Form Responses'!$R$1:$R$200,15)&amp;", "))),1,""))</f>
        <v/>
      </c>
      <c r="R185">
        <f>IF(Wizards!$A$16="","",IF(OR(ISNUMBER(SEARCH(", "&amp;$B185&amp;", ", ", "&amp;INDEX('Form Responses'!$I$1:$Q$200,16,$A185)&amp;", ")),ISNUMBER(SEARCH(", "&amp;$B185&amp;", ", ", "&amp;INDEX('Form Responses'!$R$1:$R$200,16)&amp;", "))),1,""))</f>
        <v/>
      </c>
      <c r="S185">
        <f>IF(Wizards!$A$17="","",IF(OR(ISNUMBER(SEARCH(", "&amp;$B185&amp;", ", ", "&amp;INDEX('Form Responses'!$I$1:$Q$200,17,$A185)&amp;", ")),ISNUMBER(SEARCH(", "&amp;$B185&amp;", ", ", "&amp;INDEX('Form Responses'!$R$1:$R$200,17)&amp;", "))),1,""))</f>
        <v/>
      </c>
      <c r="T185">
        <f>IF(Wizards!$A$18="","",IF(OR(ISNUMBER(SEARCH(", "&amp;$B185&amp;", ", ", "&amp;INDEX('Form Responses'!$I$1:$Q$200,18,$A185)&amp;", ")),ISNUMBER(SEARCH(", "&amp;$B185&amp;", ", ", "&amp;INDEX('Form Responses'!$R$1:$R$200,18)&amp;", "))),1,""))</f>
        <v/>
      </c>
      <c r="U185">
        <f>IF(Wizards!$A$19="","",IF(OR(ISNUMBER(SEARCH(", "&amp;$B185&amp;", ", ", "&amp;INDEX('Form Responses'!$I$1:$Q$200,19,$A185)&amp;", ")),ISNUMBER(SEARCH(", "&amp;$B185&amp;", ", ", "&amp;INDEX('Form Responses'!$R$1:$R$200,19)&amp;", "))),1,""))</f>
        <v/>
      </c>
      <c r="V185">
        <f>IF(Wizards!$A$20="","",IF(OR(ISNUMBER(SEARCH(", "&amp;$B185&amp;", ", ", "&amp;INDEX('Form Responses'!$I$1:$Q$200,20,$A185)&amp;", ")),ISNUMBER(SEARCH(", "&amp;$B185&amp;", ", ", "&amp;INDEX('Form Responses'!$R$1:$R$200,20)&amp;", "))),1,""))</f>
        <v/>
      </c>
      <c r="W185">
        <f>IF(Wizards!$A$21="","",IF(OR(ISNUMBER(SEARCH(", "&amp;$B185&amp;", ", ", "&amp;INDEX('Form Responses'!$I$1:$Q$200,21,$A185)&amp;", ")),ISNUMBER(SEARCH(", "&amp;$B185&amp;", ", ", "&amp;INDEX('Form Responses'!$R$1:$R$200,21)&amp;", "))),1,""))</f>
        <v/>
      </c>
      <c r="X185">
        <f>IF(Wizards!$A$22="","",IF(OR(ISNUMBER(SEARCH(", "&amp;$B185&amp;", ", ", "&amp;INDEX('Form Responses'!$I$1:$Q$200,22,$A185)&amp;", ")),ISNUMBER(SEARCH(", "&amp;$B185&amp;", ", ", "&amp;INDEX('Form Responses'!$R$1:$R$200,22)&amp;", "))),1,""))</f>
        <v/>
      </c>
      <c r="Y185">
        <f>IF(Wizards!$A$23="","",IF(OR(ISNUMBER(SEARCH(", "&amp;$B185&amp;", ", ", "&amp;INDEX('Form Responses'!$I$1:$Q$200,23,$A185)&amp;", ")),ISNUMBER(SEARCH(", "&amp;$B185&amp;", ", ", "&amp;INDEX('Form Responses'!$R$1:$R$200,23)&amp;", "))),1,""))</f>
        <v/>
      </c>
      <c r="Z185">
        <f>IF(Wizards!$A$24="","",IF(OR(ISNUMBER(SEARCH(", "&amp;$B185&amp;", ", ", "&amp;INDEX('Form Responses'!$I$1:$Q$200,24,$A185)&amp;", ")),ISNUMBER(SEARCH(", "&amp;$B185&amp;", ", ", "&amp;INDEX('Form Responses'!$R$1:$R$200,24)&amp;", "))),1,""))</f>
        <v/>
      </c>
      <c r="AA185">
        <f>IF(Wizards!$A$25="","",IF(OR(ISNUMBER(SEARCH(", "&amp;$B185&amp;", ", ", "&amp;INDEX('Form Responses'!$I$1:$Q$200,25,$A185)&amp;", ")),ISNUMBER(SEARCH(", "&amp;$B185&amp;", ", ", "&amp;INDEX('Form Responses'!$R$1:$R$200,25)&amp;", "))),1,""))</f>
        <v/>
      </c>
      <c r="AB185">
        <f>IF(D185=1,", "&amp;D$1,"")</f>
        <v/>
      </c>
      <c r="AC185">
        <f>IF(E185=1,", "&amp;E$1,"")</f>
        <v/>
      </c>
      <c r="AD185">
        <f>IF(F185=1,", "&amp;F$1,"")</f>
        <v/>
      </c>
      <c r="AE185">
        <f>IF(G185=1,", "&amp;G$1,"")</f>
        <v/>
      </c>
      <c r="AF185">
        <f>IF(H185=1,", "&amp;H$1,"")</f>
        <v/>
      </c>
      <c r="AG185">
        <f>IF(I185=1,", "&amp;I$1,"")</f>
        <v/>
      </c>
      <c r="AH185">
        <f>IF(J185=1,", "&amp;J$1,"")</f>
        <v/>
      </c>
      <c r="AI185">
        <f>IF(K185=1,", "&amp;K$1,"")</f>
        <v/>
      </c>
      <c r="AJ185">
        <f>IF(L185=1,", "&amp;L$1,"")</f>
        <v/>
      </c>
      <c r="AK185">
        <f>IF(M185=1,", "&amp;M$1,"")</f>
        <v/>
      </c>
      <c r="AL185">
        <f>IF(N185=1,", "&amp;N$1,"")</f>
        <v/>
      </c>
      <c r="AM185">
        <f>IF(O185=1,", "&amp;O$1,"")</f>
        <v/>
      </c>
      <c r="AN185">
        <f>IF(P185=1,", "&amp;P$1,"")</f>
        <v/>
      </c>
      <c r="AO185">
        <f>IF(Q185=1,", "&amp;Q$1,"")</f>
        <v/>
      </c>
      <c r="AP185">
        <f>IF(R185=1,", "&amp;R$1,"")</f>
        <v/>
      </c>
      <c r="AQ185">
        <f>IF(S185=1,", "&amp;S$1,"")</f>
        <v/>
      </c>
      <c r="AR185">
        <f>IF(T185=1,", "&amp;T$1,"")</f>
        <v/>
      </c>
      <c r="AS185">
        <f>IF(U185=1,", "&amp;U$1,"")</f>
        <v/>
      </c>
      <c r="AT185">
        <f>IF(V185=1,", "&amp;V$1,"")</f>
        <v/>
      </c>
      <c r="AU185">
        <f>IF(W185=1,", "&amp;W$1,"")</f>
        <v/>
      </c>
      <c r="AV185">
        <f>IF(X185=1,", "&amp;X$1,"")</f>
        <v/>
      </c>
      <c r="AW185">
        <f>IF(Y185=1,", "&amp;Y$1,"")</f>
        <v/>
      </c>
      <c r="AX185">
        <f>IF(Z185=1,", "&amp;Z$1,"")</f>
        <v/>
      </c>
      <c r="AY185">
        <f>IF(AA185=1,", "&amp;AA$1,"")</f>
        <v/>
      </c>
      <c r="AZ185">
        <f>MID($AB185&amp;$AC185&amp;$AD185&amp;$AE185&amp;$AF185&amp;$AG185&amp;$AH185&amp;$AI185&amp;$AJ185&amp;$AK185&amp;$AL185&amp;$AM185&amp;$AN185&amp;$AO185&amp;$AP185&amp;$AQ185&amp;$AR185&amp;$AS185&amp;$AT185&amp;$AU185&amp;$AV185&amp;$AW185&amp;$AX185&amp;$AY185,3,32767)</f>
        <v/>
      </c>
      <c r="BA185">
        <f>COUNT($D185:$AA185)</f>
        <v/>
      </c>
    </row>
    <row r="186">
      <c r="A186" t="n">
        <v>4</v>
      </c>
      <c r="B186" t="inlineStr">
        <is>
          <t>Phantasmal Killer</t>
        </is>
      </c>
      <c r="C186" t="inlineStr">
        <is>
          <t>Illusion</t>
        </is>
      </c>
      <c r="D186">
        <f>IF(Wizards!$A$2="","",IF(OR(ISNUMBER(SEARCH(", "&amp;$B186&amp;", ", ", "&amp;INDEX('Form Responses'!$I$1:$Q$200,2,$A186)&amp;", ")),ISNUMBER(SEARCH(", "&amp;$B186&amp;", ", ", "&amp;INDEX('Form Responses'!$R$1:$R$200,2)&amp;", "))),1,""))</f>
        <v/>
      </c>
      <c r="E186">
        <f>IF(Wizards!$A$3="","",IF(OR(ISNUMBER(SEARCH(", "&amp;$B186&amp;", ", ", "&amp;INDEX('Form Responses'!$I$1:$Q$200,3,$A186)&amp;", ")),ISNUMBER(SEARCH(", "&amp;$B186&amp;", ", ", "&amp;INDEX('Form Responses'!$R$1:$R$200,3)&amp;", "))),1,""))</f>
        <v/>
      </c>
      <c r="F186">
        <f>IF(Wizards!$A$4="","",IF(OR(ISNUMBER(SEARCH(", "&amp;$B186&amp;", ", ", "&amp;INDEX('Form Responses'!$I$1:$Q$200,4,$A186)&amp;", ")),ISNUMBER(SEARCH(", "&amp;$B186&amp;", ", ", "&amp;INDEX('Form Responses'!$R$1:$R$200,4)&amp;", "))),1,""))</f>
        <v/>
      </c>
      <c r="G186">
        <f>IF(Wizards!$A$5="","",IF(OR(ISNUMBER(SEARCH(", "&amp;$B186&amp;", ", ", "&amp;INDEX('Form Responses'!$I$1:$Q$200,5,$A186)&amp;", ")),ISNUMBER(SEARCH(", "&amp;$B186&amp;", ", ", "&amp;INDEX('Form Responses'!$R$1:$R$200,5)&amp;", "))),1,""))</f>
        <v/>
      </c>
      <c r="H186">
        <f>IF(Wizards!$A$6="","",IF(OR(ISNUMBER(SEARCH(", "&amp;$B186&amp;", ", ", "&amp;INDEX('Form Responses'!$I$1:$Q$200,6,$A186)&amp;", ")),ISNUMBER(SEARCH(", "&amp;$B186&amp;", ", ", "&amp;INDEX('Form Responses'!$R$1:$R$200,6)&amp;", "))),1,""))</f>
        <v/>
      </c>
      <c r="I186">
        <f>IF(Wizards!$A$7="","",IF(OR(ISNUMBER(SEARCH(", "&amp;$B186&amp;", ", ", "&amp;INDEX('Form Responses'!$I$1:$Q$200,7,$A186)&amp;", ")),ISNUMBER(SEARCH(", "&amp;$B186&amp;", ", ", "&amp;INDEX('Form Responses'!$R$1:$R$200,7)&amp;", "))),1,""))</f>
        <v/>
      </c>
      <c r="J186">
        <f>IF(Wizards!$A$8="","",IF(OR(ISNUMBER(SEARCH(", "&amp;$B186&amp;", ", ", "&amp;INDEX('Form Responses'!$I$1:$Q$200,8,$A186)&amp;", ")),ISNUMBER(SEARCH(", "&amp;$B186&amp;", ", ", "&amp;INDEX('Form Responses'!$R$1:$R$200,8)&amp;", "))),1,""))</f>
        <v/>
      </c>
      <c r="K186">
        <f>IF(Wizards!$A$9="","",IF(OR(ISNUMBER(SEARCH(", "&amp;$B186&amp;", ", ", "&amp;INDEX('Form Responses'!$I$1:$Q$200,9,$A186)&amp;", ")),ISNUMBER(SEARCH(", "&amp;$B186&amp;", ", ", "&amp;INDEX('Form Responses'!$R$1:$R$200,9)&amp;", "))),1,""))</f>
        <v/>
      </c>
      <c r="L186">
        <f>IF(Wizards!$A$10="","",IF(OR(ISNUMBER(SEARCH(", "&amp;$B186&amp;", ", ", "&amp;INDEX('Form Responses'!$I$1:$Q$200,10,$A186)&amp;", ")),ISNUMBER(SEARCH(", "&amp;$B186&amp;", ", ", "&amp;INDEX('Form Responses'!$R$1:$R$200,10)&amp;", "))),1,""))</f>
        <v/>
      </c>
      <c r="M186">
        <f>IF(Wizards!$A$11="","",IF(OR(ISNUMBER(SEARCH(", "&amp;$B186&amp;", ", ", "&amp;INDEX('Form Responses'!$I$1:$Q$200,11,$A186)&amp;", ")),ISNUMBER(SEARCH(", "&amp;$B186&amp;", ", ", "&amp;INDEX('Form Responses'!$R$1:$R$200,11)&amp;", "))),1,""))</f>
        <v/>
      </c>
      <c r="N186">
        <f>IF(Wizards!$A$12="","",IF(OR(ISNUMBER(SEARCH(", "&amp;$B186&amp;", ", ", "&amp;INDEX('Form Responses'!$I$1:$Q$200,12,$A186)&amp;", ")),ISNUMBER(SEARCH(", "&amp;$B186&amp;", ", ", "&amp;INDEX('Form Responses'!$R$1:$R$200,12)&amp;", "))),1,""))</f>
        <v/>
      </c>
      <c r="O186">
        <f>IF(Wizards!$A$13="","",IF(OR(ISNUMBER(SEARCH(", "&amp;$B186&amp;", ", ", "&amp;INDEX('Form Responses'!$I$1:$Q$200,13,$A186)&amp;", ")),ISNUMBER(SEARCH(", "&amp;$B186&amp;", ", ", "&amp;INDEX('Form Responses'!$R$1:$R$200,13)&amp;", "))),1,""))</f>
        <v/>
      </c>
      <c r="P186">
        <f>IF(Wizards!$A$14="","",IF(OR(ISNUMBER(SEARCH(", "&amp;$B186&amp;", ", ", "&amp;INDEX('Form Responses'!$I$1:$Q$200,14,$A186)&amp;", ")),ISNUMBER(SEARCH(", "&amp;$B186&amp;", ", ", "&amp;INDEX('Form Responses'!$R$1:$R$200,14)&amp;", "))),1,""))</f>
        <v/>
      </c>
      <c r="Q186">
        <f>IF(Wizards!$A$15="","",IF(OR(ISNUMBER(SEARCH(", "&amp;$B186&amp;", ", ", "&amp;INDEX('Form Responses'!$I$1:$Q$200,15,$A186)&amp;", ")),ISNUMBER(SEARCH(", "&amp;$B186&amp;", ", ", "&amp;INDEX('Form Responses'!$R$1:$R$200,15)&amp;", "))),1,""))</f>
        <v/>
      </c>
      <c r="R186">
        <f>IF(Wizards!$A$16="","",IF(OR(ISNUMBER(SEARCH(", "&amp;$B186&amp;", ", ", "&amp;INDEX('Form Responses'!$I$1:$Q$200,16,$A186)&amp;", ")),ISNUMBER(SEARCH(", "&amp;$B186&amp;", ", ", "&amp;INDEX('Form Responses'!$R$1:$R$200,16)&amp;", "))),1,""))</f>
        <v/>
      </c>
      <c r="S186">
        <f>IF(Wizards!$A$17="","",IF(OR(ISNUMBER(SEARCH(", "&amp;$B186&amp;", ", ", "&amp;INDEX('Form Responses'!$I$1:$Q$200,17,$A186)&amp;", ")),ISNUMBER(SEARCH(", "&amp;$B186&amp;", ", ", "&amp;INDEX('Form Responses'!$R$1:$R$200,17)&amp;", "))),1,""))</f>
        <v/>
      </c>
      <c r="T186">
        <f>IF(Wizards!$A$18="","",IF(OR(ISNUMBER(SEARCH(", "&amp;$B186&amp;", ", ", "&amp;INDEX('Form Responses'!$I$1:$Q$200,18,$A186)&amp;", ")),ISNUMBER(SEARCH(", "&amp;$B186&amp;", ", ", "&amp;INDEX('Form Responses'!$R$1:$R$200,18)&amp;", "))),1,""))</f>
        <v/>
      </c>
      <c r="U186">
        <f>IF(Wizards!$A$19="","",IF(OR(ISNUMBER(SEARCH(", "&amp;$B186&amp;", ", ", "&amp;INDEX('Form Responses'!$I$1:$Q$200,19,$A186)&amp;", ")),ISNUMBER(SEARCH(", "&amp;$B186&amp;", ", ", "&amp;INDEX('Form Responses'!$R$1:$R$200,19)&amp;", "))),1,""))</f>
        <v/>
      </c>
      <c r="V186">
        <f>IF(Wizards!$A$20="","",IF(OR(ISNUMBER(SEARCH(", "&amp;$B186&amp;", ", ", "&amp;INDEX('Form Responses'!$I$1:$Q$200,20,$A186)&amp;", ")),ISNUMBER(SEARCH(", "&amp;$B186&amp;", ", ", "&amp;INDEX('Form Responses'!$R$1:$R$200,20)&amp;", "))),1,""))</f>
        <v/>
      </c>
      <c r="W186">
        <f>IF(Wizards!$A$21="","",IF(OR(ISNUMBER(SEARCH(", "&amp;$B186&amp;", ", ", "&amp;INDEX('Form Responses'!$I$1:$Q$200,21,$A186)&amp;", ")),ISNUMBER(SEARCH(", "&amp;$B186&amp;", ", ", "&amp;INDEX('Form Responses'!$R$1:$R$200,21)&amp;", "))),1,""))</f>
        <v/>
      </c>
      <c r="X186">
        <f>IF(Wizards!$A$22="","",IF(OR(ISNUMBER(SEARCH(", "&amp;$B186&amp;", ", ", "&amp;INDEX('Form Responses'!$I$1:$Q$200,22,$A186)&amp;", ")),ISNUMBER(SEARCH(", "&amp;$B186&amp;", ", ", "&amp;INDEX('Form Responses'!$R$1:$R$200,22)&amp;", "))),1,""))</f>
        <v/>
      </c>
      <c r="Y186">
        <f>IF(Wizards!$A$23="","",IF(OR(ISNUMBER(SEARCH(", "&amp;$B186&amp;", ", ", "&amp;INDEX('Form Responses'!$I$1:$Q$200,23,$A186)&amp;", ")),ISNUMBER(SEARCH(", "&amp;$B186&amp;", ", ", "&amp;INDEX('Form Responses'!$R$1:$R$200,23)&amp;", "))),1,""))</f>
        <v/>
      </c>
      <c r="Z186">
        <f>IF(Wizards!$A$24="","",IF(OR(ISNUMBER(SEARCH(", "&amp;$B186&amp;", ", ", "&amp;INDEX('Form Responses'!$I$1:$Q$200,24,$A186)&amp;", ")),ISNUMBER(SEARCH(", "&amp;$B186&amp;", ", ", "&amp;INDEX('Form Responses'!$R$1:$R$200,24)&amp;", "))),1,""))</f>
        <v/>
      </c>
      <c r="AA186">
        <f>IF(Wizards!$A$25="","",IF(OR(ISNUMBER(SEARCH(", "&amp;$B186&amp;", ", ", "&amp;INDEX('Form Responses'!$I$1:$Q$200,25,$A186)&amp;", ")),ISNUMBER(SEARCH(", "&amp;$B186&amp;", ", ", "&amp;INDEX('Form Responses'!$R$1:$R$200,25)&amp;", "))),1,""))</f>
        <v/>
      </c>
      <c r="AB186">
        <f>IF(D186=1,", "&amp;D$1,"")</f>
        <v/>
      </c>
      <c r="AC186">
        <f>IF(E186=1,", "&amp;E$1,"")</f>
        <v/>
      </c>
      <c r="AD186">
        <f>IF(F186=1,", "&amp;F$1,"")</f>
        <v/>
      </c>
      <c r="AE186">
        <f>IF(G186=1,", "&amp;G$1,"")</f>
        <v/>
      </c>
      <c r="AF186">
        <f>IF(H186=1,", "&amp;H$1,"")</f>
        <v/>
      </c>
      <c r="AG186">
        <f>IF(I186=1,", "&amp;I$1,"")</f>
        <v/>
      </c>
      <c r="AH186">
        <f>IF(J186=1,", "&amp;J$1,"")</f>
        <v/>
      </c>
      <c r="AI186">
        <f>IF(K186=1,", "&amp;K$1,"")</f>
        <v/>
      </c>
      <c r="AJ186">
        <f>IF(L186=1,", "&amp;L$1,"")</f>
        <v/>
      </c>
      <c r="AK186">
        <f>IF(M186=1,", "&amp;M$1,"")</f>
        <v/>
      </c>
      <c r="AL186">
        <f>IF(N186=1,", "&amp;N$1,"")</f>
        <v/>
      </c>
      <c r="AM186">
        <f>IF(O186=1,", "&amp;O$1,"")</f>
        <v/>
      </c>
      <c r="AN186">
        <f>IF(P186=1,", "&amp;P$1,"")</f>
        <v/>
      </c>
      <c r="AO186">
        <f>IF(Q186=1,", "&amp;Q$1,"")</f>
        <v/>
      </c>
      <c r="AP186">
        <f>IF(R186=1,", "&amp;R$1,"")</f>
        <v/>
      </c>
      <c r="AQ186">
        <f>IF(S186=1,", "&amp;S$1,"")</f>
        <v/>
      </c>
      <c r="AR186">
        <f>IF(T186=1,", "&amp;T$1,"")</f>
        <v/>
      </c>
      <c r="AS186">
        <f>IF(U186=1,", "&amp;U$1,"")</f>
        <v/>
      </c>
      <c r="AT186">
        <f>IF(V186=1,", "&amp;V$1,"")</f>
        <v/>
      </c>
      <c r="AU186">
        <f>IF(W186=1,", "&amp;W$1,"")</f>
        <v/>
      </c>
      <c r="AV186">
        <f>IF(X186=1,", "&amp;X$1,"")</f>
        <v/>
      </c>
      <c r="AW186">
        <f>IF(Y186=1,", "&amp;Y$1,"")</f>
        <v/>
      </c>
      <c r="AX186">
        <f>IF(Z186=1,", "&amp;Z$1,"")</f>
        <v/>
      </c>
      <c r="AY186">
        <f>IF(AA186=1,", "&amp;AA$1,"")</f>
        <v/>
      </c>
      <c r="AZ186">
        <f>MID($AB186&amp;$AC186&amp;$AD186&amp;$AE186&amp;$AF186&amp;$AG186&amp;$AH186&amp;$AI186&amp;$AJ186&amp;$AK186&amp;$AL186&amp;$AM186&amp;$AN186&amp;$AO186&amp;$AP186&amp;$AQ186&amp;$AR186&amp;$AS186&amp;$AT186&amp;$AU186&amp;$AV186&amp;$AW186&amp;$AX186&amp;$AY186,3,32767)</f>
        <v/>
      </c>
      <c r="BA186">
        <f>COUNT($D186:$AA186)</f>
        <v/>
      </c>
    </row>
    <row r="187">
      <c r="A187" t="n">
        <v>4</v>
      </c>
      <c r="B187" t="inlineStr">
        <is>
          <t>Polymorph</t>
        </is>
      </c>
      <c r="C187" t="inlineStr">
        <is>
          <t>Transmutation</t>
        </is>
      </c>
      <c r="D187">
        <f>IF(Wizards!$A$2="","",IF(OR(ISNUMBER(SEARCH(", "&amp;$B187&amp;", ", ", "&amp;INDEX('Form Responses'!$I$1:$Q$200,2,$A187)&amp;", ")),ISNUMBER(SEARCH(", "&amp;$B187&amp;", ", ", "&amp;INDEX('Form Responses'!$R$1:$R$200,2)&amp;", "))),1,""))</f>
        <v/>
      </c>
      <c r="E187">
        <f>IF(Wizards!$A$3="","",IF(OR(ISNUMBER(SEARCH(", "&amp;$B187&amp;", ", ", "&amp;INDEX('Form Responses'!$I$1:$Q$200,3,$A187)&amp;", ")),ISNUMBER(SEARCH(", "&amp;$B187&amp;", ", ", "&amp;INDEX('Form Responses'!$R$1:$R$200,3)&amp;", "))),1,""))</f>
        <v/>
      </c>
      <c r="F187">
        <f>IF(Wizards!$A$4="","",IF(OR(ISNUMBER(SEARCH(", "&amp;$B187&amp;", ", ", "&amp;INDEX('Form Responses'!$I$1:$Q$200,4,$A187)&amp;", ")),ISNUMBER(SEARCH(", "&amp;$B187&amp;", ", ", "&amp;INDEX('Form Responses'!$R$1:$R$200,4)&amp;", "))),1,""))</f>
        <v/>
      </c>
      <c r="G187">
        <f>IF(Wizards!$A$5="","",IF(OR(ISNUMBER(SEARCH(", "&amp;$B187&amp;", ", ", "&amp;INDEX('Form Responses'!$I$1:$Q$200,5,$A187)&amp;", ")),ISNUMBER(SEARCH(", "&amp;$B187&amp;", ", ", "&amp;INDEX('Form Responses'!$R$1:$R$200,5)&amp;", "))),1,""))</f>
        <v/>
      </c>
      <c r="H187">
        <f>IF(Wizards!$A$6="","",IF(OR(ISNUMBER(SEARCH(", "&amp;$B187&amp;", ", ", "&amp;INDEX('Form Responses'!$I$1:$Q$200,6,$A187)&amp;", ")),ISNUMBER(SEARCH(", "&amp;$B187&amp;", ", ", "&amp;INDEX('Form Responses'!$R$1:$R$200,6)&amp;", "))),1,""))</f>
        <v/>
      </c>
      <c r="I187">
        <f>IF(Wizards!$A$7="","",IF(OR(ISNUMBER(SEARCH(", "&amp;$B187&amp;", ", ", "&amp;INDEX('Form Responses'!$I$1:$Q$200,7,$A187)&amp;", ")),ISNUMBER(SEARCH(", "&amp;$B187&amp;", ", ", "&amp;INDEX('Form Responses'!$R$1:$R$200,7)&amp;", "))),1,""))</f>
        <v/>
      </c>
      <c r="J187">
        <f>IF(Wizards!$A$8="","",IF(OR(ISNUMBER(SEARCH(", "&amp;$B187&amp;", ", ", "&amp;INDEX('Form Responses'!$I$1:$Q$200,8,$A187)&amp;", ")),ISNUMBER(SEARCH(", "&amp;$B187&amp;", ", ", "&amp;INDEX('Form Responses'!$R$1:$R$200,8)&amp;", "))),1,""))</f>
        <v/>
      </c>
      <c r="K187">
        <f>IF(Wizards!$A$9="","",IF(OR(ISNUMBER(SEARCH(", "&amp;$B187&amp;", ", ", "&amp;INDEX('Form Responses'!$I$1:$Q$200,9,$A187)&amp;", ")),ISNUMBER(SEARCH(", "&amp;$B187&amp;", ", ", "&amp;INDEX('Form Responses'!$R$1:$R$200,9)&amp;", "))),1,""))</f>
        <v/>
      </c>
      <c r="L187">
        <f>IF(Wizards!$A$10="","",IF(OR(ISNUMBER(SEARCH(", "&amp;$B187&amp;", ", ", "&amp;INDEX('Form Responses'!$I$1:$Q$200,10,$A187)&amp;", ")),ISNUMBER(SEARCH(", "&amp;$B187&amp;", ", ", "&amp;INDEX('Form Responses'!$R$1:$R$200,10)&amp;", "))),1,""))</f>
        <v/>
      </c>
      <c r="M187">
        <f>IF(Wizards!$A$11="","",IF(OR(ISNUMBER(SEARCH(", "&amp;$B187&amp;", ", ", "&amp;INDEX('Form Responses'!$I$1:$Q$200,11,$A187)&amp;", ")),ISNUMBER(SEARCH(", "&amp;$B187&amp;", ", ", "&amp;INDEX('Form Responses'!$R$1:$R$200,11)&amp;", "))),1,""))</f>
        <v/>
      </c>
      <c r="N187">
        <f>IF(Wizards!$A$12="","",IF(OR(ISNUMBER(SEARCH(", "&amp;$B187&amp;", ", ", "&amp;INDEX('Form Responses'!$I$1:$Q$200,12,$A187)&amp;", ")),ISNUMBER(SEARCH(", "&amp;$B187&amp;", ", ", "&amp;INDEX('Form Responses'!$R$1:$R$200,12)&amp;", "))),1,""))</f>
        <v/>
      </c>
      <c r="O187">
        <f>IF(Wizards!$A$13="","",IF(OR(ISNUMBER(SEARCH(", "&amp;$B187&amp;", ", ", "&amp;INDEX('Form Responses'!$I$1:$Q$200,13,$A187)&amp;", ")),ISNUMBER(SEARCH(", "&amp;$B187&amp;", ", ", "&amp;INDEX('Form Responses'!$R$1:$R$200,13)&amp;", "))),1,""))</f>
        <v/>
      </c>
      <c r="P187">
        <f>IF(Wizards!$A$14="","",IF(OR(ISNUMBER(SEARCH(", "&amp;$B187&amp;", ", ", "&amp;INDEX('Form Responses'!$I$1:$Q$200,14,$A187)&amp;", ")),ISNUMBER(SEARCH(", "&amp;$B187&amp;", ", ", "&amp;INDEX('Form Responses'!$R$1:$R$200,14)&amp;", "))),1,""))</f>
        <v/>
      </c>
      <c r="Q187">
        <f>IF(Wizards!$A$15="","",IF(OR(ISNUMBER(SEARCH(", "&amp;$B187&amp;", ", ", "&amp;INDEX('Form Responses'!$I$1:$Q$200,15,$A187)&amp;", ")),ISNUMBER(SEARCH(", "&amp;$B187&amp;", ", ", "&amp;INDEX('Form Responses'!$R$1:$R$200,15)&amp;", "))),1,""))</f>
        <v/>
      </c>
      <c r="R187">
        <f>IF(Wizards!$A$16="","",IF(OR(ISNUMBER(SEARCH(", "&amp;$B187&amp;", ", ", "&amp;INDEX('Form Responses'!$I$1:$Q$200,16,$A187)&amp;", ")),ISNUMBER(SEARCH(", "&amp;$B187&amp;", ", ", "&amp;INDEX('Form Responses'!$R$1:$R$200,16)&amp;", "))),1,""))</f>
        <v/>
      </c>
      <c r="S187">
        <f>IF(Wizards!$A$17="","",IF(OR(ISNUMBER(SEARCH(", "&amp;$B187&amp;", ", ", "&amp;INDEX('Form Responses'!$I$1:$Q$200,17,$A187)&amp;", ")),ISNUMBER(SEARCH(", "&amp;$B187&amp;", ", ", "&amp;INDEX('Form Responses'!$R$1:$R$200,17)&amp;", "))),1,""))</f>
        <v/>
      </c>
      <c r="T187">
        <f>IF(Wizards!$A$18="","",IF(OR(ISNUMBER(SEARCH(", "&amp;$B187&amp;", ", ", "&amp;INDEX('Form Responses'!$I$1:$Q$200,18,$A187)&amp;", ")),ISNUMBER(SEARCH(", "&amp;$B187&amp;", ", ", "&amp;INDEX('Form Responses'!$R$1:$R$200,18)&amp;", "))),1,""))</f>
        <v/>
      </c>
      <c r="U187">
        <f>IF(Wizards!$A$19="","",IF(OR(ISNUMBER(SEARCH(", "&amp;$B187&amp;", ", ", "&amp;INDEX('Form Responses'!$I$1:$Q$200,19,$A187)&amp;", ")),ISNUMBER(SEARCH(", "&amp;$B187&amp;", ", ", "&amp;INDEX('Form Responses'!$R$1:$R$200,19)&amp;", "))),1,""))</f>
        <v/>
      </c>
      <c r="V187">
        <f>IF(Wizards!$A$20="","",IF(OR(ISNUMBER(SEARCH(", "&amp;$B187&amp;", ", ", "&amp;INDEX('Form Responses'!$I$1:$Q$200,20,$A187)&amp;", ")),ISNUMBER(SEARCH(", "&amp;$B187&amp;", ", ", "&amp;INDEX('Form Responses'!$R$1:$R$200,20)&amp;", "))),1,""))</f>
        <v/>
      </c>
      <c r="W187">
        <f>IF(Wizards!$A$21="","",IF(OR(ISNUMBER(SEARCH(", "&amp;$B187&amp;", ", ", "&amp;INDEX('Form Responses'!$I$1:$Q$200,21,$A187)&amp;", ")),ISNUMBER(SEARCH(", "&amp;$B187&amp;", ", ", "&amp;INDEX('Form Responses'!$R$1:$R$200,21)&amp;", "))),1,""))</f>
        <v/>
      </c>
      <c r="X187">
        <f>IF(Wizards!$A$22="","",IF(OR(ISNUMBER(SEARCH(", "&amp;$B187&amp;", ", ", "&amp;INDEX('Form Responses'!$I$1:$Q$200,22,$A187)&amp;", ")),ISNUMBER(SEARCH(", "&amp;$B187&amp;", ", ", "&amp;INDEX('Form Responses'!$R$1:$R$200,22)&amp;", "))),1,""))</f>
        <v/>
      </c>
      <c r="Y187">
        <f>IF(Wizards!$A$23="","",IF(OR(ISNUMBER(SEARCH(", "&amp;$B187&amp;", ", ", "&amp;INDEX('Form Responses'!$I$1:$Q$200,23,$A187)&amp;", ")),ISNUMBER(SEARCH(", "&amp;$B187&amp;", ", ", "&amp;INDEX('Form Responses'!$R$1:$R$200,23)&amp;", "))),1,""))</f>
        <v/>
      </c>
      <c r="Z187">
        <f>IF(Wizards!$A$24="","",IF(OR(ISNUMBER(SEARCH(", "&amp;$B187&amp;", ", ", "&amp;INDEX('Form Responses'!$I$1:$Q$200,24,$A187)&amp;", ")),ISNUMBER(SEARCH(", "&amp;$B187&amp;", ", ", "&amp;INDEX('Form Responses'!$R$1:$R$200,24)&amp;", "))),1,""))</f>
        <v/>
      </c>
      <c r="AA187">
        <f>IF(Wizards!$A$25="","",IF(OR(ISNUMBER(SEARCH(", "&amp;$B187&amp;", ", ", "&amp;INDEX('Form Responses'!$I$1:$Q$200,25,$A187)&amp;", ")),ISNUMBER(SEARCH(", "&amp;$B187&amp;", ", ", "&amp;INDEX('Form Responses'!$R$1:$R$200,25)&amp;", "))),1,""))</f>
        <v/>
      </c>
      <c r="AB187">
        <f>IF(D187=1,", "&amp;D$1,"")</f>
        <v/>
      </c>
      <c r="AC187">
        <f>IF(E187=1,", "&amp;E$1,"")</f>
        <v/>
      </c>
      <c r="AD187">
        <f>IF(F187=1,", "&amp;F$1,"")</f>
        <v/>
      </c>
      <c r="AE187">
        <f>IF(G187=1,", "&amp;G$1,"")</f>
        <v/>
      </c>
      <c r="AF187">
        <f>IF(H187=1,", "&amp;H$1,"")</f>
        <v/>
      </c>
      <c r="AG187">
        <f>IF(I187=1,", "&amp;I$1,"")</f>
        <v/>
      </c>
      <c r="AH187">
        <f>IF(J187=1,", "&amp;J$1,"")</f>
        <v/>
      </c>
      <c r="AI187">
        <f>IF(K187=1,", "&amp;K$1,"")</f>
        <v/>
      </c>
      <c r="AJ187">
        <f>IF(L187=1,", "&amp;L$1,"")</f>
        <v/>
      </c>
      <c r="AK187">
        <f>IF(M187=1,", "&amp;M$1,"")</f>
        <v/>
      </c>
      <c r="AL187">
        <f>IF(N187=1,", "&amp;N$1,"")</f>
        <v/>
      </c>
      <c r="AM187">
        <f>IF(O187=1,", "&amp;O$1,"")</f>
        <v/>
      </c>
      <c r="AN187">
        <f>IF(P187=1,", "&amp;P$1,"")</f>
        <v/>
      </c>
      <c r="AO187">
        <f>IF(Q187=1,", "&amp;Q$1,"")</f>
        <v/>
      </c>
      <c r="AP187">
        <f>IF(R187=1,", "&amp;R$1,"")</f>
        <v/>
      </c>
      <c r="AQ187">
        <f>IF(S187=1,", "&amp;S$1,"")</f>
        <v/>
      </c>
      <c r="AR187">
        <f>IF(T187=1,", "&amp;T$1,"")</f>
        <v/>
      </c>
      <c r="AS187">
        <f>IF(U187=1,", "&amp;U$1,"")</f>
        <v/>
      </c>
      <c r="AT187">
        <f>IF(V187=1,", "&amp;V$1,"")</f>
        <v/>
      </c>
      <c r="AU187">
        <f>IF(W187=1,", "&amp;W$1,"")</f>
        <v/>
      </c>
      <c r="AV187">
        <f>IF(X187=1,", "&amp;X$1,"")</f>
        <v/>
      </c>
      <c r="AW187">
        <f>IF(Y187=1,", "&amp;Y$1,"")</f>
        <v/>
      </c>
      <c r="AX187">
        <f>IF(Z187=1,", "&amp;Z$1,"")</f>
        <v/>
      </c>
      <c r="AY187">
        <f>IF(AA187=1,", "&amp;AA$1,"")</f>
        <v/>
      </c>
      <c r="AZ187">
        <f>MID($AB187&amp;$AC187&amp;$AD187&amp;$AE187&amp;$AF187&amp;$AG187&amp;$AH187&amp;$AI187&amp;$AJ187&amp;$AK187&amp;$AL187&amp;$AM187&amp;$AN187&amp;$AO187&amp;$AP187&amp;$AQ187&amp;$AR187&amp;$AS187&amp;$AT187&amp;$AU187&amp;$AV187&amp;$AW187&amp;$AX187&amp;$AY187,3,32767)</f>
        <v/>
      </c>
      <c r="BA187">
        <f>COUNT($D187:$AA187)</f>
        <v/>
      </c>
    </row>
    <row r="188">
      <c r="A188" t="n">
        <v>4</v>
      </c>
      <c r="B188" t="inlineStr">
        <is>
          <t>Raulothim's Psychic Lance</t>
        </is>
      </c>
      <c r="C188" t="inlineStr">
        <is>
          <t>Enchantment</t>
        </is>
      </c>
      <c r="D188">
        <f>IF(Wizards!$A$2="","",IF(OR(ISNUMBER(SEARCH(", "&amp;$B188&amp;", ", ", "&amp;INDEX('Form Responses'!$I$1:$Q$200,2,$A188)&amp;", ")),ISNUMBER(SEARCH(", "&amp;$B188&amp;", ", ", "&amp;INDEX('Form Responses'!$R$1:$R$200,2)&amp;", "))),1,""))</f>
        <v/>
      </c>
      <c r="E188">
        <f>IF(Wizards!$A$3="","",IF(OR(ISNUMBER(SEARCH(", "&amp;$B188&amp;", ", ", "&amp;INDEX('Form Responses'!$I$1:$Q$200,3,$A188)&amp;", ")),ISNUMBER(SEARCH(", "&amp;$B188&amp;", ", ", "&amp;INDEX('Form Responses'!$R$1:$R$200,3)&amp;", "))),1,""))</f>
        <v/>
      </c>
      <c r="F188">
        <f>IF(Wizards!$A$4="","",IF(OR(ISNUMBER(SEARCH(", "&amp;$B188&amp;", ", ", "&amp;INDEX('Form Responses'!$I$1:$Q$200,4,$A188)&amp;", ")),ISNUMBER(SEARCH(", "&amp;$B188&amp;", ", ", "&amp;INDEX('Form Responses'!$R$1:$R$200,4)&amp;", "))),1,""))</f>
        <v/>
      </c>
      <c r="G188">
        <f>IF(Wizards!$A$5="","",IF(OR(ISNUMBER(SEARCH(", "&amp;$B188&amp;", ", ", "&amp;INDEX('Form Responses'!$I$1:$Q$200,5,$A188)&amp;", ")),ISNUMBER(SEARCH(", "&amp;$B188&amp;", ", ", "&amp;INDEX('Form Responses'!$R$1:$R$200,5)&amp;", "))),1,""))</f>
        <v/>
      </c>
      <c r="H188">
        <f>IF(Wizards!$A$6="","",IF(OR(ISNUMBER(SEARCH(", "&amp;$B188&amp;", ", ", "&amp;INDEX('Form Responses'!$I$1:$Q$200,6,$A188)&amp;", ")),ISNUMBER(SEARCH(", "&amp;$B188&amp;", ", ", "&amp;INDEX('Form Responses'!$R$1:$R$200,6)&amp;", "))),1,""))</f>
        <v/>
      </c>
      <c r="I188">
        <f>IF(Wizards!$A$7="","",IF(OR(ISNUMBER(SEARCH(", "&amp;$B188&amp;", ", ", "&amp;INDEX('Form Responses'!$I$1:$Q$200,7,$A188)&amp;", ")),ISNUMBER(SEARCH(", "&amp;$B188&amp;", ", ", "&amp;INDEX('Form Responses'!$R$1:$R$200,7)&amp;", "))),1,""))</f>
        <v/>
      </c>
      <c r="J188">
        <f>IF(Wizards!$A$8="","",IF(OR(ISNUMBER(SEARCH(", "&amp;$B188&amp;", ", ", "&amp;INDEX('Form Responses'!$I$1:$Q$200,8,$A188)&amp;", ")),ISNUMBER(SEARCH(", "&amp;$B188&amp;", ", ", "&amp;INDEX('Form Responses'!$R$1:$R$200,8)&amp;", "))),1,""))</f>
        <v/>
      </c>
      <c r="K188">
        <f>IF(Wizards!$A$9="","",IF(OR(ISNUMBER(SEARCH(", "&amp;$B188&amp;", ", ", "&amp;INDEX('Form Responses'!$I$1:$Q$200,9,$A188)&amp;", ")),ISNUMBER(SEARCH(", "&amp;$B188&amp;", ", ", "&amp;INDEX('Form Responses'!$R$1:$R$200,9)&amp;", "))),1,""))</f>
        <v/>
      </c>
      <c r="L188">
        <f>IF(Wizards!$A$10="","",IF(OR(ISNUMBER(SEARCH(", "&amp;$B188&amp;", ", ", "&amp;INDEX('Form Responses'!$I$1:$Q$200,10,$A188)&amp;", ")),ISNUMBER(SEARCH(", "&amp;$B188&amp;", ", ", "&amp;INDEX('Form Responses'!$R$1:$R$200,10)&amp;", "))),1,""))</f>
        <v/>
      </c>
      <c r="M188">
        <f>IF(Wizards!$A$11="","",IF(OR(ISNUMBER(SEARCH(", "&amp;$B188&amp;", ", ", "&amp;INDEX('Form Responses'!$I$1:$Q$200,11,$A188)&amp;", ")),ISNUMBER(SEARCH(", "&amp;$B188&amp;", ", ", "&amp;INDEX('Form Responses'!$R$1:$R$200,11)&amp;", "))),1,""))</f>
        <v/>
      </c>
      <c r="N188">
        <f>IF(Wizards!$A$12="","",IF(OR(ISNUMBER(SEARCH(", "&amp;$B188&amp;", ", ", "&amp;INDEX('Form Responses'!$I$1:$Q$200,12,$A188)&amp;", ")),ISNUMBER(SEARCH(", "&amp;$B188&amp;", ", ", "&amp;INDEX('Form Responses'!$R$1:$R$200,12)&amp;", "))),1,""))</f>
        <v/>
      </c>
      <c r="O188">
        <f>IF(Wizards!$A$13="","",IF(OR(ISNUMBER(SEARCH(", "&amp;$B188&amp;", ", ", "&amp;INDEX('Form Responses'!$I$1:$Q$200,13,$A188)&amp;", ")),ISNUMBER(SEARCH(", "&amp;$B188&amp;", ", ", "&amp;INDEX('Form Responses'!$R$1:$R$200,13)&amp;", "))),1,""))</f>
        <v/>
      </c>
      <c r="P188">
        <f>IF(Wizards!$A$14="","",IF(OR(ISNUMBER(SEARCH(", "&amp;$B188&amp;", ", ", "&amp;INDEX('Form Responses'!$I$1:$Q$200,14,$A188)&amp;", ")),ISNUMBER(SEARCH(", "&amp;$B188&amp;", ", ", "&amp;INDEX('Form Responses'!$R$1:$R$200,14)&amp;", "))),1,""))</f>
        <v/>
      </c>
      <c r="Q188">
        <f>IF(Wizards!$A$15="","",IF(OR(ISNUMBER(SEARCH(", "&amp;$B188&amp;", ", ", "&amp;INDEX('Form Responses'!$I$1:$Q$200,15,$A188)&amp;", ")),ISNUMBER(SEARCH(", "&amp;$B188&amp;", ", ", "&amp;INDEX('Form Responses'!$R$1:$R$200,15)&amp;", "))),1,""))</f>
        <v/>
      </c>
      <c r="R188">
        <f>IF(Wizards!$A$16="","",IF(OR(ISNUMBER(SEARCH(", "&amp;$B188&amp;", ", ", "&amp;INDEX('Form Responses'!$I$1:$Q$200,16,$A188)&amp;", ")),ISNUMBER(SEARCH(", "&amp;$B188&amp;", ", ", "&amp;INDEX('Form Responses'!$R$1:$R$200,16)&amp;", "))),1,""))</f>
        <v/>
      </c>
      <c r="S188">
        <f>IF(Wizards!$A$17="","",IF(OR(ISNUMBER(SEARCH(", "&amp;$B188&amp;", ", ", "&amp;INDEX('Form Responses'!$I$1:$Q$200,17,$A188)&amp;", ")),ISNUMBER(SEARCH(", "&amp;$B188&amp;", ", ", "&amp;INDEX('Form Responses'!$R$1:$R$200,17)&amp;", "))),1,""))</f>
        <v/>
      </c>
      <c r="T188">
        <f>IF(Wizards!$A$18="","",IF(OR(ISNUMBER(SEARCH(", "&amp;$B188&amp;", ", ", "&amp;INDEX('Form Responses'!$I$1:$Q$200,18,$A188)&amp;", ")),ISNUMBER(SEARCH(", "&amp;$B188&amp;", ", ", "&amp;INDEX('Form Responses'!$R$1:$R$200,18)&amp;", "))),1,""))</f>
        <v/>
      </c>
      <c r="U188">
        <f>IF(Wizards!$A$19="","",IF(OR(ISNUMBER(SEARCH(", "&amp;$B188&amp;", ", ", "&amp;INDEX('Form Responses'!$I$1:$Q$200,19,$A188)&amp;", ")),ISNUMBER(SEARCH(", "&amp;$B188&amp;", ", ", "&amp;INDEX('Form Responses'!$R$1:$R$200,19)&amp;", "))),1,""))</f>
        <v/>
      </c>
      <c r="V188">
        <f>IF(Wizards!$A$20="","",IF(OR(ISNUMBER(SEARCH(", "&amp;$B188&amp;", ", ", "&amp;INDEX('Form Responses'!$I$1:$Q$200,20,$A188)&amp;", ")),ISNUMBER(SEARCH(", "&amp;$B188&amp;", ", ", "&amp;INDEX('Form Responses'!$R$1:$R$200,20)&amp;", "))),1,""))</f>
        <v/>
      </c>
      <c r="W188">
        <f>IF(Wizards!$A$21="","",IF(OR(ISNUMBER(SEARCH(", "&amp;$B188&amp;", ", ", "&amp;INDEX('Form Responses'!$I$1:$Q$200,21,$A188)&amp;", ")),ISNUMBER(SEARCH(", "&amp;$B188&amp;", ", ", "&amp;INDEX('Form Responses'!$R$1:$R$200,21)&amp;", "))),1,""))</f>
        <v/>
      </c>
      <c r="X188">
        <f>IF(Wizards!$A$22="","",IF(OR(ISNUMBER(SEARCH(", "&amp;$B188&amp;", ", ", "&amp;INDEX('Form Responses'!$I$1:$Q$200,22,$A188)&amp;", ")),ISNUMBER(SEARCH(", "&amp;$B188&amp;", ", ", "&amp;INDEX('Form Responses'!$R$1:$R$200,22)&amp;", "))),1,""))</f>
        <v/>
      </c>
      <c r="Y188">
        <f>IF(Wizards!$A$23="","",IF(OR(ISNUMBER(SEARCH(", "&amp;$B188&amp;", ", ", "&amp;INDEX('Form Responses'!$I$1:$Q$200,23,$A188)&amp;", ")),ISNUMBER(SEARCH(", "&amp;$B188&amp;", ", ", "&amp;INDEX('Form Responses'!$R$1:$R$200,23)&amp;", "))),1,""))</f>
        <v/>
      </c>
      <c r="Z188">
        <f>IF(Wizards!$A$24="","",IF(OR(ISNUMBER(SEARCH(", "&amp;$B188&amp;", ", ", "&amp;INDEX('Form Responses'!$I$1:$Q$200,24,$A188)&amp;", ")),ISNUMBER(SEARCH(", "&amp;$B188&amp;", ", ", "&amp;INDEX('Form Responses'!$R$1:$R$200,24)&amp;", "))),1,""))</f>
        <v/>
      </c>
      <c r="AA188">
        <f>IF(Wizards!$A$25="","",IF(OR(ISNUMBER(SEARCH(", "&amp;$B188&amp;", ", ", "&amp;INDEX('Form Responses'!$I$1:$Q$200,25,$A188)&amp;", ")),ISNUMBER(SEARCH(", "&amp;$B188&amp;", ", ", "&amp;INDEX('Form Responses'!$R$1:$R$200,25)&amp;", "))),1,""))</f>
        <v/>
      </c>
      <c r="AB188">
        <f>IF(D188=1,", "&amp;D$1,"")</f>
        <v/>
      </c>
      <c r="AC188">
        <f>IF(E188=1,", "&amp;E$1,"")</f>
        <v/>
      </c>
      <c r="AD188">
        <f>IF(F188=1,", "&amp;F$1,"")</f>
        <v/>
      </c>
      <c r="AE188">
        <f>IF(G188=1,", "&amp;G$1,"")</f>
        <v/>
      </c>
      <c r="AF188">
        <f>IF(H188=1,", "&amp;H$1,"")</f>
        <v/>
      </c>
      <c r="AG188">
        <f>IF(I188=1,", "&amp;I$1,"")</f>
        <v/>
      </c>
      <c r="AH188">
        <f>IF(J188=1,", "&amp;J$1,"")</f>
        <v/>
      </c>
      <c r="AI188">
        <f>IF(K188=1,", "&amp;K$1,"")</f>
        <v/>
      </c>
      <c r="AJ188">
        <f>IF(L188=1,", "&amp;L$1,"")</f>
        <v/>
      </c>
      <c r="AK188">
        <f>IF(M188=1,", "&amp;M$1,"")</f>
        <v/>
      </c>
      <c r="AL188">
        <f>IF(N188=1,", "&amp;N$1,"")</f>
        <v/>
      </c>
      <c r="AM188">
        <f>IF(O188=1,", "&amp;O$1,"")</f>
        <v/>
      </c>
      <c r="AN188">
        <f>IF(P188=1,", "&amp;P$1,"")</f>
        <v/>
      </c>
      <c r="AO188">
        <f>IF(Q188=1,", "&amp;Q$1,"")</f>
        <v/>
      </c>
      <c r="AP188">
        <f>IF(R188=1,", "&amp;R$1,"")</f>
        <v/>
      </c>
      <c r="AQ188">
        <f>IF(S188=1,", "&amp;S$1,"")</f>
        <v/>
      </c>
      <c r="AR188">
        <f>IF(T188=1,", "&amp;T$1,"")</f>
        <v/>
      </c>
      <c r="AS188">
        <f>IF(U188=1,", "&amp;U$1,"")</f>
        <v/>
      </c>
      <c r="AT188">
        <f>IF(V188=1,", "&amp;V$1,"")</f>
        <v/>
      </c>
      <c r="AU188">
        <f>IF(W188=1,", "&amp;W$1,"")</f>
        <v/>
      </c>
      <c r="AV188">
        <f>IF(X188=1,", "&amp;X$1,"")</f>
        <v/>
      </c>
      <c r="AW188">
        <f>IF(Y188=1,", "&amp;Y$1,"")</f>
        <v/>
      </c>
      <c r="AX188">
        <f>IF(Z188=1,", "&amp;Z$1,"")</f>
        <v/>
      </c>
      <c r="AY188">
        <f>IF(AA188=1,", "&amp;AA$1,"")</f>
        <v/>
      </c>
      <c r="AZ188">
        <f>MID($AB188&amp;$AC188&amp;$AD188&amp;$AE188&amp;$AF188&amp;$AG188&amp;$AH188&amp;$AI188&amp;$AJ188&amp;$AK188&amp;$AL188&amp;$AM188&amp;$AN188&amp;$AO188&amp;$AP188&amp;$AQ188&amp;$AR188&amp;$AS188&amp;$AT188&amp;$AU188&amp;$AV188&amp;$AW188&amp;$AX188&amp;$AY188,3,32767)</f>
        <v/>
      </c>
      <c r="BA188">
        <f>COUNT($D188:$AA188)</f>
        <v/>
      </c>
    </row>
    <row r="189">
      <c r="A189" t="n">
        <v>4</v>
      </c>
      <c r="B189" t="inlineStr">
        <is>
          <t>Sickening Radiance</t>
        </is>
      </c>
      <c r="C189" t="inlineStr">
        <is>
          <t>Evocation</t>
        </is>
      </c>
      <c r="D189">
        <f>IF(Wizards!$A$2="","",IF(OR(ISNUMBER(SEARCH(", "&amp;$B189&amp;", ", ", "&amp;INDEX('Form Responses'!$I$1:$Q$200,2,$A189)&amp;", ")),ISNUMBER(SEARCH(", "&amp;$B189&amp;", ", ", "&amp;INDEX('Form Responses'!$R$1:$R$200,2)&amp;", "))),1,""))</f>
        <v/>
      </c>
      <c r="E189">
        <f>IF(Wizards!$A$3="","",IF(OR(ISNUMBER(SEARCH(", "&amp;$B189&amp;", ", ", "&amp;INDEX('Form Responses'!$I$1:$Q$200,3,$A189)&amp;", ")),ISNUMBER(SEARCH(", "&amp;$B189&amp;", ", ", "&amp;INDEX('Form Responses'!$R$1:$R$200,3)&amp;", "))),1,""))</f>
        <v/>
      </c>
      <c r="F189">
        <f>IF(Wizards!$A$4="","",IF(OR(ISNUMBER(SEARCH(", "&amp;$B189&amp;", ", ", "&amp;INDEX('Form Responses'!$I$1:$Q$200,4,$A189)&amp;", ")),ISNUMBER(SEARCH(", "&amp;$B189&amp;", ", ", "&amp;INDEX('Form Responses'!$R$1:$R$200,4)&amp;", "))),1,""))</f>
        <v/>
      </c>
      <c r="G189">
        <f>IF(Wizards!$A$5="","",IF(OR(ISNUMBER(SEARCH(", "&amp;$B189&amp;", ", ", "&amp;INDEX('Form Responses'!$I$1:$Q$200,5,$A189)&amp;", ")),ISNUMBER(SEARCH(", "&amp;$B189&amp;", ", ", "&amp;INDEX('Form Responses'!$R$1:$R$200,5)&amp;", "))),1,""))</f>
        <v/>
      </c>
      <c r="H189">
        <f>IF(Wizards!$A$6="","",IF(OR(ISNUMBER(SEARCH(", "&amp;$B189&amp;", ", ", "&amp;INDEX('Form Responses'!$I$1:$Q$200,6,$A189)&amp;", ")),ISNUMBER(SEARCH(", "&amp;$B189&amp;", ", ", "&amp;INDEX('Form Responses'!$R$1:$R$200,6)&amp;", "))),1,""))</f>
        <v/>
      </c>
      <c r="I189">
        <f>IF(Wizards!$A$7="","",IF(OR(ISNUMBER(SEARCH(", "&amp;$B189&amp;", ", ", "&amp;INDEX('Form Responses'!$I$1:$Q$200,7,$A189)&amp;", ")),ISNUMBER(SEARCH(", "&amp;$B189&amp;", ", ", "&amp;INDEX('Form Responses'!$R$1:$R$200,7)&amp;", "))),1,""))</f>
        <v/>
      </c>
      <c r="J189">
        <f>IF(Wizards!$A$8="","",IF(OR(ISNUMBER(SEARCH(", "&amp;$B189&amp;", ", ", "&amp;INDEX('Form Responses'!$I$1:$Q$200,8,$A189)&amp;", ")),ISNUMBER(SEARCH(", "&amp;$B189&amp;", ", ", "&amp;INDEX('Form Responses'!$R$1:$R$200,8)&amp;", "))),1,""))</f>
        <v/>
      </c>
      <c r="K189">
        <f>IF(Wizards!$A$9="","",IF(OR(ISNUMBER(SEARCH(", "&amp;$B189&amp;", ", ", "&amp;INDEX('Form Responses'!$I$1:$Q$200,9,$A189)&amp;", ")),ISNUMBER(SEARCH(", "&amp;$B189&amp;", ", ", "&amp;INDEX('Form Responses'!$R$1:$R$200,9)&amp;", "))),1,""))</f>
        <v/>
      </c>
      <c r="L189">
        <f>IF(Wizards!$A$10="","",IF(OR(ISNUMBER(SEARCH(", "&amp;$B189&amp;", ", ", "&amp;INDEX('Form Responses'!$I$1:$Q$200,10,$A189)&amp;", ")),ISNUMBER(SEARCH(", "&amp;$B189&amp;", ", ", "&amp;INDEX('Form Responses'!$R$1:$R$200,10)&amp;", "))),1,""))</f>
        <v/>
      </c>
      <c r="M189">
        <f>IF(Wizards!$A$11="","",IF(OR(ISNUMBER(SEARCH(", "&amp;$B189&amp;", ", ", "&amp;INDEX('Form Responses'!$I$1:$Q$200,11,$A189)&amp;", ")),ISNUMBER(SEARCH(", "&amp;$B189&amp;", ", ", "&amp;INDEX('Form Responses'!$R$1:$R$200,11)&amp;", "))),1,""))</f>
        <v/>
      </c>
      <c r="N189">
        <f>IF(Wizards!$A$12="","",IF(OR(ISNUMBER(SEARCH(", "&amp;$B189&amp;", ", ", "&amp;INDEX('Form Responses'!$I$1:$Q$200,12,$A189)&amp;", ")),ISNUMBER(SEARCH(", "&amp;$B189&amp;", ", ", "&amp;INDEX('Form Responses'!$R$1:$R$200,12)&amp;", "))),1,""))</f>
        <v/>
      </c>
      <c r="O189">
        <f>IF(Wizards!$A$13="","",IF(OR(ISNUMBER(SEARCH(", "&amp;$B189&amp;", ", ", "&amp;INDEX('Form Responses'!$I$1:$Q$200,13,$A189)&amp;", ")),ISNUMBER(SEARCH(", "&amp;$B189&amp;", ", ", "&amp;INDEX('Form Responses'!$R$1:$R$200,13)&amp;", "))),1,""))</f>
        <v/>
      </c>
      <c r="P189">
        <f>IF(Wizards!$A$14="","",IF(OR(ISNUMBER(SEARCH(", "&amp;$B189&amp;", ", ", "&amp;INDEX('Form Responses'!$I$1:$Q$200,14,$A189)&amp;", ")),ISNUMBER(SEARCH(", "&amp;$B189&amp;", ", ", "&amp;INDEX('Form Responses'!$R$1:$R$200,14)&amp;", "))),1,""))</f>
        <v/>
      </c>
      <c r="Q189">
        <f>IF(Wizards!$A$15="","",IF(OR(ISNUMBER(SEARCH(", "&amp;$B189&amp;", ", ", "&amp;INDEX('Form Responses'!$I$1:$Q$200,15,$A189)&amp;", ")),ISNUMBER(SEARCH(", "&amp;$B189&amp;", ", ", "&amp;INDEX('Form Responses'!$R$1:$R$200,15)&amp;", "))),1,""))</f>
        <v/>
      </c>
      <c r="R189">
        <f>IF(Wizards!$A$16="","",IF(OR(ISNUMBER(SEARCH(", "&amp;$B189&amp;", ", ", "&amp;INDEX('Form Responses'!$I$1:$Q$200,16,$A189)&amp;", ")),ISNUMBER(SEARCH(", "&amp;$B189&amp;", ", ", "&amp;INDEX('Form Responses'!$R$1:$R$200,16)&amp;", "))),1,""))</f>
        <v/>
      </c>
      <c r="S189">
        <f>IF(Wizards!$A$17="","",IF(OR(ISNUMBER(SEARCH(", "&amp;$B189&amp;", ", ", "&amp;INDEX('Form Responses'!$I$1:$Q$200,17,$A189)&amp;", ")),ISNUMBER(SEARCH(", "&amp;$B189&amp;", ", ", "&amp;INDEX('Form Responses'!$R$1:$R$200,17)&amp;", "))),1,""))</f>
        <v/>
      </c>
      <c r="T189">
        <f>IF(Wizards!$A$18="","",IF(OR(ISNUMBER(SEARCH(", "&amp;$B189&amp;", ", ", "&amp;INDEX('Form Responses'!$I$1:$Q$200,18,$A189)&amp;", ")),ISNUMBER(SEARCH(", "&amp;$B189&amp;", ", ", "&amp;INDEX('Form Responses'!$R$1:$R$200,18)&amp;", "))),1,""))</f>
        <v/>
      </c>
      <c r="U189">
        <f>IF(Wizards!$A$19="","",IF(OR(ISNUMBER(SEARCH(", "&amp;$B189&amp;", ", ", "&amp;INDEX('Form Responses'!$I$1:$Q$200,19,$A189)&amp;", ")),ISNUMBER(SEARCH(", "&amp;$B189&amp;", ", ", "&amp;INDEX('Form Responses'!$R$1:$R$200,19)&amp;", "))),1,""))</f>
        <v/>
      </c>
      <c r="V189">
        <f>IF(Wizards!$A$20="","",IF(OR(ISNUMBER(SEARCH(", "&amp;$B189&amp;", ", ", "&amp;INDEX('Form Responses'!$I$1:$Q$200,20,$A189)&amp;", ")),ISNUMBER(SEARCH(", "&amp;$B189&amp;", ", ", "&amp;INDEX('Form Responses'!$R$1:$R$200,20)&amp;", "))),1,""))</f>
        <v/>
      </c>
      <c r="W189">
        <f>IF(Wizards!$A$21="","",IF(OR(ISNUMBER(SEARCH(", "&amp;$B189&amp;", ", ", "&amp;INDEX('Form Responses'!$I$1:$Q$200,21,$A189)&amp;", ")),ISNUMBER(SEARCH(", "&amp;$B189&amp;", ", ", "&amp;INDEX('Form Responses'!$R$1:$R$200,21)&amp;", "))),1,""))</f>
        <v/>
      </c>
      <c r="X189">
        <f>IF(Wizards!$A$22="","",IF(OR(ISNUMBER(SEARCH(", "&amp;$B189&amp;", ", ", "&amp;INDEX('Form Responses'!$I$1:$Q$200,22,$A189)&amp;", ")),ISNUMBER(SEARCH(", "&amp;$B189&amp;", ", ", "&amp;INDEX('Form Responses'!$R$1:$R$200,22)&amp;", "))),1,""))</f>
        <v/>
      </c>
      <c r="Y189">
        <f>IF(Wizards!$A$23="","",IF(OR(ISNUMBER(SEARCH(", "&amp;$B189&amp;", ", ", "&amp;INDEX('Form Responses'!$I$1:$Q$200,23,$A189)&amp;", ")),ISNUMBER(SEARCH(", "&amp;$B189&amp;", ", ", "&amp;INDEX('Form Responses'!$R$1:$R$200,23)&amp;", "))),1,""))</f>
        <v/>
      </c>
      <c r="Z189">
        <f>IF(Wizards!$A$24="","",IF(OR(ISNUMBER(SEARCH(", "&amp;$B189&amp;", ", ", "&amp;INDEX('Form Responses'!$I$1:$Q$200,24,$A189)&amp;", ")),ISNUMBER(SEARCH(", "&amp;$B189&amp;", ", ", "&amp;INDEX('Form Responses'!$R$1:$R$200,24)&amp;", "))),1,""))</f>
        <v/>
      </c>
      <c r="AA189">
        <f>IF(Wizards!$A$25="","",IF(OR(ISNUMBER(SEARCH(", "&amp;$B189&amp;", ", ", "&amp;INDEX('Form Responses'!$I$1:$Q$200,25,$A189)&amp;", ")),ISNUMBER(SEARCH(", "&amp;$B189&amp;", ", ", "&amp;INDEX('Form Responses'!$R$1:$R$200,25)&amp;", "))),1,""))</f>
        <v/>
      </c>
      <c r="AB189">
        <f>IF(D189=1,", "&amp;D$1,"")</f>
        <v/>
      </c>
      <c r="AC189">
        <f>IF(E189=1,", "&amp;E$1,"")</f>
        <v/>
      </c>
      <c r="AD189">
        <f>IF(F189=1,", "&amp;F$1,"")</f>
        <v/>
      </c>
      <c r="AE189">
        <f>IF(G189=1,", "&amp;G$1,"")</f>
        <v/>
      </c>
      <c r="AF189">
        <f>IF(H189=1,", "&amp;H$1,"")</f>
        <v/>
      </c>
      <c r="AG189">
        <f>IF(I189=1,", "&amp;I$1,"")</f>
        <v/>
      </c>
      <c r="AH189">
        <f>IF(J189=1,", "&amp;J$1,"")</f>
        <v/>
      </c>
      <c r="AI189">
        <f>IF(K189=1,", "&amp;K$1,"")</f>
        <v/>
      </c>
      <c r="AJ189">
        <f>IF(L189=1,", "&amp;L$1,"")</f>
        <v/>
      </c>
      <c r="AK189">
        <f>IF(M189=1,", "&amp;M$1,"")</f>
        <v/>
      </c>
      <c r="AL189">
        <f>IF(N189=1,", "&amp;N$1,"")</f>
        <v/>
      </c>
      <c r="AM189">
        <f>IF(O189=1,", "&amp;O$1,"")</f>
        <v/>
      </c>
      <c r="AN189">
        <f>IF(P189=1,", "&amp;P$1,"")</f>
        <v/>
      </c>
      <c r="AO189">
        <f>IF(Q189=1,", "&amp;Q$1,"")</f>
        <v/>
      </c>
      <c r="AP189">
        <f>IF(R189=1,", "&amp;R$1,"")</f>
        <v/>
      </c>
      <c r="AQ189">
        <f>IF(S189=1,", "&amp;S$1,"")</f>
        <v/>
      </c>
      <c r="AR189">
        <f>IF(T189=1,", "&amp;T$1,"")</f>
        <v/>
      </c>
      <c r="AS189">
        <f>IF(U189=1,", "&amp;U$1,"")</f>
        <v/>
      </c>
      <c r="AT189">
        <f>IF(V189=1,", "&amp;V$1,"")</f>
        <v/>
      </c>
      <c r="AU189">
        <f>IF(W189=1,", "&amp;W$1,"")</f>
        <v/>
      </c>
      <c r="AV189">
        <f>IF(X189=1,", "&amp;X$1,"")</f>
        <v/>
      </c>
      <c r="AW189">
        <f>IF(Y189=1,", "&amp;Y$1,"")</f>
        <v/>
      </c>
      <c r="AX189">
        <f>IF(Z189=1,", "&amp;Z$1,"")</f>
        <v/>
      </c>
      <c r="AY189">
        <f>IF(AA189=1,", "&amp;AA$1,"")</f>
        <v/>
      </c>
      <c r="AZ189">
        <f>MID($AB189&amp;$AC189&amp;$AD189&amp;$AE189&amp;$AF189&amp;$AG189&amp;$AH189&amp;$AI189&amp;$AJ189&amp;$AK189&amp;$AL189&amp;$AM189&amp;$AN189&amp;$AO189&amp;$AP189&amp;$AQ189&amp;$AR189&amp;$AS189&amp;$AT189&amp;$AU189&amp;$AV189&amp;$AW189&amp;$AX189&amp;$AY189,3,32767)</f>
        <v/>
      </c>
      <c r="BA189">
        <f>COUNT($D189:$AA189)</f>
        <v/>
      </c>
    </row>
    <row r="190">
      <c r="A190" t="n">
        <v>4</v>
      </c>
      <c r="B190" t="inlineStr">
        <is>
          <t>Spellfire Storm</t>
        </is>
      </c>
      <c r="C190" t="inlineStr">
        <is>
          <t>Evocation</t>
        </is>
      </c>
      <c r="D190">
        <f>IF(Wizards!$A$2="","",IF(OR(ISNUMBER(SEARCH(", "&amp;$B190&amp;", ", ", "&amp;INDEX('Form Responses'!$I$1:$Q$200,2,$A190)&amp;", ")),ISNUMBER(SEARCH(", "&amp;$B190&amp;", ", ", "&amp;INDEX('Form Responses'!$R$1:$R$200,2)&amp;", "))),1,""))</f>
        <v/>
      </c>
      <c r="E190">
        <f>IF(Wizards!$A$3="","",IF(OR(ISNUMBER(SEARCH(", "&amp;$B190&amp;", ", ", "&amp;INDEX('Form Responses'!$I$1:$Q$200,3,$A190)&amp;", ")),ISNUMBER(SEARCH(", "&amp;$B190&amp;", ", ", "&amp;INDEX('Form Responses'!$R$1:$R$200,3)&amp;", "))),1,""))</f>
        <v/>
      </c>
      <c r="F190">
        <f>IF(Wizards!$A$4="","",IF(OR(ISNUMBER(SEARCH(", "&amp;$B190&amp;", ", ", "&amp;INDEX('Form Responses'!$I$1:$Q$200,4,$A190)&amp;", ")),ISNUMBER(SEARCH(", "&amp;$B190&amp;", ", ", "&amp;INDEX('Form Responses'!$R$1:$R$200,4)&amp;", "))),1,""))</f>
        <v/>
      </c>
      <c r="G190">
        <f>IF(Wizards!$A$5="","",IF(OR(ISNUMBER(SEARCH(", "&amp;$B190&amp;", ", ", "&amp;INDEX('Form Responses'!$I$1:$Q$200,5,$A190)&amp;", ")),ISNUMBER(SEARCH(", "&amp;$B190&amp;", ", ", "&amp;INDEX('Form Responses'!$R$1:$R$200,5)&amp;", "))),1,""))</f>
        <v/>
      </c>
      <c r="H190">
        <f>IF(Wizards!$A$6="","",IF(OR(ISNUMBER(SEARCH(", "&amp;$B190&amp;", ", ", "&amp;INDEX('Form Responses'!$I$1:$Q$200,6,$A190)&amp;", ")),ISNUMBER(SEARCH(", "&amp;$B190&amp;", ", ", "&amp;INDEX('Form Responses'!$R$1:$R$200,6)&amp;", "))),1,""))</f>
        <v/>
      </c>
      <c r="I190">
        <f>IF(Wizards!$A$7="","",IF(OR(ISNUMBER(SEARCH(", "&amp;$B190&amp;", ", ", "&amp;INDEX('Form Responses'!$I$1:$Q$200,7,$A190)&amp;", ")),ISNUMBER(SEARCH(", "&amp;$B190&amp;", ", ", "&amp;INDEX('Form Responses'!$R$1:$R$200,7)&amp;", "))),1,""))</f>
        <v/>
      </c>
      <c r="J190">
        <f>IF(Wizards!$A$8="","",IF(OR(ISNUMBER(SEARCH(", "&amp;$B190&amp;", ", ", "&amp;INDEX('Form Responses'!$I$1:$Q$200,8,$A190)&amp;", ")),ISNUMBER(SEARCH(", "&amp;$B190&amp;", ", ", "&amp;INDEX('Form Responses'!$R$1:$R$200,8)&amp;", "))),1,""))</f>
        <v/>
      </c>
      <c r="K190">
        <f>IF(Wizards!$A$9="","",IF(OR(ISNUMBER(SEARCH(", "&amp;$B190&amp;", ", ", "&amp;INDEX('Form Responses'!$I$1:$Q$200,9,$A190)&amp;", ")),ISNUMBER(SEARCH(", "&amp;$B190&amp;", ", ", "&amp;INDEX('Form Responses'!$R$1:$R$200,9)&amp;", "))),1,""))</f>
        <v/>
      </c>
      <c r="L190">
        <f>IF(Wizards!$A$10="","",IF(OR(ISNUMBER(SEARCH(", "&amp;$B190&amp;", ", ", "&amp;INDEX('Form Responses'!$I$1:$Q$200,10,$A190)&amp;", ")),ISNUMBER(SEARCH(", "&amp;$B190&amp;", ", ", "&amp;INDEX('Form Responses'!$R$1:$R$200,10)&amp;", "))),1,""))</f>
        <v/>
      </c>
      <c r="M190">
        <f>IF(Wizards!$A$11="","",IF(OR(ISNUMBER(SEARCH(", "&amp;$B190&amp;", ", ", "&amp;INDEX('Form Responses'!$I$1:$Q$200,11,$A190)&amp;", ")),ISNUMBER(SEARCH(", "&amp;$B190&amp;", ", ", "&amp;INDEX('Form Responses'!$R$1:$R$200,11)&amp;", "))),1,""))</f>
        <v/>
      </c>
      <c r="N190">
        <f>IF(Wizards!$A$12="","",IF(OR(ISNUMBER(SEARCH(", "&amp;$B190&amp;", ", ", "&amp;INDEX('Form Responses'!$I$1:$Q$200,12,$A190)&amp;", ")),ISNUMBER(SEARCH(", "&amp;$B190&amp;", ", ", "&amp;INDEX('Form Responses'!$R$1:$R$200,12)&amp;", "))),1,""))</f>
        <v/>
      </c>
      <c r="O190">
        <f>IF(Wizards!$A$13="","",IF(OR(ISNUMBER(SEARCH(", "&amp;$B190&amp;", ", ", "&amp;INDEX('Form Responses'!$I$1:$Q$200,13,$A190)&amp;", ")),ISNUMBER(SEARCH(", "&amp;$B190&amp;", ", ", "&amp;INDEX('Form Responses'!$R$1:$R$200,13)&amp;", "))),1,""))</f>
        <v/>
      </c>
      <c r="P190">
        <f>IF(Wizards!$A$14="","",IF(OR(ISNUMBER(SEARCH(", "&amp;$B190&amp;", ", ", "&amp;INDEX('Form Responses'!$I$1:$Q$200,14,$A190)&amp;", ")),ISNUMBER(SEARCH(", "&amp;$B190&amp;", ", ", "&amp;INDEX('Form Responses'!$R$1:$R$200,14)&amp;", "))),1,""))</f>
        <v/>
      </c>
      <c r="Q190">
        <f>IF(Wizards!$A$15="","",IF(OR(ISNUMBER(SEARCH(", "&amp;$B190&amp;", ", ", "&amp;INDEX('Form Responses'!$I$1:$Q$200,15,$A190)&amp;", ")),ISNUMBER(SEARCH(", "&amp;$B190&amp;", ", ", "&amp;INDEX('Form Responses'!$R$1:$R$200,15)&amp;", "))),1,""))</f>
        <v/>
      </c>
      <c r="R190">
        <f>IF(Wizards!$A$16="","",IF(OR(ISNUMBER(SEARCH(", "&amp;$B190&amp;", ", ", "&amp;INDEX('Form Responses'!$I$1:$Q$200,16,$A190)&amp;", ")),ISNUMBER(SEARCH(", "&amp;$B190&amp;", ", ", "&amp;INDEX('Form Responses'!$R$1:$R$200,16)&amp;", "))),1,""))</f>
        <v/>
      </c>
      <c r="S190">
        <f>IF(Wizards!$A$17="","",IF(OR(ISNUMBER(SEARCH(", "&amp;$B190&amp;", ", ", "&amp;INDEX('Form Responses'!$I$1:$Q$200,17,$A190)&amp;", ")),ISNUMBER(SEARCH(", "&amp;$B190&amp;", ", ", "&amp;INDEX('Form Responses'!$R$1:$R$200,17)&amp;", "))),1,""))</f>
        <v/>
      </c>
      <c r="T190">
        <f>IF(Wizards!$A$18="","",IF(OR(ISNUMBER(SEARCH(", "&amp;$B190&amp;", ", ", "&amp;INDEX('Form Responses'!$I$1:$Q$200,18,$A190)&amp;", ")),ISNUMBER(SEARCH(", "&amp;$B190&amp;", ", ", "&amp;INDEX('Form Responses'!$R$1:$R$200,18)&amp;", "))),1,""))</f>
        <v/>
      </c>
      <c r="U190">
        <f>IF(Wizards!$A$19="","",IF(OR(ISNUMBER(SEARCH(", "&amp;$B190&amp;", ", ", "&amp;INDEX('Form Responses'!$I$1:$Q$200,19,$A190)&amp;", ")),ISNUMBER(SEARCH(", "&amp;$B190&amp;", ", ", "&amp;INDEX('Form Responses'!$R$1:$R$200,19)&amp;", "))),1,""))</f>
        <v/>
      </c>
      <c r="V190">
        <f>IF(Wizards!$A$20="","",IF(OR(ISNUMBER(SEARCH(", "&amp;$B190&amp;", ", ", "&amp;INDEX('Form Responses'!$I$1:$Q$200,20,$A190)&amp;", ")),ISNUMBER(SEARCH(", "&amp;$B190&amp;", ", ", "&amp;INDEX('Form Responses'!$R$1:$R$200,20)&amp;", "))),1,""))</f>
        <v/>
      </c>
      <c r="W190">
        <f>IF(Wizards!$A$21="","",IF(OR(ISNUMBER(SEARCH(", "&amp;$B190&amp;", ", ", "&amp;INDEX('Form Responses'!$I$1:$Q$200,21,$A190)&amp;", ")),ISNUMBER(SEARCH(", "&amp;$B190&amp;", ", ", "&amp;INDEX('Form Responses'!$R$1:$R$200,21)&amp;", "))),1,""))</f>
        <v/>
      </c>
      <c r="X190">
        <f>IF(Wizards!$A$22="","",IF(OR(ISNUMBER(SEARCH(", "&amp;$B190&amp;", ", ", "&amp;INDEX('Form Responses'!$I$1:$Q$200,22,$A190)&amp;", ")),ISNUMBER(SEARCH(", "&amp;$B190&amp;", ", ", "&amp;INDEX('Form Responses'!$R$1:$R$200,22)&amp;", "))),1,""))</f>
        <v/>
      </c>
      <c r="Y190">
        <f>IF(Wizards!$A$23="","",IF(OR(ISNUMBER(SEARCH(", "&amp;$B190&amp;", ", ", "&amp;INDEX('Form Responses'!$I$1:$Q$200,23,$A190)&amp;", ")),ISNUMBER(SEARCH(", "&amp;$B190&amp;", ", ", "&amp;INDEX('Form Responses'!$R$1:$R$200,23)&amp;", "))),1,""))</f>
        <v/>
      </c>
      <c r="Z190">
        <f>IF(Wizards!$A$24="","",IF(OR(ISNUMBER(SEARCH(", "&amp;$B190&amp;", ", ", "&amp;INDEX('Form Responses'!$I$1:$Q$200,24,$A190)&amp;", ")),ISNUMBER(SEARCH(", "&amp;$B190&amp;", ", ", "&amp;INDEX('Form Responses'!$R$1:$R$200,24)&amp;", "))),1,""))</f>
        <v/>
      </c>
      <c r="AA190">
        <f>IF(Wizards!$A$25="","",IF(OR(ISNUMBER(SEARCH(", "&amp;$B190&amp;", ", ", "&amp;INDEX('Form Responses'!$I$1:$Q$200,25,$A190)&amp;", ")),ISNUMBER(SEARCH(", "&amp;$B190&amp;", ", ", "&amp;INDEX('Form Responses'!$R$1:$R$200,25)&amp;", "))),1,""))</f>
        <v/>
      </c>
      <c r="AB190">
        <f>IF(D190=1,", "&amp;D$1,"")</f>
        <v/>
      </c>
      <c r="AC190">
        <f>IF(E190=1,", "&amp;E$1,"")</f>
        <v/>
      </c>
      <c r="AD190">
        <f>IF(F190=1,", "&amp;F$1,"")</f>
        <v/>
      </c>
      <c r="AE190">
        <f>IF(G190=1,", "&amp;G$1,"")</f>
        <v/>
      </c>
      <c r="AF190">
        <f>IF(H190=1,", "&amp;H$1,"")</f>
        <v/>
      </c>
      <c r="AG190">
        <f>IF(I190=1,", "&amp;I$1,"")</f>
        <v/>
      </c>
      <c r="AH190">
        <f>IF(J190=1,", "&amp;J$1,"")</f>
        <v/>
      </c>
      <c r="AI190">
        <f>IF(K190=1,", "&amp;K$1,"")</f>
        <v/>
      </c>
      <c r="AJ190">
        <f>IF(L190=1,", "&amp;L$1,"")</f>
        <v/>
      </c>
      <c r="AK190">
        <f>IF(M190=1,", "&amp;M$1,"")</f>
        <v/>
      </c>
      <c r="AL190">
        <f>IF(N190=1,", "&amp;N$1,"")</f>
        <v/>
      </c>
      <c r="AM190">
        <f>IF(O190=1,", "&amp;O$1,"")</f>
        <v/>
      </c>
      <c r="AN190">
        <f>IF(P190=1,", "&amp;P$1,"")</f>
        <v/>
      </c>
      <c r="AO190">
        <f>IF(Q190=1,", "&amp;Q$1,"")</f>
        <v/>
      </c>
      <c r="AP190">
        <f>IF(R190=1,", "&amp;R$1,"")</f>
        <v/>
      </c>
      <c r="AQ190">
        <f>IF(S190=1,", "&amp;S$1,"")</f>
        <v/>
      </c>
      <c r="AR190">
        <f>IF(T190=1,", "&amp;T$1,"")</f>
        <v/>
      </c>
      <c r="AS190">
        <f>IF(U190=1,", "&amp;U$1,"")</f>
        <v/>
      </c>
      <c r="AT190">
        <f>IF(V190=1,", "&amp;V$1,"")</f>
        <v/>
      </c>
      <c r="AU190">
        <f>IF(W190=1,", "&amp;W$1,"")</f>
        <v/>
      </c>
      <c r="AV190">
        <f>IF(X190=1,", "&amp;X$1,"")</f>
        <v/>
      </c>
      <c r="AW190">
        <f>IF(Y190=1,", "&amp;Y$1,"")</f>
        <v/>
      </c>
      <c r="AX190">
        <f>IF(Z190=1,", "&amp;Z$1,"")</f>
        <v/>
      </c>
      <c r="AY190">
        <f>IF(AA190=1,", "&amp;AA$1,"")</f>
        <v/>
      </c>
      <c r="AZ190">
        <f>MID($AB190&amp;$AC190&amp;$AD190&amp;$AE190&amp;$AF190&amp;$AG190&amp;$AH190&amp;$AI190&amp;$AJ190&amp;$AK190&amp;$AL190&amp;$AM190&amp;$AN190&amp;$AO190&amp;$AP190&amp;$AQ190&amp;$AR190&amp;$AS190&amp;$AT190&amp;$AU190&amp;$AV190&amp;$AW190&amp;$AX190&amp;$AY190,3,32767)</f>
        <v/>
      </c>
      <c r="BA190">
        <f>COUNT($D190:$AA190)</f>
        <v/>
      </c>
    </row>
    <row r="191">
      <c r="A191" t="n">
        <v>4</v>
      </c>
      <c r="B191" t="inlineStr">
        <is>
          <t>Spirit of Death</t>
        </is>
      </c>
      <c r="C191" t="inlineStr">
        <is>
          <t>Necromancy</t>
        </is>
      </c>
      <c r="D191">
        <f>IF(Wizards!$A$2="","",IF(OR(ISNUMBER(SEARCH(", "&amp;$B191&amp;", ", ", "&amp;INDEX('Form Responses'!$I$1:$Q$200,2,$A191)&amp;", ")),ISNUMBER(SEARCH(", "&amp;$B191&amp;", ", ", "&amp;INDEX('Form Responses'!$R$1:$R$200,2)&amp;", "))),1,""))</f>
        <v/>
      </c>
      <c r="E191">
        <f>IF(Wizards!$A$3="","",IF(OR(ISNUMBER(SEARCH(", "&amp;$B191&amp;", ", ", "&amp;INDEX('Form Responses'!$I$1:$Q$200,3,$A191)&amp;", ")),ISNUMBER(SEARCH(", "&amp;$B191&amp;", ", ", "&amp;INDEX('Form Responses'!$R$1:$R$200,3)&amp;", "))),1,""))</f>
        <v/>
      </c>
      <c r="F191">
        <f>IF(Wizards!$A$4="","",IF(OR(ISNUMBER(SEARCH(", "&amp;$B191&amp;", ", ", "&amp;INDEX('Form Responses'!$I$1:$Q$200,4,$A191)&amp;", ")),ISNUMBER(SEARCH(", "&amp;$B191&amp;", ", ", "&amp;INDEX('Form Responses'!$R$1:$R$200,4)&amp;", "))),1,""))</f>
        <v/>
      </c>
      <c r="G191">
        <f>IF(Wizards!$A$5="","",IF(OR(ISNUMBER(SEARCH(", "&amp;$B191&amp;", ", ", "&amp;INDEX('Form Responses'!$I$1:$Q$200,5,$A191)&amp;", ")),ISNUMBER(SEARCH(", "&amp;$B191&amp;", ", ", "&amp;INDEX('Form Responses'!$R$1:$R$200,5)&amp;", "))),1,""))</f>
        <v/>
      </c>
      <c r="H191">
        <f>IF(Wizards!$A$6="","",IF(OR(ISNUMBER(SEARCH(", "&amp;$B191&amp;", ", ", "&amp;INDEX('Form Responses'!$I$1:$Q$200,6,$A191)&amp;", ")),ISNUMBER(SEARCH(", "&amp;$B191&amp;", ", ", "&amp;INDEX('Form Responses'!$R$1:$R$200,6)&amp;", "))),1,""))</f>
        <v/>
      </c>
      <c r="I191">
        <f>IF(Wizards!$A$7="","",IF(OR(ISNUMBER(SEARCH(", "&amp;$B191&amp;", ", ", "&amp;INDEX('Form Responses'!$I$1:$Q$200,7,$A191)&amp;", ")),ISNUMBER(SEARCH(", "&amp;$B191&amp;", ", ", "&amp;INDEX('Form Responses'!$R$1:$R$200,7)&amp;", "))),1,""))</f>
        <v/>
      </c>
      <c r="J191">
        <f>IF(Wizards!$A$8="","",IF(OR(ISNUMBER(SEARCH(", "&amp;$B191&amp;", ", ", "&amp;INDEX('Form Responses'!$I$1:$Q$200,8,$A191)&amp;", ")),ISNUMBER(SEARCH(", "&amp;$B191&amp;", ", ", "&amp;INDEX('Form Responses'!$R$1:$R$200,8)&amp;", "))),1,""))</f>
        <v/>
      </c>
      <c r="K191">
        <f>IF(Wizards!$A$9="","",IF(OR(ISNUMBER(SEARCH(", "&amp;$B191&amp;", ", ", "&amp;INDEX('Form Responses'!$I$1:$Q$200,9,$A191)&amp;", ")),ISNUMBER(SEARCH(", "&amp;$B191&amp;", ", ", "&amp;INDEX('Form Responses'!$R$1:$R$200,9)&amp;", "))),1,""))</f>
        <v/>
      </c>
      <c r="L191">
        <f>IF(Wizards!$A$10="","",IF(OR(ISNUMBER(SEARCH(", "&amp;$B191&amp;", ", ", "&amp;INDEX('Form Responses'!$I$1:$Q$200,10,$A191)&amp;", ")),ISNUMBER(SEARCH(", "&amp;$B191&amp;", ", ", "&amp;INDEX('Form Responses'!$R$1:$R$200,10)&amp;", "))),1,""))</f>
        <v/>
      </c>
      <c r="M191">
        <f>IF(Wizards!$A$11="","",IF(OR(ISNUMBER(SEARCH(", "&amp;$B191&amp;", ", ", "&amp;INDEX('Form Responses'!$I$1:$Q$200,11,$A191)&amp;", ")),ISNUMBER(SEARCH(", "&amp;$B191&amp;", ", ", "&amp;INDEX('Form Responses'!$R$1:$R$200,11)&amp;", "))),1,""))</f>
        <v/>
      </c>
      <c r="N191">
        <f>IF(Wizards!$A$12="","",IF(OR(ISNUMBER(SEARCH(", "&amp;$B191&amp;", ", ", "&amp;INDEX('Form Responses'!$I$1:$Q$200,12,$A191)&amp;", ")),ISNUMBER(SEARCH(", "&amp;$B191&amp;", ", ", "&amp;INDEX('Form Responses'!$R$1:$R$200,12)&amp;", "))),1,""))</f>
        <v/>
      </c>
      <c r="O191">
        <f>IF(Wizards!$A$13="","",IF(OR(ISNUMBER(SEARCH(", "&amp;$B191&amp;", ", ", "&amp;INDEX('Form Responses'!$I$1:$Q$200,13,$A191)&amp;", ")),ISNUMBER(SEARCH(", "&amp;$B191&amp;", ", ", "&amp;INDEX('Form Responses'!$R$1:$R$200,13)&amp;", "))),1,""))</f>
        <v/>
      </c>
      <c r="P191">
        <f>IF(Wizards!$A$14="","",IF(OR(ISNUMBER(SEARCH(", "&amp;$B191&amp;", ", ", "&amp;INDEX('Form Responses'!$I$1:$Q$200,14,$A191)&amp;", ")),ISNUMBER(SEARCH(", "&amp;$B191&amp;", ", ", "&amp;INDEX('Form Responses'!$R$1:$R$200,14)&amp;", "))),1,""))</f>
        <v/>
      </c>
      <c r="Q191">
        <f>IF(Wizards!$A$15="","",IF(OR(ISNUMBER(SEARCH(", "&amp;$B191&amp;", ", ", "&amp;INDEX('Form Responses'!$I$1:$Q$200,15,$A191)&amp;", ")),ISNUMBER(SEARCH(", "&amp;$B191&amp;", ", ", "&amp;INDEX('Form Responses'!$R$1:$R$200,15)&amp;", "))),1,""))</f>
        <v/>
      </c>
      <c r="R191">
        <f>IF(Wizards!$A$16="","",IF(OR(ISNUMBER(SEARCH(", "&amp;$B191&amp;", ", ", "&amp;INDEX('Form Responses'!$I$1:$Q$200,16,$A191)&amp;", ")),ISNUMBER(SEARCH(", "&amp;$B191&amp;", ", ", "&amp;INDEX('Form Responses'!$R$1:$R$200,16)&amp;", "))),1,""))</f>
        <v/>
      </c>
      <c r="S191">
        <f>IF(Wizards!$A$17="","",IF(OR(ISNUMBER(SEARCH(", "&amp;$B191&amp;", ", ", "&amp;INDEX('Form Responses'!$I$1:$Q$200,17,$A191)&amp;", ")),ISNUMBER(SEARCH(", "&amp;$B191&amp;", ", ", "&amp;INDEX('Form Responses'!$R$1:$R$200,17)&amp;", "))),1,""))</f>
        <v/>
      </c>
      <c r="T191">
        <f>IF(Wizards!$A$18="","",IF(OR(ISNUMBER(SEARCH(", "&amp;$B191&amp;", ", ", "&amp;INDEX('Form Responses'!$I$1:$Q$200,18,$A191)&amp;", ")),ISNUMBER(SEARCH(", "&amp;$B191&amp;", ", ", "&amp;INDEX('Form Responses'!$R$1:$R$200,18)&amp;", "))),1,""))</f>
        <v/>
      </c>
      <c r="U191">
        <f>IF(Wizards!$A$19="","",IF(OR(ISNUMBER(SEARCH(", "&amp;$B191&amp;", ", ", "&amp;INDEX('Form Responses'!$I$1:$Q$200,19,$A191)&amp;", ")),ISNUMBER(SEARCH(", "&amp;$B191&amp;", ", ", "&amp;INDEX('Form Responses'!$R$1:$R$200,19)&amp;", "))),1,""))</f>
        <v/>
      </c>
      <c r="V191">
        <f>IF(Wizards!$A$20="","",IF(OR(ISNUMBER(SEARCH(", "&amp;$B191&amp;", ", ", "&amp;INDEX('Form Responses'!$I$1:$Q$200,20,$A191)&amp;", ")),ISNUMBER(SEARCH(", "&amp;$B191&amp;", ", ", "&amp;INDEX('Form Responses'!$R$1:$R$200,20)&amp;", "))),1,""))</f>
        <v/>
      </c>
      <c r="W191">
        <f>IF(Wizards!$A$21="","",IF(OR(ISNUMBER(SEARCH(", "&amp;$B191&amp;", ", ", "&amp;INDEX('Form Responses'!$I$1:$Q$200,21,$A191)&amp;", ")),ISNUMBER(SEARCH(", "&amp;$B191&amp;", ", ", "&amp;INDEX('Form Responses'!$R$1:$R$200,21)&amp;", "))),1,""))</f>
        <v/>
      </c>
      <c r="X191">
        <f>IF(Wizards!$A$22="","",IF(OR(ISNUMBER(SEARCH(", "&amp;$B191&amp;", ", ", "&amp;INDEX('Form Responses'!$I$1:$Q$200,22,$A191)&amp;", ")),ISNUMBER(SEARCH(", "&amp;$B191&amp;", ", ", "&amp;INDEX('Form Responses'!$R$1:$R$200,22)&amp;", "))),1,""))</f>
        <v/>
      </c>
      <c r="Y191">
        <f>IF(Wizards!$A$23="","",IF(OR(ISNUMBER(SEARCH(", "&amp;$B191&amp;", ", ", "&amp;INDEX('Form Responses'!$I$1:$Q$200,23,$A191)&amp;", ")),ISNUMBER(SEARCH(", "&amp;$B191&amp;", ", ", "&amp;INDEX('Form Responses'!$R$1:$R$200,23)&amp;", "))),1,""))</f>
        <v/>
      </c>
      <c r="Z191">
        <f>IF(Wizards!$A$24="","",IF(OR(ISNUMBER(SEARCH(", "&amp;$B191&amp;", ", ", "&amp;INDEX('Form Responses'!$I$1:$Q$200,24,$A191)&amp;", ")),ISNUMBER(SEARCH(", "&amp;$B191&amp;", ", ", "&amp;INDEX('Form Responses'!$R$1:$R$200,24)&amp;", "))),1,""))</f>
        <v/>
      </c>
      <c r="AA191">
        <f>IF(Wizards!$A$25="","",IF(OR(ISNUMBER(SEARCH(", "&amp;$B191&amp;", ", ", "&amp;INDEX('Form Responses'!$I$1:$Q$200,25,$A191)&amp;", ")),ISNUMBER(SEARCH(", "&amp;$B191&amp;", ", ", "&amp;INDEX('Form Responses'!$R$1:$R$200,25)&amp;", "))),1,""))</f>
        <v/>
      </c>
      <c r="AB191">
        <f>IF(D191=1,", "&amp;D$1,"")</f>
        <v/>
      </c>
      <c r="AC191">
        <f>IF(E191=1,", "&amp;E$1,"")</f>
        <v/>
      </c>
      <c r="AD191">
        <f>IF(F191=1,", "&amp;F$1,"")</f>
        <v/>
      </c>
      <c r="AE191">
        <f>IF(G191=1,", "&amp;G$1,"")</f>
        <v/>
      </c>
      <c r="AF191">
        <f>IF(H191=1,", "&amp;H$1,"")</f>
        <v/>
      </c>
      <c r="AG191">
        <f>IF(I191=1,", "&amp;I$1,"")</f>
        <v/>
      </c>
      <c r="AH191">
        <f>IF(J191=1,", "&amp;J$1,"")</f>
        <v/>
      </c>
      <c r="AI191">
        <f>IF(K191=1,", "&amp;K$1,"")</f>
        <v/>
      </c>
      <c r="AJ191">
        <f>IF(L191=1,", "&amp;L$1,"")</f>
        <v/>
      </c>
      <c r="AK191">
        <f>IF(M191=1,", "&amp;M$1,"")</f>
        <v/>
      </c>
      <c r="AL191">
        <f>IF(N191=1,", "&amp;N$1,"")</f>
        <v/>
      </c>
      <c r="AM191">
        <f>IF(O191=1,", "&amp;O$1,"")</f>
        <v/>
      </c>
      <c r="AN191">
        <f>IF(P191=1,", "&amp;P$1,"")</f>
        <v/>
      </c>
      <c r="AO191">
        <f>IF(Q191=1,", "&amp;Q$1,"")</f>
        <v/>
      </c>
      <c r="AP191">
        <f>IF(R191=1,", "&amp;R$1,"")</f>
        <v/>
      </c>
      <c r="AQ191">
        <f>IF(S191=1,", "&amp;S$1,"")</f>
        <v/>
      </c>
      <c r="AR191">
        <f>IF(T191=1,", "&amp;T$1,"")</f>
        <v/>
      </c>
      <c r="AS191">
        <f>IF(U191=1,", "&amp;U$1,"")</f>
        <v/>
      </c>
      <c r="AT191">
        <f>IF(V191=1,", "&amp;V$1,"")</f>
        <v/>
      </c>
      <c r="AU191">
        <f>IF(W191=1,", "&amp;W$1,"")</f>
        <v/>
      </c>
      <c r="AV191">
        <f>IF(X191=1,", "&amp;X$1,"")</f>
        <v/>
      </c>
      <c r="AW191">
        <f>IF(Y191=1,", "&amp;Y$1,"")</f>
        <v/>
      </c>
      <c r="AX191">
        <f>IF(Z191=1,", "&amp;Z$1,"")</f>
        <v/>
      </c>
      <c r="AY191">
        <f>IF(AA191=1,", "&amp;AA$1,"")</f>
        <v/>
      </c>
      <c r="AZ191">
        <f>MID($AB191&amp;$AC191&amp;$AD191&amp;$AE191&amp;$AF191&amp;$AG191&amp;$AH191&amp;$AI191&amp;$AJ191&amp;$AK191&amp;$AL191&amp;$AM191&amp;$AN191&amp;$AO191&amp;$AP191&amp;$AQ191&amp;$AR191&amp;$AS191&amp;$AT191&amp;$AU191&amp;$AV191&amp;$AW191&amp;$AX191&amp;$AY191,3,32767)</f>
        <v/>
      </c>
      <c r="BA191">
        <f>COUNT($D191:$AA191)</f>
        <v/>
      </c>
    </row>
    <row r="192">
      <c r="A192" t="n">
        <v>4</v>
      </c>
      <c r="B192" t="inlineStr">
        <is>
          <t>Stone Shape</t>
        </is>
      </c>
      <c r="C192" t="inlineStr">
        <is>
          <t>Transmutation</t>
        </is>
      </c>
      <c r="D192">
        <f>IF(Wizards!$A$2="","",IF(OR(ISNUMBER(SEARCH(", "&amp;$B192&amp;", ", ", "&amp;INDEX('Form Responses'!$I$1:$Q$200,2,$A192)&amp;", ")),ISNUMBER(SEARCH(", "&amp;$B192&amp;", ", ", "&amp;INDEX('Form Responses'!$R$1:$R$200,2)&amp;", "))),1,""))</f>
        <v/>
      </c>
      <c r="E192">
        <f>IF(Wizards!$A$3="","",IF(OR(ISNUMBER(SEARCH(", "&amp;$B192&amp;", ", ", "&amp;INDEX('Form Responses'!$I$1:$Q$200,3,$A192)&amp;", ")),ISNUMBER(SEARCH(", "&amp;$B192&amp;", ", ", "&amp;INDEX('Form Responses'!$R$1:$R$200,3)&amp;", "))),1,""))</f>
        <v/>
      </c>
      <c r="F192">
        <f>IF(Wizards!$A$4="","",IF(OR(ISNUMBER(SEARCH(", "&amp;$B192&amp;", ", ", "&amp;INDEX('Form Responses'!$I$1:$Q$200,4,$A192)&amp;", ")),ISNUMBER(SEARCH(", "&amp;$B192&amp;", ", ", "&amp;INDEX('Form Responses'!$R$1:$R$200,4)&amp;", "))),1,""))</f>
        <v/>
      </c>
      <c r="G192">
        <f>IF(Wizards!$A$5="","",IF(OR(ISNUMBER(SEARCH(", "&amp;$B192&amp;", ", ", "&amp;INDEX('Form Responses'!$I$1:$Q$200,5,$A192)&amp;", ")),ISNUMBER(SEARCH(", "&amp;$B192&amp;", ", ", "&amp;INDEX('Form Responses'!$R$1:$R$200,5)&amp;", "))),1,""))</f>
        <v/>
      </c>
      <c r="H192">
        <f>IF(Wizards!$A$6="","",IF(OR(ISNUMBER(SEARCH(", "&amp;$B192&amp;", ", ", "&amp;INDEX('Form Responses'!$I$1:$Q$200,6,$A192)&amp;", ")),ISNUMBER(SEARCH(", "&amp;$B192&amp;", ", ", "&amp;INDEX('Form Responses'!$R$1:$R$200,6)&amp;", "))),1,""))</f>
        <v/>
      </c>
      <c r="I192">
        <f>IF(Wizards!$A$7="","",IF(OR(ISNUMBER(SEARCH(", "&amp;$B192&amp;", ", ", "&amp;INDEX('Form Responses'!$I$1:$Q$200,7,$A192)&amp;", ")),ISNUMBER(SEARCH(", "&amp;$B192&amp;", ", ", "&amp;INDEX('Form Responses'!$R$1:$R$200,7)&amp;", "))),1,""))</f>
        <v/>
      </c>
      <c r="J192">
        <f>IF(Wizards!$A$8="","",IF(OR(ISNUMBER(SEARCH(", "&amp;$B192&amp;", ", ", "&amp;INDEX('Form Responses'!$I$1:$Q$200,8,$A192)&amp;", ")),ISNUMBER(SEARCH(", "&amp;$B192&amp;", ", ", "&amp;INDEX('Form Responses'!$R$1:$R$200,8)&amp;", "))),1,""))</f>
        <v/>
      </c>
      <c r="K192">
        <f>IF(Wizards!$A$9="","",IF(OR(ISNUMBER(SEARCH(", "&amp;$B192&amp;", ", ", "&amp;INDEX('Form Responses'!$I$1:$Q$200,9,$A192)&amp;", ")),ISNUMBER(SEARCH(", "&amp;$B192&amp;", ", ", "&amp;INDEX('Form Responses'!$R$1:$R$200,9)&amp;", "))),1,""))</f>
        <v/>
      </c>
      <c r="L192">
        <f>IF(Wizards!$A$10="","",IF(OR(ISNUMBER(SEARCH(", "&amp;$B192&amp;", ", ", "&amp;INDEX('Form Responses'!$I$1:$Q$200,10,$A192)&amp;", ")),ISNUMBER(SEARCH(", "&amp;$B192&amp;", ", ", "&amp;INDEX('Form Responses'!$R$1:$R$200,10)&amp;", "))),1,""))</f>
        <v/>
      </c>
      <c r="M192">
        <f>IF(Wizards!$A$11="","",IF(OR(ISNUMBER(SEARCH(", "&amp;$B192&amp;", ", ", "&amp;INDEX('Form Responses'!$I$1:$Q$200,11,$A192)&amp;", ")),ISNUMBER(SEARCH(", "&amp;$B192&amp;", ", ", "&amp;INDEX('Form Responses'!$R$1:$R$200,11)&amp;", "))),1,""))</f>
        <v/>
      </c>
      <c r="N192">
        <f>IF(Wizards!$A$12="","",IF(OR(ISNUMBER(SEARCH(", "&amp;$B192&amp;", ", ", "&amp;INDEX('Form Responses'!$I$1:$Q$200,12,$A192)&amp;", ")),ISNUMBER(SEARCH(", "&amp;$B192&amp;", ", ", "&amp;INDEX('Form Responses'!$R$1:$R$200,12)&amp;", "))),1,""))</f>
        <v/>
      </c>
      <c r="O192">
        <f>IF(Wizards!$A$13="","",IF(OR(ISNUMBER(SEARCH(", "&amp;$B192&amp;", ", ", "&amp;INDEX('Form Responses'!$I$1:$Q$200,13,$A192)&amp;", ")),ISNUMBER(SEARCH(", "&amp;$B192&amp;", ", ", "&amp;INDEX('Form Responses'!$R$1:$R$200,13)&amp;", "))),1,""))</f>
        <v/>
      </c>
      <c r="P192">
        <f>IF(Wizards!$A$14="","",IF(OR(ISNUMBER(SEARCH(", "&amp;$B192&amp;", ", ", "&amp;INDEX('Form Responses'!$I$1:$Q$200,14,$A192)&amp;", ")),ISNUMBER(SEARCH(", "&amp;$B192&amp;", ", ", "&amp;INDEX('Form Responses'!$R$1:$R$200,14)&amp;", "))),1,""))</f>
        <v/>
      </c>
      <c r="Q192">
        <f>IF(Wizards!$A$15="","",IF(OR(ISNUMBER(SEARCH(", "&amp;$B192&amp;", ", ", "&amp;INDEX('Form Responses'!$I$1:$Q$200,15,$A192)&amp;", ")),ISNUMBER(SEARCH(", "&amp;$B192&amp;", ", ", "&amp;INDEX('Form Responses'!$R$1:$R$200,15)&amp;", "))),1,""))</f>
        <v/>
      </c>
      <c r="R192">
        <f>IF(Wizards!$A$16="","",IF(OR(ISNUMBER(SEARCH(", "&amp;$B192&amp;", ", ", "&amp;INDEX('Form Responses'!$I$1:$Q$200,16,$A192)&amp;", ")),ISNUMBER(SEARCH(", "&amp;$B192&amp;", ", ", "&amp;INDEX('Form Responses'!$R$1:$R$200,16)&amp;", "))),1,""))</f>
        <v/>
      </c>
      <c r="S192">
        <f>IF(Wizards!$A$17="","",IF(OR(ISNUMBER(SEARCH(", "&amp;$B192&amp;", ", ", "&amp;INDEX('Form Responses'!$I$1:$Q$200,17,$A192)&amp;", ")),ISNUMBER(SEARCH(", "&amp;$B192&amp;", ", ", "&amp;INDEX('Form Responses'!$R$1:$R$200,17)&amp;", "))),1,""))</f>
        <v/>
      </c>
      <c r="T192">
        <f>IF(Wizards!$A$18="","",IF(OR(ISNUMBER(SEARCH(", "&amp;$B192&amp;", ", ", "&amp;INDEX('Form Responses'!$I$1:$Q$200,18,$A192)&amp;", ")),ISNUMBER(SEARCH(", "&amp;$B192&amp;", ", ", "&amp;INDEX('Form Responses'!$R$1:$R$200,18)&amp;", "))),1,""))</f>
        <v/>
      </c>
      <c r="U192">
        <f>IF(Wizards!$A$19="","",IF(OR(ISNUMBER(SEARCH(", "&amp;$B192&amp;", ", ", "&amp;INDEX('Form Responses'!$I$1:$Q$200,19,$A192)&amp;", ")),ISNUMBER(SEARCH(", "&amp;$B192&amp;", ", ", "&amp;INDEX('Form Responses'!$R$1:$R$200,19)&amp;", "))),1,""))</f>
        <v/>
      </c>
      <c r="V192">
        <f>IF(Wizards!$A$20="","",IF(OR(ISNUMBER(SEARCH(", "&amp;$B192&amp;", ", ", "&amp;INDEX('Form Responses'!$I$1:$Q$200,20,$A192)&amp;", ")),ISNUMBER(SEARCH(", "&amp;$B192&amp;", ", ", "&amp;INDEX('Form Responses'!$R$1:$R$200,20)&amp;", "))),1,""))</f>
        <v/>
      </c>
      <c r="W192">
        <f>IF(Wizards!$A$21="","",IF(OR(ISNUMBER(SEARCH(", "&amp;$B192&amp;", ", ", "&amp;INDEX('Form Responses'!$I$1:$Q$200,21,$A192)&amp;", ")),ISNUMBER(SEARCH(", "&amp;$B192&amp;", ", ", "&amp;INDEX('Form Responses'!$R$1:$R$200,21)&amp;", "))),1,""))</f>
        <v/>
      </c>
      <c r="X192">
        <f>IF(Wizards!$A$22="","",IF(OR(ISNUMBER(SEARCH(", "&amp;$B192&amp;", ", ", "&amp;INDEX('Form Responses'!$I$1:$Q$200,22,$A192)&amp;", ")),ISNUMBER(SEARCH(", "&amp;$B192&amp;", ", ", "&amp;INDEX('Form Responses'!$R$1:$R$200,22)&amp;", "))),1,""))</f>
        <v/>
      </c>
      <c r="Y192">
        <f>IF(Wizards!$A$23="","",IF(OR(ISNUMBER(SEARCH(", "&amp;$B192&amp;", ", ", "&amp;INDEX('Form Responses'!$I$1:$Q$200,23,$A192)&amp;", ")),ISNUMBER(SEARCH(", "&amp;$B192&amp;", ", ", "&amp;INDEX('Form Responses'!$R$1:$R$200,23)&amp;", "))),1,""))</f>
        <v/>
      </c>
      <c r="Z192">
        <f>IF(Wizards!$A$24="","",IF(OR(ISNUMBER(SEARCH(", "&amp;$B192&amp;", ", ", "&amp;INDEX('Form Responses'!$I$1:$Q$200,24,$A192)&amp;", ")),ISNUMBER(SEARCH(", "&amp;$B192&amp;", ", ", "&amp;INDEX('Form Responses'!$R$1:$R$200,24)&amp;", "))),1,""))</f>
        <v/>
      </c>
      <c r="AA192">
        <f>IF(Wizards!$A$25="","",IF(OR(ISNUMBER(SEARCH(", "&amp;$B192&amp;", ", ", "&amp;INDEX('Form Responses'!$I$1:$Q$200,25,$A192)&amp;", ")),ISNUMBER(SEARCH(", "&amp;$B192&amp;", ", ", "&amp;INDEX('Form Responses'!$R$1:$R$200,25)&amp;", "))),1,""))</f>
        <v/>
      </c>
      <c r="AB192">
        <f>IF(D192=1,", "&amp;D$1,"")</f>
        <v/>
      </c>
      <c r="AC192">
        <f>IF(E192=1,", "&amp;E$1,"")</f>
        <v/>
      </c>
      <c r="AD192">
        <f>IF(F192=1,", "&amp;F$1,"")</f>
        <v/>
      </c>
      <c r="AE192">
        <f>IF(G192=1,", "&amp;G$1,"")</f>
        <v/>
      </c>
      <c r="AF192">
        <f>IF(H192=1,", "&amp;H$1,"")</f>
        <v/>
      </c>
      <c r="AG192">
        <f>IF(I192=1,", "&amp;I$1,"")</f>
        <v/>
      </c>
      <c r="AH192">
        <f>IF(J192=1,", "&amp;J$1,"")</f>
        <v/>
      </c>
      <c r="AI192">
        <f>IF(K192=1,", "&amp;K$1,"")</f>
        <v/>
      </c>
      <c r="AJ192">
        <f>IF(L192=1,", "&amp;L$1,"")</f>
        <v/>
      </c>
      <c r="AK192">
        <f>IF(M192=1,", "&amp;M$1,"")</f>
        <v/>
      </c>
      <c r="AL192">
        <f>IF(N192=1,", "&amp;N$1,"")</f>
        <v/>
      </c>
      <c r="AM192">
        <f>IF(O192=1,", "&amp;O$1,"")</f>
        <v/>
      </c>
      <c r="AN192">
        <f>IF(P192=1,", "&amp;P$1,"")</f>
        <v/>
      </c>
      <c r="AO192">
        <f>IF(Q192=1,", "&amp;Q$1,"")</f>
        <v/>
      </c>
      <c r="AP192">
        <f>IF(R192=1,", "&amp;R$1,"")</f>
        <v/>
      </c>
      <c r="AQ192">
        <f>IF(S192=1,", "&amp;S$1,"")</f>
        <v/>
      </c>
      <c r="AR192">
        <f>IF(T192=1,", "&amp;T$1,"")</f>
        <v/>
      </c>
      <c r="AS192">
        <f>IF(U192=1,", "&amp;U$1,"")</f>
        <v/>
      </c>
      <c r="AT192">
        <f>IF(V192=1,", "&amp;V$1,"")</f>
        <v/>
      </c>
      <c r="AU192">
        <f>IF(W192=1,", "&amp;W$1,"")</f>
        <v/>
      </c>
      <c r="AV192">
        <f>IF(X192=1,", "&amp;X$1,"")</f>
        <v/>
      </c>
      <c r="AW192">
        <f>IF(Y192=1,", "&amp;Y$1,"")</f>
        <v/>
      </c>
      <c r="AX192">
        <f>IF(Z192=1,", "&amp;Z$1,"")</f>
        <v/>
      </c>
      <c r="AY192">
        <f>IF(AA192=1,", "&amp;AA$1,"")</f>
        <v/>
      </c>
      <c r="AZ192">
        <f>MID($AB192&amp;$AC192&amp;$AD192&amp;$AE192&amp;$AF192&amp;$AG192&amp;$AH192&amp;$AI192&amp;$AJ192&amp;$AK192&amp;$AL192&amp;$AM192&amp;$AN192&amp;$AO192&amp;$AP192&amp;$AQ192&amp;$AR192&amp;$AS192&amp;$AT192&amp;$AU192&amp;$AV192&amp;$AW192&amp;$AX192&amp;$AY192,3,32767)</f>
        <v/>
      </c>
      <c r="BA192">
        <f>COUNT($D192:$AA192)</f>
        <v/>
      </c>
    </row>
    <row r="193">
      <c r="A193" t="n">
        <v>4</v>
      </c>
      <c r="B193" t="inlineStr">
        <is>
          <t>Stoneskin</t>
        </is>
      </c>
      <c r="C193" t="inlineStr">
        <is>
          <t>Transmutation</t>
        </is>
      </c>
      <c r="D193">
        <f>IF(Wizards!$A$2="","",IF(OR(ISNUMBER(SEARCH(", "&amp;$B193&amp;", ", ", "&amp;INDEX('Form Responses'!$I$1:$Q$200,2,$A193)&amp;", ")),ISNUMBER(SEARCH(", "&amp;$B193&amp;", ", ", "&amp;INDEX('Form Responses'!$R$1:$R$200,2)&amp;", "))),1,""))</f>
        <v/>
      </c>
      <c r="E193">
        <f>IF(Wizards!$A$3="","",IF(OR(ISNUMBER(SEARCH(", "&amp;$B193&amp;", ", ", "&amp;INDEX('Form Responses'!$I$1:$Q$200,3,$A193)&amp;", ")),ISNUMBER(SEARCH(", "&amp;$B193&amp;", ", ", "&amp;INDEX('Form Responses'!$R$1:$R$200,3)&amp;", "))),1,""))</f>
        <v/>
      </c>
      <c r="F193">
        <f>IF(Wizards!$A$4="","",IF(OR(ISNUMBER(SEARCH(", "&amp;$B193&amp;", ", ", "&amp;INDEX('Form Responses'!$I$1:$Q$200,4,$A193)&amp;", ")),ISNUMBER(SEARCH(", "&amp;$B193&amp;", ", ", "&amp;INDEX('Form Responses'!$R$1:$R$200,4)&amp;", "))),1,""))</f>
        <v/>
      </c>
      <c r="G193">
        <f>IF(Wizards!$A$5="","",IF(OR(ISNUMBER(SEARCH(", "&amp;$B193&amp;", ", ", "&amp;INDEX('Form Responses'!$I$1:$Q$200,5,$A193)&amp;", ")),ISNUMBER(SEARCH(", "&amp;$B193&amp;", ", ", "&amp;INDEX('Form Responses'!$R$1:$R$200,5)&amp;", "))),1,""))</f>
        <v/>
      </c>
      <c r="H193">
        <f>IF(Wizards!$A$6="","",IF(OR(ISNUMBER(SEARCH(", "&amp;$B193&amp;", ", ", "&amp;INDEX('Form Responses'!$I$1:$Q$200,6,$A193)&amp;", ")),ISNUMBER(SEARCH(", "&amp;$B193&amp;", ", ", "&amp;INDEX('Form Responses'!$R$1:$R$200,6)&amp;", "))),1,""))</f>
        <v/>
      </c>
      <c r="I193">
        <f>IF(Wizards!$A$7="","",IF(OR(ISNUMBER(SEARCH(", "&amp;$B193&amp;", ", ", "&amp;INDEX('Form Responses'!$I$1:$Q$200,7,$A193)&amp;", ")),ISNUMBER(SEARCH(", "&amp;$B193&amp;", ", ", "&amp;INDEX('Form Responses'!$R$1:$R$200,7)&amp;", "))),1,""))</f>
        <v/>
      </c>
      <c r="J193">
        <f>IF(Wizards!$A$8="","",IF(OR(ISNUMBER(SEARCH(", "&amp;$B193&amp;", ", ", "&amp;INDEX('Form Responses'!$I$1:$Q$200,8,$A193)&amp;", ")),ISNUMBER(SEARCH(", "&amp;$B193&amp;", ", ", "&amp;INDEX('Form Responses'!$R$1:$R$200,8)&amp;", "))),1,""))</f>
        <v/>
      </c>
      <c r="K193">
        <f>IF(Wizards!$A$9="","",IF(OR(ISNUMBER(SEARCH(", "&amp;$B193&amp;", ", ", "&amp;INDEX('Form Responses'!$I$1:$Q$200,9,$A193)&amp;", ")),ISNUMBER(SEARCH(", "&amp;$B193&amp;", ", ", "&amp;INDEX('Form Responses'!$R$1:$R$200,9)&amp;", "))),1,""))</f>
        <v/>
      </c>
      <c r="L193">
        <f>IF(Wizards!$A$10="","",IF(OR(ISNUMBER(SEARCH(", "&amp;$B193&amp;", ", ", "&amp;INDEX('Form Responses'!$I$1:$Q$200,10,$A193)&amp;", ")),ISNUMBER(SEARCH(", "&amp;$B193&amp;", ", ", "&amp;INDEX('Form Responses'!$R$1:$R$200,10)&amp;", "))),1,""))</f>
        <v/>
      </c>
      <c r="M193">
        <f>IF(Wizards!$A$11="","",IF(OR(ISNUMBER(SEARCH(", "&amp;$B193&amp;", ", ", "&amp;INDEX('Form Responses'!$I$1:$Q$200,11,$A193)&amp;", ")),ISNUMBER(SEARCH(", "&amp;$B193&amp;", ", ", "&amp;INDEX('Form Responses'!$R$1:$R$200,11)&amp;", "))),1,""))</f>
        <v/>
      </c>
      <c r="N193">
        <f>IF(Wizards!$A$12="","",IF(OR(ISNUMBER(SEARCH(", "&amp;$B193&amp;", ", ", "&amp;INDEX('Form Responses'!$I$1:$Q$200,12,$A193)&amp;", ")),ISNUMBER(SEARCH(", "&amp;$B193&amp;", ", ", "&amp;INDEX('Form Responses'!$R$1:$R$200,12)&amp;", "))),1,""))</f>
        <v/>
      </c>
      <c r="O193">
        <f>IF(Wizards!$A$13="","",IF(OR(ISNUMBER(SEARCH(", "&amp;$B193&amp;", ", ", "&amp;INDEX('Form Responses'!$I$1:$Q$200,13,$A193)&amp;", ")),ISNUMBER(SEARCH(", "&amp;$B193&amp;", ", ", "&amp;INDEX('Form Responses'!$R$1:$R$200,13)&amp;", "))),1,""))</f>
        <v/>
      </c>
      <c r="P193">
        <f>IF(Wizards!$A$14="","",IF(OR(ISNUMBER(SEARCH(", "&amp;$B193&amp;", ", ", "&amp;INDEX('Form Responses'!$I$1:$Q$200,14,$A193)&amp;", ")),ISNUMBER(SEARCH(", "&amp;$B193&amp;", ", ", "&amp;INDEX('Form Responses'!$R$1:$R$200,14)&amp;", "))),1,""))</f>
        <v/>
      </c>
      <c r="Q193">
        <f>IF(Wizards!$A$15="","",IF(OR(ISNUMBER(SEARCH(", "&amp;$B193&amp;", ", ", "&amp;INDEX('Form Responses'!$I$1:$Q$200,15,$A193)&amp;", ")),ISNUMBER(SEARCH(", "&amp;$B193&amp;", ", ", "&amp;INDEX('Form Responses'!$R$1:$R$200,15)&amp;", "))),1,""))</f>
        <v/>
      </c>
      <c r="R193">
        <f>IF(Wizards!$A$16="","",IF(OR(ISNUMBER(SEARCH(", "&amp;$B193&amp;", ", ", "&amp;INDEX('Form Responses'!$I$1:$Q$200,16,$A193)&amp;", ")),ISNUMBER(SEARCH(", "&amp;$B193&amp;", ", ", "&amp;INDEX('Form Responses'!$R$1:$R$200,16)&amp;", "))),1,""))</f>
        <v/>
      </c>
      <c r="S193">
        <f>IF(Wizards!$A$17="","",IF(OR(ISNUMBER(SEARCH(", "&amp;$B193&amp;", ", ", "&amp;INDEX('Form Responses'!$I$1:$Q$200,17,$A193)&amp;", ")),ISNUMBER(SEARCH(", "&amp;$B193&amp;", ", ", "&amp;INDEX('Form Responses'!$R$1:$R$200,17)&amp;", "))),1,""))</f>
        <v/>
      </c>
      <c r="T193">
        <f>IF(Wizards!$A$18="","",IF(OR(ISNUMBER(SEARCH(", "&amp;$B193&amp;", ", ", "&amp;INDEX('Form Responses'!$I$1:$Q$200,18,$A193)&amp;", ")),ISNUMBER(SEARCH(", "&amp;$B193&amp;", ", ", "&amp;INDEX('Form Responses'!$R$1:$R$200,18)&amp;", "))),1,""))</f>
        <v/>
      </c>
      <c r="U193">
        <f>IF(Wizards!$A$19="","",IF(OR(ISNUMBER(SEARCH(", "&amp;$B193&amp;", ", ", "&amp;INDEX('Form Responses'!$I$1:$Q$200,19,$A193)&amp;", ")),ISNUMBER(SEARCH(", "&amp;$B193&amp;", ", ", "&amp;INDEX('Form Responses'!$R$1:$R$200,19)&amp;", "))),1,""))</f>
        <v/>
      </c>
      <c r="V193">
        <f>IF(Wizards!$A$20="","",IF(OR(ISNUMBER(SEARCH(", "&amp;$B193&amp;", ", ", "&amp;INDEX('Form Responses'!$I$1:$Q$200,20,$A193)&amp;", ")),ISNUMBER(SEARCH(", "&amp;$B193&amp;", ", ", "&amp;INDEX('Form Responses'!$R$1:$R$200,20)&amp;", "))),1,""))</f>
        <v/>
      </c>
      <c r="W193">
        <f>IF(Wizards!$A$21="","",IF(OR(ISNUMBER(SEARCH(", "&amp;$B193&amp;", ", ", "&amp;INDEX('Form Responses'!$I$1:$Q$200,21,$A193)&amp;", ")),ISNUMBER(SEARCH(", "&amp;$B193&amp;", ", ", "&amp;INDEX('Form Responses'!$R$1:$R$200,21)&amp;", "))),1,""))</f>
        <v/>
      </c>
      <c r="X193">
        <f>IF(Wizards!$A$22="","",IF(OR(ISNUMBER(SEARCH(", "&amp;$B193&amp;", ", ", "&amp;INDEX('Form Responses'!$I$1:$Q$200,22,$A193)&amp;", ")),ISNUMBER(SEARCH(", "&amp;$B193&amp;", ", ", "&amp;INDEX('Form Responses'!$R$1:$R$200,22)&amp;", "))),1,""))</f>
        <v/>
      </c>
      <c r="Y193">
        <f>IF(Wizards!$A$23="","",IF(OR(ISNUMBER(SEARCH(", "&amp;$B193&amp;", ", ", "&amp;INDEX('Form Responses'!$I$1:$Q$200,23,$A193)&amp;", ")),ISNUMBER(SEARCH(", "&amp;$B193&amp;", ", ", "&amp;INDEX('Form Responses'!$R$1:$R$200,23)&amp;", "))),1,""))</f>
        <v/>
      </c>
      <c r="Z193">
        <f>IF(Wizards!$A$24="","",IF(OR(ISNUMBER(SEARCH(", "&amp;$B193&amp;", ", ", "&amp;INDEX('Form Responses'!$I$1:$Q$200,24,$A193)&amp;", ")),ISNUMBER(SEARCH(", "&amp;$B193&amp;", ", ", "&amp;INDEX('Form Responses'!$R$1:$R$200,24)&amp;", "))),1,""))</f>
        <v/>
      </c>
      <c r="AA193">
        <f>IF(Wizards!$A$25="","",IF(OR(ISNUMBER(SEARCH(", "&amp;$B193&amp;", ", ", "&amp;INDEX('Form Responses'!$I$1:$Q$200,25,$A193)&amp;", ")),ISNUMBER(SEARCH(", "&amp;$B193&amp;", ", ", "&amp;INDEX('Form Responses'!$R$1:$R$200,25)&amp;", "))),1,""))</f>
        <v/>
      </c>
      <c r="AB193">
        <f>IF(D193=1,", "&amp;D$1,"")</f>
        <v/>
      </c>
      <c r="AC193">
        <f>IF(E193=1,", "&amp;E$1,"")</f>
        <v/>
      </c>
      <c r="AD193">
        <f>IF(F193=1,", "&amp;F$1,"")</f>
        <v/>
      </c>
      <c r="AE193">
        <f>IF(G193=1,", "&amp;G$1,"")</f>
        <v/>
      </c>
      <c r="AF193">
        <f>IF(H193=1,", "&amp;H$1,"")</f>
        <v/>
      </c>
      <c r="AG193">
        <f>IF(I193=1,", "&amp;I$1,"")</f>
        <v/>
      </c>
      <c r="AH193">
        <f>IF(J193=1,", "&amp;J$1,"")</f>
        <v/>
      </c>
      <c r="AI193">
        <f>IF(K193=1,", "&amp;K$1,"")</f>
        <v/>
      </c>
      <c r="AJ193">
        <f>IF(L193=1,", "&amp;L$1,"")</f>
        <v/>
      </c>
      <c r="AK193">
        <f>IF(M193=1,", "&amp;M$1,"")</f>
        <v/>
      </c>
      <c r="AL193">
        <f>IF(N193=1,", "&amp;N$1,"")</f>
        <v/>
      </c>
      <c r="AM193">
        <f>IF(O193=1,", "&amp;O$1,"")</f>
        <v/>
      </c>
      <c r="AN193">
        <f>IF(P193=1,", "&amp;P$1,"")</f>
        <v/>
      </c>
      <c r="AO193">
        <f>IF(Q193=1,", "&amp;Q$1,"")</f>
        <v/>
      </c>
      <c r="AP193">
        <f>IF(R193=1,", "&amp;R$1,"")</f>
        <v/>
      </c>
      <c r="AQ193">
        <f>IF(S193=1,", "&amp;S$1,"")</f>
        <v/>
      </c>
      <c r="AR193">
        <f>IF(T193=1,", "&amp;T$1,"")</f>
        <v/>
      </c>
      <c r="AS193">
        <f>IF(U193=1,", "&amp;U$1,"")</f>
        <v/>
      </c>
      <c r="AT193">
        <f>IF(V193=1,", "&amp;V$1,"")</f>
        <v/>
      </c>
      <c r="AU193">
        <f>IF(W193=1,", "&amp;W$1,"")</f>
        <v/>
      </c>
      <c r="AV193">
        <f>IF(X193=1,", "&amp;X$1,"")</f>
        <v/>
      </c>
      <c r="AW193">
        <f>IF(Y193=1,", "&amp;Y$1,"")</f>
        <v/>
      </c>
      <c r="AX193">
        <f>IF(Z193=1,", "&amp;Z$1,"")</f>
        <v/>
      </c>
      <c r="AY193">
        <f>IF(AA193=1,", "&amp;AA$1,"")</f>
        <v/>
      </c>
      <c r="AZ193">
        <f>MID($AB193&amp;$AC193&amp;$AD193&amp;$AE193&amp;$AF193&amp;$AG193&amp;$AH193&amp;$AI193&amp;$AJ193&amp;$AK193&amp;$AL193&amp;$AM193&amp;$AN193&amp;$AO193&amp;$AP193&amp;$AQ193&amp;$AR193&amp;$AS193&amp;$AT193&amp;$AU193&amp;$AV193&amp;$AW193&amp;$AX193&amp;$AY193,3,32767)</f>
        <v/>
      </c>
      <c r="BA193">
        <f>COUNT($D193:$AA193)</f>
        <v/>
      </c>
    </row>
    <row r="194">
      <c r="A194" t="n">
        <v>4</v>
      </c>
      <c r="B194" t="inlineStr">
        <is>
          <t>Storm Sphere</t>
        </is>
      </c>
      <c r="C194" t="inlineStr">
        <is>
          <t>Evocation</t>
        </is>
      </c>
      <c r="D194">
        <f>IF(Wizards!$A$2="","",IF(OR(ISNUMBER(SEARCH(", "&amp;$B194&amp;", ", ", "&amp;INDEX('Form Responses'!$I$1:$Q$200,2,$A194)&amp;", ")),ISNUMBER(SEARCH(", "&amp;$B194&amp;", ", ", "&amp;INDEX('Form Responses'!$R$1:$R$200,2)&amp;", "))),1,""))</f>
        <v/>
      </c>
      <c r="E194">
        <f>IF(Wizards!$A$3="","",IF(OR(ISNUMBER(SEARCH(", "&amp;$B194&amp;", ", ", "&amp;INDEX('Form Responses'!$I$1:$Q$200,3,$A194)&amp;", ")),ISNUMBER(SEARCH(", "&amp;$B194&amp;", ", ", "&amp;INDEX('Form Responses'!$R$1:$R$200,3)&amp;", "))),1,""))</f>
        <v/>
      </c>
      <c r="F194">
        <f>IF(Wizards!$A$4="","",IF(OR(ISNUMBER(SEARCH(", "&amp;$B194&amp;", ", ", "&amp;INDEX('Form Responses'!$I$1:$Q$200,4,$A194)&amp;", ")),ISNUMBER(SEARCH(", "&amp;$B194&amp;", ", ", "&amp;INDEX('Form Responses'!$R$1:$R$200,4)&amp;", "))),1,""))</f>
        <v/>
      </c>
      <c r="G194">
        <f>IF(Wizards!$A$5="","",IF(OR(ISNUMBER(SEARCH(", "&amp;$B194&amp;", ", ", "&amp;INDEX('Form Responses'!$I$1:$Q$200,5,$A194)&amp;", ")),ISNUMBER(SEARCH(", "&amp;$B194&amp;", ", ", "&amp;INDEX('Form Responses'!$R$1:$R$200,5)&amp;", "))),1,""))</f>
        <v/>
      </c>
      <c r="H194">
        <f>IF(Wizards!$A$6="","",IF(OR(ISNUMBER(SEARCH(", "&amp;$B194&amp;", ", ", "&amp;INDEX('Form Responses'!$I$1:$Q$200,6,$A194)&amp;", ")),ISNUMBER(SEARCH(", "&amp;$B194&amp;", ", ", "&amp;INDEX('Form Responses'!$R$1:$R$200,6)&amp;", "))),1,""))</f>
        <v/>
      </c>
      <c r="I194">
        <f>IF(Wizards!$A$7="","",IF(OR(ISNUMBER(SEARCH(", "&amp;$B194&amp;", ", ", "&amp;INDEX('Form Responses'!$I$1:$Q$200,7,$A194)&amp;", ")),ISNUMBER(SEARCH(", "&amp;$B194&amp;", ", ", "&amp;INDEX('Form Responses'!$R$1:$R$200,7)&amp;", "))),1,""))</f>
        <v/>
      </c>
      <c r="J194">
        <f>IF(Wizards!$A$8="","",IF(OR(ISNUMBER(SEARCH(", "&amp;$B194&amp;", ", ", "&amp;INDEX('Form Responses'!$I$1:$Q$200,8,$A194)&amp;", ")),ISNUMBER(SEARCH(", "&amp;$B194&amp;", ", ", "&amp;INDEX('Form Responses'!$R$1:$R$200,8)&amp;", "))),1,""))</f>
        <v/>
      </c>
      <c r="K194">
        <f>IF(Wizards!$A$9="","",IF(OR(ISNUMBER(SEARCH(", "&amp;$B194&amp;", ", ", "&amp;INDEX('Form Responses'!$I$1:$Q$200,9,$A194)&amp;", ")),ISNUMBER(SEARCH(", "&amp;$B194&amp;", ", ", "&amp;INDEX('Form Responses'!$R$1:$R$200,9)&amp;", "))),1,""))</f>
        <v/>
      </c>
      <c r="L194">
        <f>IF(Wizards!$A$10="","",IF(OR(ISNUMBER(SEARCH(", "&amp;$B194&amp;", ", ", "&amp;INDEX('Form Responses'!$I$1:$Q$200,10,$A194)&amp;", ")),ISNUMBER(SEARCH(", "&amp;$B194&amp;", ", ", "&amp;INDEX('Form Responses'!$R$1:$R$200,10)&amp;", "))),1,""))</f>
        <v/>
      </c>
      <c r="M194">
        <f>IF(Wizards!$A$11="","",IF(OR(ISNUMBER(SEARCH(", "&amp;$B194&amp;", ", ", "&amp;INDEX('Form Responses'!$I$1:$Q$200,11,$A194)&amp;", ")),ISNUMBER(SEARCH(", "&amp;$B194&amp;", ", ", "&amp;INDEX('Form Responses'!$R$1:$R$200,11)&amp;", "))),1,""))</f>
        <v/>
      </c>
      <c r="N194">
        <f>IF(Wizards!$A$12="","",IF(OR(ISNUMBER(SEARCH(", "&amp;$B194&amp;", ", ", "&amp;INDEX('Form Responses'!$I$1:$Q$200,12,$A194)&amp;", ")),ISNUMBER(SEARCH(", "&amp;$B194&amp;", ", ", "&amp;INDEX('Form Responses'!$R$1:$R$200,12)&amp;", "))),1,""))</f>
        <v/>
      </c>
      <c r="O194">
        <f>IF(Wizards!$A$13="","",IF(OR(ISNUMBER(SEARCH(", "&amp;$B194&amp;", ", ", "&amp;INDEX('Form Responses'!$I$1:$Q$200,13,$A194)&amp;", ")),ISNUMBER(SEARCH(", "&amp;$B194&amp;", ", ", "&amp;INDEX('Form Responses'!$R$1:$R$200,13)&amp;", "))),1,""))</f>
        <v/>
      </c>
      <c r="P194">
        <f>IF(Wizards!$A$14="","",IF(OR(ISNUMBER(SEARCH(", "&amp;$B194&amp;", ", ", "&amp;INDEX('Form Responses'!$I$1:$Q$200,14,$A194)&amp;", ")),ISNUMBER(SEARCH(", "&amp;$B194&amp;", ", ", "&amp;INDEX('Form Responses'!$R$1:$R$200,14)&amp;", "))),1,""))</f>
        <v/>
      </c>
      <c r="Q194">
        <f>IF(Wizards!$A$15="","",IF(OR(ISNUMBER(SEARCH(", "&amp;$B194&amp;", ", ", "&amp;INDEX('Form Responses'!$I$1:$Q$200,15,$A194)&amp;", ")),ISNUMBER(SEARCH(", "&amp;$B194&amp;", ", ", "&amp;INDEX('Form Responses'!$R$1:$R$200,15)&amp;", "))),1,""))</f>
        <v/>
      </c>
      <c r="R194">
        <f>IF(Wizards!$A$16="","",IF(OR(ISNUMBER(SEARCH(", "&amp;$B194&amp;", ", ", "&amp;INDEX('Form Responses'!$I$1:$Q$200,16,$A194)&amp;", ")),ISNUMBER(SEARCH(", "&amp;$B194&amp;", ", ", "&amp;INDEX('Form Responses'!$R$1:$R$200,16)&amp;", "))),1,""))</f>
        <v/>
      </c>
      <c r="S194">
        <f>IF(Wizards!$A$17="","",IF(OR(ISNUMBER(SEARCH(", "&amp;$B194&amp;", ", ", "&amp;INDEX('Form Responses'!$I$1:$Q$200,17,$A194)&amp;", ")),ISNUMBER(SEARCH(", "&amp;$B194&amp;", ", ", "&amp;INDEX('Form Responses'!$R$1:$R$200,17)&amp;", "))),1,""))</f>
        <v/>
      </c>
      <c r="T194">
        <f>IF(Wizards!$A$18="","",IF(OR(ISNUMBER(SEARCH(", "&amp;$B194&amp;", ", ", "&amp;INDEX('Form Responses'!$I$1:$Q$200,18,$A194)&amp;", ")),ISNUMBER(SEARCH(", "&amp;$B194&amp;", ", ", "&amp;INDEX('Form Responses'!$R$1:$R$200,18)&amp;", "))),1,""))</f>
        <v/>
      </c>
      <c r="U194">
        <f>IF(Wizards!$A$19="","",IF(OR(ISNUMBER(SEARCH(", "&amp;$B194&amp;", ", ", "&amp;INDEX('Form Responses'!$I$1:$Q$200,19,$A194)&amp;", ")),ISNUMBER(SEARCH(", "&amp;$B194&amp;", ", ", "&amp;INDEX('Form Responses'!$R$1:$R$200,19)&amp;", "))),1,""))</f>
        <v/>
      </c>
      <c r="V194">
        <f>IF(Wizards!$A$20="","",IF(OR(ISNUMBER(SEARCH(", "&amp;$B194&amp;", ", ", "&amp;INDEX('Form Responses'!$I$1:$Q$200,20,$A194)&amp;", ")),ISNUMBER(SEARCH(", "&amp;$B194&amp;", ", ", "&amp;INDEX('Form Responses'!$R$1:$R$200,20)&amp;", "))),1,""))</f>
        <v/>
      </c>
      <c r="W194">
        <f>IF(Wizards!$A$21="","",IF(OR(ISNUMBER(SEARCH(", "&amp;$B194&amp;", ", ", "&amp;INDEX('Form Responses'!$I$1:$Q$200,21,$A194)&amp;", ")),ISNUMBER(SEARCH(", "&amp;$B194&amp;", ", ", "&amp;INDEX('Form Responses'!$R$1:$R$200,21)&amp;", "))),1,""))</f>
        <v/>
      </c>
      <c r="X194">
        <f>IF(Wizards!$A$22="","",IF(OR(ISNUMBER(SEARCH(", "&amp;$B194&amp;", ", ", "&amp;INDEX('Form Responses'!$I$1:$Q$200,22,$A194)&amp;", ")),ISNUMBER(SEARCH(", "&amp;$B194&amp;", ", ", "&amp;INDEX('Form Responses'!$R$1:$R$200,22)&amp;", "))),1,""))</f>
        <v/>
      </c>
      <c r="Y194">
        <f>IF(Wizards!$A$23="","",IF(OR(ISNUMBER(SEARCH(", "&amp;$B194&amp;", ", ", "&amp;INDEX('Form Responses'!$I$1:$Q$200,23,$A194)&amp;", ")),ISNUMBER(SEARCH(", "&amp;$B194&amp;", ", ", "&amp;INDEX('Form Responses'!$R$1:$R$200,23)&amp;", "))),1,""))</f>
        <v/>
      </c>
      <c r="Z194">
        <f>IF(Wizards!$A$24="","",IF(OR(ISNUMBER(SEARCH(", "&amp;$B194&amp;", ", ", "&amp;INDEX('Form Responses'!$I$1:$Q$200,24,$A194)&amp;", ")),ISNUMBER(SEARCH(", "&amp;$B194&amp;", ", ", "&amp;INDEX('Form Responses'!$R$1:$R$200,24)&amp;", "))),1,""))</f>
        <v/>
      </c>
      <c r="AA194">
        <f>IF(Wizards!$A$25="","",IF(OR(ISNUMBER(SEARCH(", "&amp;$B194&amp;", ", ", "&amp;INDEX('Form Responses'!$I$1:$Q$200,25,$A194)&amp;", ")),ISNUMBER(SEARCH(", "&amp;$B194&amp;", ", ", "&amp;INDEX('Form Responses'!$R$1:$R$200,25)&amp;", "))),1,""))</f>
        <v/>
      </c>
      <c r="AB194">
        <f>IF(D194=1,", "&amp;D$1,"")</f>
        <v/>
      </c>
      <c r="AC194">
        <f>IF(E194=1,", "&amp;E$1,"")</f>
        <v/>
      </c>
      <c r="AD194">
        <f>IF(F194=1,", "&amp;F$1,"")</f>
        <v/>
      </c>
      <c r="AE194">
        <f>IF(G194=1,", "&amp;G$1,"")</f>
        <v/>
      </c>
      <c r="AF194">
        <f>IF(H194=1,", "&amp;H$1,"")</f>
        <v/>
      </c>
      <c r="AG194">
        <f>IF(I194=1,", "&amp;I$1,"")</f>
        <v/>
      </c>
      <c r="AH194">
        <f>IF(J194=1,", "&amp;J$1,"")</f>
        <v/>
      </c>
      <c r="AI194">
        <f>IF(K194=1,", "&amp;K$1,"")</f>
        <v/>
      </c>
      <c r="AJ194">
        <f>IF(L194=1,", "&amp;L$1,"")</f>
        <v/>
      </c>
      <c r="AK194">
        <f>IF(M194=1,", "&amp;M$1,"")</f>
        <v/>
      </c>
      <c r="AL194">
        <f>IF(N194=1,", "&amp;N$1,"")</f>
        <v/>
      </c>
      <c r="AM194">
        <f>IF(O194=1,", "&amp;O$1,"")</f>
        <v/>
      </c>
      <c r="AN194">
        <f>IF(P194=1,", "&amp;P$1,"")</f>
        <v/>
      </c>
      <c r="AO194">
        <f>IF(Q194=1,", "&amp;Q$1,"")</f>
        <v/>
      </c>
      <c r="AP194">
        <f>IF(R194=1,", "&amp;R$1,"")</f>
        <v/>
      </c>
      <c r="AQ194">
        <f>IF(S194=1,", "&amp;S$1,"")</f>
        <v/>
      </c>
      <c r="AR194">
        <f>IF(T194=1,", "&amp;T$1,"")</f>
        <v/>
      </c>
      <c r="AS194">
        <f>IF(U194=1,", "&amp;U$1,"")</f>
        <v/>
      </c>
      <c r="AT194">
        <f>IF(V194=1,", "&amp;V$1,"")</f>
        <v/>
      </c>
      <c r="AU194">
        <f>IF(W194=1,", "&amp;W$1,"")</f>
        <v/>
      </c>
      <c r="AV194">
        <f>IF(X194=1,", "&amp;X$1,"")</f>
        <v/>
      </c>
      <c r="AW194">
        <f>IF(Y194=1,", "&amp;Y$1,"")</f>
        <v/>
      </c>
      <c r="AX194">
        <f>IF(Z194=1,", "&amp;Z$1,"")</f>
        <v/>
      </c>
      <c r="AY194">
        <f>IF(AA194=1,", "&amp;AA$1,"")</f>
        <v/>
      </c>
      <c r="AZ194">
        <f>MID($AB194&amp;$AC194&amp;$AD194&amp;$AE194&amp;$AF194&amp;$AG194&amp;$AH194&amp;$AI194&amp;$AJ194&amp;$AK194&amp;$AL194&amp;$AM194&amp;$AN194&amp;$AO194&amp;$AP194&amp;$AQ194&amp;$AR194&amp;$AS194&amp;$AT194&amp;$AU194&amp;$AV194&amp;$AW194&amp;$AX194&amp;$AY194,3,32767)</f>
        <v/>
      </c>
      <c r="BA194">
        <f>COUNT($D194:$AA194)</f>
        <v/>
      </c>
    </row>
    <row r="195">
      <c r="A195" t="n">
        <v>4</v>
      </c>
      <c r="B195" t="inlineStr">
        <is>
          <t>Summon Aberration</t>
        </is>
      </c>
      <c r="C195" t="inlineStr">
        <is>
          <t>Conjuration</t>
        </is>
      </c>
      <c r="D195">
        <f>IF(Wizards!$A$2="","",IF(OR(ISNUMBER(SEARCH(", "&amp;$B195&amp;", ", ", "&amp;INDEX('Form Responses'!$I$1:$Q$200,2,$A195)&amp;", ")),ISNUMBER(SEARCH(", "&amp;$B195&amp;", ", ", "&amp;INDEX('Form Responses'!$R$1:$R$200,2)&amp;", "))),1,""))</f>
        <v/>
      </c>
      <c r="E195">
        <f>IF(Wizards!$A$3="","",IF(OR(ISNUMBER(SEARCH(", "&amp;$B195&amp;", ", ", "&amp;INDEX('Form Responses'!$I$1:$Q$200,3,$A195)&amp;", ")),ISNUMBER(SEARCH(", "&amp;$B195&amp;", ", ", "&amp;INDEX('Form Responses'!$R$1:$R$200,3)&amp;", "))),1,""))</f>
        <v/>
      </c>
      <c r="F195">
        <f>IF(Wizards!$A$4="","",IF(OR(ISNUMBER(SEARCH(", "&amp;$B195&amp;", ", ", "&amp;INDEX('Form Responses'!$I$1:$Q$200,4,$A195)&amp;", ")),ISNUMBER(SEARCH(", "&amp;$B195&amp;", ", ", "&amp;INDEX('Form Responses'!$R$1:$R$200,4)&amp;", "))),1,""))</f>
        <v/>
      </c>
      <c r="G195">
        <f>IF(Wizards!$A$5="","",IF(OR(ISNUMBER(SEARCH(", "&amp;$B195&amp;", ", ", "&amp;INDEX('Form Responses'!$I$1:$Q$200,5,$A195)&amp;", ")),ISNUMBER(SEARCH(", "&amp;$B195&amp;", ", ", "&amp;INDEX('Form Responses'!$R$1:$R$200,5)&amp;", "))),1,""))</f>
        <v/>
      </c>
      <c r="H195">
        <f>IF(Wizards!$A$6="","",IF(OR(ISNUMBER(SEARCH(", "&amp;$B195&amp;", ", ", "&amp;INDEX('Form Responses'!$I$1:$Q$200,6,$A195)&amp;", ")),ISNUMBER(SEARCH(", "&amp;$B195&amp;", ", ", "&amp;INDEX('Form Responses'!$R$1:$R$200,6)&amp;", "))),1,""))</f>
        <v/>
      </c>
      <c r="I195">
        <f>IF(Wizards!$A$7="","",IF(OR(ISNUMBER(SEARCH(", "&amp;$B195&amp;", ", ", "&amp;INDEX('Form Responses'!$I$1:$Q$200,7,$A195)&amp;", ")),ISNUMBER(SEARCH(", "&amp;$B195&amp;", ", ", "&amp;INDEX('Form Responses'!$R$1:$R$200,7)&amp;", "))),1,""))</f>
        <v/>
      </c>
      <c r="J195">
        <f>IF(Wizards!$A$8="","",IF(OR(ISNUMBER(SEARCH(", "&amp;$B195&amp;", ", ", "&amp;INDEX('Form Responses'!$I$1:$Q$200,8,$A195)&amp;", ")),ISNUMBER(SEARCH(", "&amp;$B195&amp;", ", ", "&amp;INDEX('Form Responses'!$R$1:$R$200,8)&amp;", "))),1,""))</f>
        <v/>
      </c>
      <c r="K195">
        <f>IF(Wizards!$A$9="","",IF(OR(ISNUMBER(SEARCH(", "&amp;$B195&amp;", ", ", "&amp;INDEX('Form Responses'!$I$1:$Q$200,9,$A195)&amp;", ")),ISNUMBER(SEARCH(", "&amp;$B195&amp;", ", ", "&amp;INDEX('Form Responses'!$R$1:$R$200,9)&amp;", "))),1,""))</f>
        <v/>
      </c>
      <c r="L195">
        <f>IF(Wizards!$A$10="","",IF(OR(ISNUMBER(SEARCH(", "&amp;$B195&amp;", ", ", "&amp;INDEX('Form Responses'!$I$1:$Q$200,10,$A195)&amp;", ")),ISNUMBER(SEARCH(", "&amp;$B195&amp;", ", ", "&amp;INDEX('Form Responses'!$R$1:$R$200,10)&amp;", "))),1,""))</f>
        <v/>
      </c>
      <c r="M195">
        <f>IF(Wizards!$A$11="","",IF(OR(ISNUMBER(SEARCH(", "&amp;$B195&amp;", ", ", "&amp;INDEX('Form Responses'!$I$1:$Q$200,11,$A195)&amp;", ")),ISNUMBER(SEARCH(", "&amp;$B195&amp;", ", ", "&amp;INDEX('Form Responses'!$R$1:$R$200,11)&amp;", "))),1,""))</f>
        <v/>
      </c>
      <c r="N195">
        <f>IF(Wizards!$A$12="","",IF(OR(ISNUMBER(SEARCH(", "&amp;$B195&amp;", ", ", "&amp;INDEX('Form Responses'!$I$1:$Q$200,12,$A195)&amp;", ")),ISNUMBER(SEARCH(", "&amp;$B195&amp;", ", ", "&amp;INDEX('Form Responses'!$R$1:$R$200,12)&amp;", "))),1,""))</f>
        <v/>
      </c>
      <c r="O195">
        <f>IF(Wizards!$A$13="","",IF(OR(ISNUMBER(SEARCH(", "&amp;$B195&amp;", ", ", "&amp;INDEX('Form Responses'!$I$1:$Q$200,13,$A195)&amp;", ")),ISNUMBER(SEARCH(", "&amp;$B195&amp;", ", ", "&amp;INDEX('Form Responses'!$R$1:$R$200,13)&amp;", "))),1,""))</f>
        <v/>
      </c>
      <c r="P195">
        <f>IF(Wizards!$A$14="","",IF(OR(ISNUMBER(SEARCH(", "&amp;$B195&amp;", ", ", "&amp;INDEX('Form Responses'!$I$1:$Q$200,14,$A195)&amp;", ")),ISNUMBER(SEARCH(", "&amp;$B195&amp;", ", ", "&amp;INDEX('Form Responses'!$R$1:$R$200,14)&amp;", "))),1,""))</f>
        <v/>
      </c>
      <c r="Q195">
        <f>IF(Wizards!$A$15="","",IF(OR(ISNUMBER(SEARCH(", "&amp;$B195&amp;", ", ", "&amp;INDEX('Form Responses'!$I$1:$Q$200,15,$A195)&amp;", ")),ISNUMBER(SEARCH(", "&amp;$B195&amp;", ", ", "&amp;INDEX('Form Responses'!$R$1:$R$200,15)&amp;", "))),1,""))</f>
        <v/>
      </c>
      <c r="R195">
        <f>IF(Wizards!$A$16="","",IF(OR(ISNUMBER(SEARCH(", "&amp;$B195&amp;", ", ", "&amp;INDEX('Form Responses'!$I$1:$Q$200,16,$A195)&amp;", ")),ISNUMBER(SEARCH(", "&amp;$B195&amp;", ", ", "&amp;INDEX('Form Responses'!$R$1:$R$200,16)&amp;", "))),1,""))</f>
        <v/>
      </c>
      <c r="S195">
        <f>IF(Wizards!$A$17="","",IF(OR(ISNUMBER(SEARCH(", "&amp;$B195&amp;", ", ", "&amp;INDEX('Form Responses'!$I$1:$Q$200,17,$A195)&amp;", ")),ISNUMBER(SEARCH(", "&amp;$B195&amp;", ", ", "&amp;INDEX('Form Responses'!$R$1:$R$200,17)&amp;", "))),1,""))</f>
        <v/>
      </c>
      <c r="T195">
        <f>IF(Wizards!$A$18="","",IF(OR(ISNUMBER(SEARCH(", "&amp;$B195&amp;", ", ", "&amp;INDEX('Form Responses'!$I$1:$Q$200,18,$A195)&amp;", ")),ISNUMBER(SEARCH(", "&amp;$B195&amp;", ", ", "&amp;INDEX('Form Responses'!$R$1:$R$200,18)&amp;", "))),1,""))</f>
        <v/>
      </c>
      <c r="U195">
        <f>IF(Wizards!$A$19="","",IF(OR(ISNUMBER(SEARCH(", "&amp;$B195&amp;", ", ", "&amp;INDEX('Form Responses'!$I$1:$Q$200,19,$A195)&amp;", ")),ISNUMBER(SEARCH(", "&amp;$B195&amp;", ", ", "&amp;INDEX('Form Responses'!$R$1:$R$200,19)&amp;", "))),1,""))</f>
        <v/>
      </c>
      <c r="V195">
        <f>IF(Wizards!$A$20="","",IF(OR(ISNUMBER(SEARCH(", "&amp;$B195&amp;", ", ", "&amp;INDEX('Form Responses'!$I$1:$Q$200,20,$A195)&amp;", ")),ISNUMBER(SEARCH(", "&amp;$B195&amp;", ", ", "&amp;INDEX('Form Responses'!$R$1:$R$200,20)&amp;", "))),1,""))</f>
        <v/>
      </c>
      <c r="W195">
        <f>IF(Wizards!$A$21="","",IF(OR(ISNUMBER(SEARCH(", "&amp;$B195&amp;", ", ", "&amp;INDEX('Form Responses'!$I$1:$Q$200,21,$A195)&amp;", ")),ISNUMBER(SEARCH(", "&amp;$B195&amp;", ", ", "&amp;INDEX('Form Responses'!$R$1:$R$200,21)&amp;", "))),1,""))</f>
        <v/>
      </c>
      <c r="X195">
        <f>IF(Wizards!$A$22="","",IF(OR(ISNUMBER(SEARCH(", "&amp;$B195&amp;", ", ", "&amp;INDEX('Form Responses'!$I$1:$Q$200,22,$A195)&amp;", ")),ISNUMBER(SEARCH(", "&amp;$B195&amp;", ", ", "&amp;INDEX('Form Responses'!$R$1:$R$200,22)&amp;", "))),1,""))</f>
        <v/>
      </c>
      <c r="Y195">
        <f>IF(Wizards!$A$23="","",IF(OR(ISNUMBER(SEARCH(", "&amp;$B195&amp;", ", ", "&amp;INDEX('Form Responses'!$I$1:$Q$200,23,$A195)&amp;", ")),ISNUMBER(SEARCH(", "&amp;$B195&amp;", ", ", "&amp;INDEX('Form Responses'!$R$1:$R$200,23)&amp;", "))),1,""))</f>
        <v/>
      </c>
      <c r="Z195">
        <f>IF(Wizards!$A$24="","",IF(OR(ISNUMBER(SEARCH(", "&amp;$B195&amp;", ", ", "&amp;INDEX('Form Responses'!$I$1:$Q$200,24,$A195)&amp;", ")),ISNUMBER(SEARCH(", "&amp;$B195&amp;", ", ", "&amp;INDEX('Form Responses'!$R$1:$R$200,24)&amp;", "))),1,""))</f>
        <v/>
      </c>
      <c r="AA195">
        <f>IF(Wizards!$A$25="","",IF(OR(ISNUMBER(SEARCH(", "&amp;$B195&amp;", ", ", "&amp;INDEX('Form Responses'!$I$1:$Q$200,25,$A195)&amp;", ")),ISNUMBER(SEARCH(", "&amp;$B195&amp;", ", ", "&amp;INDEX('Form Responses'!$R$1:$R$200,25)&amp;", "))),1,""))</f>
        <v/>
      </c>
      <c r="AB195">
        <f>IF(D195=1,", "&amp;D$1,"")</f>
        <v/>
      </c>
      <c r="AC195">
        <f>IF(E195=1,", "&amp;E$1,"")</f>
        <v/>
      </c>
      <c r="AD195">
        <f>IF(F195=1,", "&amp;F$1,"")</f>
        <v/>
      </c>
      <c r="AE195">
        <f>IF(G195=1,", "&amp;G$1,"")</f>
        <v/>
      </c>
      <c r="AF195">
        <f>IF(H195=1,", "&amp;H$1,"")</f>
        <v/>
      </c>
      <c r="AG195">
        <f>IF(I195=1,", "&amp;I$1,"")</f>
        <v/>
      </c>
      <c r="AH195">
        <f>IF(J195=1,", "&amp;J$1,"")</f>
        <v/>
      </c>
      <c r="AI195">
        <f>IF(K195=1,", "&amp;K$1,"")</f>
        <v/>
      </c>
      <c r="AJ195">
        <f>IF(L195=1,", "&amp;L$1,"")</f>
        <v/>
      </c>
      <c r="AK195">
        <f>IF(M195=1,", "&amp;M$1,"")</f>
        <v/>
      </c>
      <c r="AL195">
        <f>IF(N195=1,", "&amp;N$1,"")</f>
        <v/>
      </c>
      <c r="AM195">
        <f>IF(O195=1,", "&amp;O$1,"")</f>
        <v/>
      </c>
      <c r="AN195">
        <f>IF(P195=1,", "&amp;P$1,"")</f>
        <v/>
      </c>
      <c r="AO195">
        <f>IF(Q195=1,", "&amp;Q$1,"")</f>
        <v/>
      </c>
      <c r="AP195">
        <f>IF(R195=1,", "&amp;R$1,"")</f>
        <v/>
      </c>
      <c r="AQ195">
        <f>IF(S195=1,", "&amp;S$1,"")</f>
        <v/>
      </c>
      <c r="AR195">
        <f>IF(T195=1,", "&amp;T$1,"")</f>
        <v/>
      </c>
      <c r="AS195">
        <f>IF(U195=1,", "&amp;U$1,"")</f>
        <v/>
      </c>
      <c r="AT195">
        <f>IF(V195=1,", "&amp;V$1,"")</f>
        <v/>
      </c>
      <c r="AU195">
        <f>IF(W195=1,", "&amp;W$1,"")</f>
        <v/>
      </c>
      <c r="AV195">
        <f>IF(X195=1,", "&amp;X$1,"")</f>
        <v/>
      </c>
      <c r="AW195">
        <f>IF(Y195=1,", "&amp;Y$1,"")</f>
        <v/>
      </c>
      <c r="AX195">
        <f>IF(Z195=1,", "&amp;Z$1,"")</f>
        <v/>
      </c>
      <c r="AY195">
        <f>IF(AA195=1,", "&amp;AA$1,"")</f>
        <v/>
      </c>
      <c r="AZ195">
        <f>MID($AB195&amp;$AC195&amp;$AD195&amp;$AE195&amp;$AF195&amp;$AG195&amp;$AH195&amp;$AI195&amp;$AJ195&amp;$AK195&amp;$AL195&amp;$AM195&amp;$AN195&amp;$AO195&amp;$AP195&amp;$AQ195&amp;$AR195&amp;$AS195&amp;$AT195&amp;$AU195&amp;$AV195&amp;$AW195&amp;$AX195&amp;$AY195,3,32767)</f>
        <v/>
      </c>
      <c r="BA195">
        <f>COUNT($D195:$AA195)</f>
        <v/>
      </c>
    </row>
    <row r="196">
      <c r="A196" t="n">
        <v>4</v>
      </c>
      <c r="B196" t="inlineStr">
        <is>
          <t>Summon Construct</t>
        </is>
      </c>
      <c r="C196" t="inlineStr">
        <is>
          <t>Conjuration</t>
        </is>
      </c>
      <c r="D196">
        <f>IF(Wizards!$A$2="","",IF(OR(ISNUMBER(SEARCH(", "&amp;$B196&amp;", ", ", "&amp;INDEX('Form Responses'!$I$1:$Q$200,2,$A196)&amp;", ")),ISNUMBER(SEARCH(", "&amp;$B196&amp;", ", ", "&amp;INDEX('Form Responses'!$R$1:$R$200,2)&amp;", "))),1,""))</f>
        <v/>
      </c>
      <c r="E196">
        <f>IF(Wizards!$A$3="","",IF(OR(ISNUMBER(SEARCH(", "&amp;$B196&amp;", ", ", "&amp;INDEX('Form Responses'!$I$1:$Q$200,3,$A196)&amp;", ")),ISNUMBER(SEARCH(", "&amp;$B196&amp;", ", ", "&amp;INDEX('Form Responses'!$R$1:$R$200,3)&amp;", "))),1,""))</f>
        <v/>
      </c>
      <c r="F196">
        <f>IF(Wizards!$A$4="","",IF(OR(ISNUMBER(SEARCH(", "&amp;$B196&amp;", ", ", "&amp;INDEX('Form Responses'!$I$1:$Q$200,4,$A196)&amp;", ")),ISNUMBER(SEARCH(", "&amp;$B196&amp;", ", ", "&amp;INDEX('Form Responses'!$R$1:$R$200,4)&amp;", "))),1,""))</f>
        <v/>
      </c>
      <c r="G196">
        <f>IF(Wizards!$A$5="","",IF(OR(ISNUMBER(SEARCH(", "&amp;$B196&amp;", ", ", "&amp;INDEX('Form Responses'!$I$1:$Q$200,5,$A196)&amp;", ")),ISNUMBER(SEARCH(", "&amp;$B196&amp;", ", ", "&amp;INDEX('Form Responses'!$R$1:$R$200,5)&amp;", "))),1,""))</f>
        <v/>
      </c>
      <c r="H196">
        <f>IF(Wizards!$A$6="","",IF(OR(ISNUMBER(SEARCH(", "&amp;$B196&amp;", ", ", "&amp;INDEX('Form Responses'!$I$1:$Q$200,6,$A196)&amp;", ")),ISNUMBER(SEARCH(", "&amp;$B196&amp;", ", ", "&amp;INDEX('Form Responses'!$R$1:$R$200,6)&amp;", "))),1,""))</f>
        <v/>
      </c>
      <c r="I196">
        <f>IF(Wizards!$A$7="","",IF(OR(ISNUMBER(SEARCH(", "&amp;$B196&amp;", ", ", "&amp;INDEX('Form Responses'!$I$1:$Q$200,7,$A196)&amp;", ")),ISNUMBER(SEARCH(", "&amp;$B196&amp;", ", ", "&amp;INDEX('Form Responses'!$R$1:$R$200,7)&amp;", "))),1,""))</f>
        <v/>
      </c>
      <c r="J196">
        <f>IF(Wizards!$A$8="","",IF(OR(ISNUMBER(SEARCH(", "&amp;$B196&amp;", ", ", "&amp;INDEX('Form Responses'!$I$1:$Q$200,8,$A196)&amp;", ")),ISNUMBER(SEARCH(", "&amp;$B196&amp;", ", ", "&amp;INDEX('Form Responses'!$R$1:$R$200,8)&amp;", "))),1,""))</f>
        <v/>
      </c>
      <c r="K196">
        <f>IF(Wizards!$A$9="","",IF(OR(ISNUMBER(SEARCH(", "&amp;$B196&amp;", ", ", "&amp;INDEX('Form Responses'!$I$1:$Q$200,9,$A196)&amp;", ")),ISNUMBER(SEARCH(", "&amp;$B196&amp;", ", ", "&amp;INDEX('Form Responses'!$R$1:$R$200,9)&amp;", "))),1,""))</f>
        <v/>
      </c>
      <c r="L196">
        <f>IF(Wizards!$A$10="","",IF(OR(ISNUMBER(SEARCH(", "&amp;$B196&amp;", ", ", "&amp;INDEX('Form Responses'!$I$1:$Q$200,10,$A196)&amp;", ")),ISNUMBER(SEARCH(", "&amp;$B196&amp;", ", ", "&amp;INDEX('Form Responses'!$R$1:$R$200,10)&amp;", "))),1,""))</f>
        <v/>
      </c>
      <c r="M196">
        <f>IF(Wizards!$A$11="","",IF(OR(ISNUMBER(SEARCH(", "&amp;$B196&amp;", ", ", "&amp;INDEX('Form Responses'!$I$1:$Q$200,11,$A196)&amp;", ")),ISNUMBER(SEARCH(", "&amp;$B196&amp;", ", ", "&amp;INDEX('Form Responses'!$R$1:$R$200,11)&amp;", "))),1,""))</f>
        <v/>
      </c>
      <c r="N196">
        <f>IF(Wizards!$A$12="","",IF(OR(ISNUMBER(SEARCH(", "&amp;$B196&amp;", ", ", "&amp;INDEX('Form Responses'!$I$1:$Q$200,12,$A196)&amp;", ")),ISNUMBER(SEARCH(", "&amp;$B196&amp;", ", ", "&amp;INDEX('Form Responses'!$R$1:$R$200,12)&amp;", "))),1,""))</f>
        <v/>
      </c>
      <c r="O196">
        <f>IF(Wizards!$A$13="","",IF(OR(ISNUMBER(SEARCH(", "&amp;$B196&amp;", ", ", "&amp;INDEX('Form Responses'!$I$1:$Q$200,13,$A196)&amp;", ")),ISNUMBER(SEARCH(", "&amp;$B196&amp;", ", ", "&amp;INDEX('Form Responses'!$R$1:$R$200,13)&amp;", "))),1,""))</f>
        <v/>
      </c>
      <c r="P196">
        <f>IF(Wizards!$A$14="","",IF(OR(ISNUMBER(SEARCH(", "&amp;$B196&amp;", ", ", "&amp;INDEX('Form Responses'!$I$1:$Q$200,14,$A196)&amp;", ")),ISNUMBER(SEARCH(", "&amp;$B196&amp;", ", ", "&amp;INDEX('Form Responses'!$R$1:$R$200,14)&amp;", "))),1,""))</f>
        <v/>
      </c>
      <c r="Q196">
        <f>IF(Wizards!$A$15="","",IF(OR(ISNUMBER(SEARCH(", "&amp;$B196&amp;", ", ", "&amp;INDEX('Form Responses'!$I$1:$Q$200,15,$A196)&amp;", ")),ISNUMBER(SEARCH(", "&amp;$B196&amp;", ", ", "&amp;INDEX('Form Responses'!$R$1:$R$200,15)&amp;", "))),1,""))</f>
        <v/>
      </c>
      <c r="R196">
        <f>IF(Wizards!$A$16="","",IF(OR(ISNUMBER(SEARCH(", "&amp;$B196&amp;", ", ", "&amp;INDEX('Form Responses'!$I$1:$Q$200,16,$A196)&amp;", ")),ISNUMBER(SEARCH(", "&amp;$B196&amp;", ", ", "&amp;INDEX('Form Responses'!$R$1:$R$200,16)&amp;", "))),1,""))</f>
        <v/>
      </c>
      <c r="S196">
        <f>IF(Wizards!$A$17="","",IF(OR(ISNUMBER(SEARCH(", "&amp;$B196&amp;", ", ", "&amp;INDEX('Form Responses'!$I$1:$Q$200,17,$A196)&amp;", ")),ISNUMBER(SEARCH(", "&amp;$B196&amp;", ", ", "&amp;INDEX('Form Responses'!$R$1:$R$200,17)&amp;", "))),1,""))</f>
        <v/>
      </c>
      <c r="T196">
        <f>IF(Wizards!$A$18="","",IF(OR(ISNUMBER(SEARCH(", "&amp;$B196&amp;", ", ", "&amp;INDEX('Form Responses'!$I$1:$Q$200,18,$A196)&amp;", ")),ISNUMBER(SEARCH(", "&amp;$B196&amp;", ", ", "&amp;INDEX('Form Responses'!$R$1:$R$200,18)&amp;", "))),1,""))</f>
        <v/>
      </c>
      <c r="U196">
        <f>IF(Wizards!$A$19="","",IF(OR(ISNUMBER(SEARCH(", "&amp;$B196&amp;", ", ", "&amp;INDEX('Form Responses'!$I$1:$Q$200,19,$A196)&amp;", ")),ISNUMBER(SEARCH(", "&amp;$B196&amp;", ", ", "&amp;INDEX('Form Responses'!$R$1:$R$200,19)&amp;", "))),1,""))</f>
        <v/>
      </c>
      <c r="V196">
        <f>IF(Wizards!$A$20="","",IF(OR(ISNUMBER(SEARCH(", "&amp;$B196&amp;", ", ", "&amp;INDEX('Form Responses'!$I$1:$Q$200,20,$A196)&amp;", ")),ISNUMBER(SEARCH(", "&amp;$B196&amp;", ", ", "&amp;INDEX('Form Responses'!$R$1:$R$200,20)&amp;", "))),1,""))</f>
        <v/>
      </c>
      <c r="W196">
        <f>IF(Wizards!$A$21="","",IF(OR(ISNUMBER(SEARCH(", "&amp;$B196&amp;", ", ", "&amp;INDEX('Form Responses'!$I$1:$Q$200,21,$A196)&amp;", ")),ISNUMBER(SEARCH(", "&amp;$B196&amp;", ", ", "&amp;INDEX('Form Responses'!$R$1:$R$200,21)&amp;", "))),1,""))</f>
        <v/>
      </c>
      <c r="X196">
        <f>IF(Wizards!$A$22="","",IF(OR(ISNUMBER(SEARCH(", "&amp;$B196&amp;", ", ", "&amp;INDEX('Form Responses'!$I$1:$Q$200,22,$A196)&amp;", ")),ISNUMBER(SEARCH(", "&amp;$B196&amp;", ", ", "&amp;INDEX('Form Responses'!$R$1:$R$200,22)&amp;", "))),1,""))</f>
        <v/>
      </c>
      <c r="Y196">
        <f>IF(Wizards!$A$23="","",IF(OR(ISNUMBER(SEARCH(", "&amp;$B196&amp;", ", ", "&amp;INDEX('Form Responses'!$I$1:$Q$200,23,$A196)&amp;", ")),ISNUMBER(SEARCH(", "&amp;$B196&amp;", ", ", "&amp;INDEX('Form Responses'!$R$1:$R$200,23)&amp;", "))),1,""))</f>
        <v/>
      </c>
      <c r="Z196">
        <f>IF(Wizards!$A$24="","",IF(OR(ISNUMBER(SEARCH(", "&amp;$B196&amp;", ", ", "&amp;INDEX('Form Responses'!$I$1:$Q$200,24,$A196)&amp;", ")),ISNUMBER(SEARCH(", "&amp;$B196&amp;", ", ", "&amp;INDEX('Form Responses'!$R$1:$R$200,24)&amp;", "))),1,""))</f>
        <v/>
      </c>
      <c r="AA196">
        <f>IF(Wizards!$A$25="","",IF(OR(ISNUMBER(SEARCH(", "&amp;$B196&amp;", ", ", "&amp;INDEX('Form Responses'!$I$1:$Q$200,25,$A196)&amp;", ")),ISNUMBER(SEARCH(", "&amp;$B196&amp;", ", ", "&amp;INDEX('Form Responses'!$R$1:$R$200,25)&amp;", "))),1,""))</f>
        <v/>
      </c>
      <c r="AB196">
        <f>IF(D196=1,", "&amp;D$1,"")</f>
        <v/>
      </c>
      <c r="AC196">
        <f>IF(E196=1,", "&amp;E$1,"")</f>
        <v/>
      </c>
      <c r="AD196">
        <f>IF(F196=1,", "&amp;F$1,"")</f>
        <v/>
      </c>
      <c r="AE196">
        <f>IF(G196=1,", "&amp;G$1,"")</f>
        <v/>
      </c>
      <c r="AF196">
        <f>IF(H196=1,", "&amp;H$1,"")</f>
        <v/>
      </c>
      <c r="AG196">
        <f>IF(I196=1,", "&amp;I$1,"")</f>
        <v/>
      </c>
      <c r="AH196">
        <f>IF(J196=1,", "&amp;J$1,"")</f>
        <v/>
      </c>
      <c r="AI196">
        <f>IF(K196=1,", "&amp;K$1,"")</f>
        <v/>
      </c>
      <c r="AJ196">
        <f>IF(L196=1,", "&amp;L$1,"")</f>
        <v/>
      </c>
      <c r="AK196">
        <f>IF(M196=1,", "&amp;M$1,"")</f>
        <v/>
      </c>
      <c r="AL196">
        <f>IF(N196=1,", "&amp;N$1,"")</f>
        <v/>
      </c>
      <c r="AM196">
        <f>IF(O196=1,", "&amp;O$1,"")</f>
        <v/>
      </c>
      <c r="AN196">
        <f>IF(P196=1,", "&amp;P$1,"")</f>
        <v/>
      </c>
      <c r="AO196">
        <f>IF(Q196=1,", "&amp;Q$1,"")</f>
        <v/>
      </c>
      <c r="AP196">
        <f>IF(R196=1,", "&amp;R$1,"")</f>
        <v/>
      </c>
      <c r="AQ196">
        <f>IF(S196=1,", "&amp;S$1,"")</f>
        <v/>
      </c>
      <c r="AR196">
        <f>IF(T196=1,", "&amp;T$1,"")</f>
        <v/>
      </c>
      <c r="AS196">
        <f>IF(U196=1,", "&amp;U$1,"")</f>
        <v/>
      </c>
      <c r="AT196">
        <f>IF(V196=1,", "&amp;V$1,"")</f>
        <v/>
      </c>
      <c r="AU196">
        <f>IF(W196=1,", "&amp;W$1,"")</f>
        <v/>
      </c>
      <c r="AV196">
        <f>IF(X196=1,", "&amp;X$1,"")</f>
        <v/>
      </c>
      <c r="AW196">
        <f>IF(Y196=1,", "&amp;Y$1,"")</f>
        <v/>
      </c>
      <c r="AX196">
        <f>IF(Z196=1,", "&amp;Z$1,"")</f>
        <v/>
      </c>
      <c r="AY196">
        <f>IF(AA196=1,", "&amp;AA$1,"")</f>
        <v/>
      </c>
      <c r="AZ196">
        <f>MID($AB196&amp;$AC196&amp;$AD196&amp;$AE196&amp;$AF196&amp;$AG196&amp;$AH196&amp;$AI196&amp;$AJ196&amp;$AK196&amp;$AL196&amp;$AM196&amp;$AN196&amp;$AO196&amp;$AP196&amp;$AQ196&amp;$AR196&amp;$AS196&amp;$AT196&amp;$AU196&amp;$AV196&amp;$AW196&amp;$AX196&amp;$AY196,3,32767)</f>
        <v/>
      </c>
      <c r="BA196">
        <f>COUNT($D196:$AA196)</f>
        <v/>
      </c>
    </row>
    <row r="197">
      <c r="A197" t="n">
        <v>4</v>
      </c>
      <c r="B197" t="inlineStr">
        <is>
          <t>Summon Elemental</t>
        </is>
      </c>
      <c r="C197" t="inlineStr">
        <is>
          <t>Conjuration</t>
        </is>
      </c>
      <c r="D197">
        <f>IF(Wizards!$A$2="","",IF(OR(ISNUMBER(SEARCH(", "&amp;$B197&amp;", ", ", "&amp;INDEX('Form Responses'!$I$1:$Q$200,2,$A197)&amp;", ")),ISNUMBER(SEARCH(", "&amp;$B197&amp;", ", ", "&amp;INDEX('Form Responses'!$R$1:$R$200,2)&amp;", "))),1,""))</f>
        <v/>
      </c>
      <c r="E197">
        <f>IF(Wizards!$A$3="","",IF(OR(ISNUMBER(SEARCH(", "&amp;$B197&amp;", ", ", "&amp;INDEX('Form Responses'!$I$1:$Q$200,3,$A197)&amp;", ")),ISNUMBER(SEARCH(", "&amp;$B197&amp;", ", ", "&amp;INDEX('Form Responses'!$R$1:$R$200,3)&amp;", "))),1,""))</f>
        <v/>
      </c>
      <c r="F197">
        <f>IF(Wizards!$A$4="","",IF(OR(ISNUMBER(SEARCH(", "&amp;$B197&amp;", ", ", "&amp;INDEX('Form Responses'!$I$1:$Q$200,4,$A197)&amp;", ")),ISNUMBER(SEARCH(", "&amp;$B197&amp;", ", ", "&amp;INDEX('Form Responses'!$R$1:$R$200,4)&amp;", "))),1,""))</f>
        <v/>
      </c>
      <c r="G197">
        <f>IF(Wizards!$A$5="","",IF(OR(ISNUMBER(SEARCH(", "&amp;$B197&amp;", ", ", "&amp;INDEX('Form Responses'!$I$1:$Q$200,5,$A197)&amp;", ")),ISNUMBER(SEARCH(", "&amp;$B197&amp;", ", ", "&amp;INDEX('Form Responses'!$R$1:$R$200,5)&amp;", "))),1,""))</f>
        <v/>
      </c>
      <c r="H197">
        <f>IF(Wizards!$A$6="","",IF(OR(ISNUMBER(SEARCH(", "&amp;$B197&amp;", ", ", "&amp;INDEX('Form Responses'!$I$1:$Q$200,6,$A197)&amp;", ")),ISNUMBER(SEARCH(", "&amp;$B197&amp;", ", ", "&amp;INDEX('Form Responses'!$R$1:$R$200,6)&amp;", "))),1,""))</f>
        <v/>
      </c>
      <c r="I197">
        <f>IF(Wizards!$A$7="","",IF(OR(ISNUMBER(SEARCH(", "&amp;$B197&amp;", ", ", "&amp;INDEX('Form Responses'!$I$1:$Q$200,7,$A197)&amp;", ")),ISNUMBER(SEARCH(", "&amp;$B197&amp;", ", ", "&amp;INDEX('Form Responses'!$R$1:$R$200,7)&amp;", "))),1,""))</f>
        <v/>
      </c>
      <c r="J197">
        <f>IF(Wizards!$A$8="","",IF(OR(ISNUMBER(SEARCH(", "&amp;$B197&amp;", ", ", "&amp;INDEX('Form Responses'!$I$1:$Q$200,8,$A197)&amp;", ")),ISNUMBER(SEARCH(", "&amp;$B197&amp;", ", ", "&amp;INDEX('Form Responses'!$R$1:$R$200,8)&amp;", "))),1,""))</f>
        <v/>
      </c>
      <c r="K197">
        <f>IF(Wizards!$A$9="","",IF(OR(ISNUMBER(SEARCH(", "&amp;$B197&amp;", ", ", "&amp;INDEX('Form Responses'!$I$1:$Q$200,9,$A197)&amp;", ")),ISNUMBER(SEARCH(", "&amp;$B197&amp;", ", ", "&amp;INDEX('Form Responses'!$R$1:$R$200,9)&amp;", "))),1,""))</f>
        <v/>
      </c>
      <c r="L197">
        <f>IF(Wizards!$A$10="","",IF(OR(ISNUMBER(SEARCH(", "&amp;$B197&amp;", ", ", "&amp;INDEX('Form Responses'!$I$1:$Q$200,10,$A197)&amp;", ")),ISNUMBER(SEARCH(", "&amp;$B197&amp;", ", ", "&amp;INDEX('Form Responses'!$R$1:$R$200,10)&amp;", "))),1,""))</f>
        <v/>
      </c>
      <c r="M197">
        <f>IF(Wizards!$A$11="","",IF(OR(ISNUMBER(SEARCH(", "&amp;$B197&amp;", ", ", "&amp;INDEX('Form Responses'!$I$1:$Q$200,11,$A197)&amp;", ")),ISNUMBER(SEARCH(", "&amp;$B197&amp;", ", ", "&amp;INDEX('Form Responses'!$R$1:$R$200,11)&amp;", "))),1,""))</f>
        <v/>
      </c>
      <c r="N197">
        <f>IF(Wizards!$A$12="","",IF(OR(ISNUMBER(SEARCH(", "&amp;$B197&amp;", ", ", "&amp;INDEX('Form Responses'!$I$1:$Q$200,12,$A197)&amp;", ")),ISNUMBER(SEARCH(", "&amp;$B197&amp;", ", ", "&amp;INDEX('Form Responses'!$R$1:$R$200,12)&amp;", "))),1,""))</f>
        <v/>
      </c>
      <c r="O197">
        <f>IF(Wizards!$A$13="","",IF(OR(ISNUMBER(SEARCH(", "&amp;$B197&amp;", ", ", "&amp;INDEX('Form Responses'!$I$1:$Q$200,13,$A197)&amp;", ")),ISNUMBER(SEARCH(", "&amp;$B197&amp;", ", ", "&amp;INDEX('Form Responses'!$R$1:$R$200,13)&amp;", "))),1,""))</f>
        <v/>
      </c>
      <c r="P197">
        <f>IF(Wizards!$A$14="","",IF(OR(ISNUMBER(SEARCH(", "&amp;$B197&amp;", ", ", "&amp;INDEX('Form Responses'!$I$1:$Q$200,14,$A197)&amp;", ")),ISNUMBER(SEARCH(", "&amp;$B197&amp;", ", ", "&amp;INDEX('Form Responses'!$R$1:$R$200,14)&amp;", "))),1,""))</f>
        <v/>
      </c>
      <c r="Q197">
        <f>IF(Wizards!$A$15="","",IF(OR(ISNUMBER(SEARCH(", "&amp;$B197&amp;", ", ", "&amp;INDEX('Form Responses'!$I$1:$Q$200,15,$A197)&amp;", ")),ISNUMBER(SEARCH(", "&amp;$B197&amp;", ", ", "&amp;INDEX('Form Responses'!$R$1:$R$200,15)&amp;", "))),1,""))</f>
        <v/>
      </c>
      <c r="R197">
        <f>IF(Wizards!$A$16="","",IF(OR(ISNUMBER(SEARCH(", "&amp;$B197&amp;", ", ", "&amp;INDEX('Form Responses'!$I$1:$Q$200,16,$A197)&amp;", ")),ISNUMBER(SEARCH(", "&amp;$B197&amp;", ", ", "&amp;INDEX('Form Responses'!$R$1:$R$200,16)&amp;", "))),1,""))</f>
        <v/>
      </c>
      <c r="S197">
        <f>IF(Wizards!$A$17="","",IF(OR(ISNUMBER(SEARCH(", "&amp;$B197&amp;", ", ", "&amp;INDEX('Form Responses'!$I$1:$Q$200,17,$A197)&amp;", ")),ISNUMBER(SEARCH(", "&amp;$B197&amp;", ", ", "&amp;INDEX('Form Responses'!$R$1:$R$200,17)&amp;", "))),1,""))</f>
        <v/>
      </c>
      <c r="T197">
        <f>IF(Wizards!$A$18="","",IF(OR(ISNUMBER(SEARCH(", "&amp;$B197&amp;", ", ", "&amp;INDEX('Form Responses'!$I$1:$Q$200,18,$A197)&amp;", ")),ISNUMBER(SEARCH(", "&amp;$B197&amp;", ", ", "&amp;INDEX('Form Responses'!$R$1:$R$200,18)&amp;", "))),1,""))</f>
        <v/>
      </c>
      <c r="U197">
        <f>IF(Wizards!$A$19="","",IF(OR(ISNUMBER(SEARCH(", "&amp;$B197&amp;", ", ", "&amp;INDEX('Form Responses'!$I$1:$Q$200,19,$A197)&amp;", ")),ISNUMBER(SEARCH(", "&amp;$B197&amp;", ", ", "&amp;INDEX('Form Responses'!$R$1:$R$200,19)&amp;", "))),1,""))</f>
        <v/>
      </c>
      <c r="V197">
        <f>IF(Wizards!$A$20="","",IF(OR(ISNUMBER(SEARCH(", "&amp;$B197&amp;", ", ", "&amp;INDEX('Form Responses'!$I$1:$Q$200,20,$A197)&amp;", ")),ISNUMBER(SEARCH(", "&amp;$B197&amp;", ", ", "&amp;INDEX('Form Responses'!$R$1:$R$200,20)&amp;", "))),1,""))</f>
        <v/>
      </c>
      <c r="W197">
        <f>IF(Wizards!$A$21="","",IF(OR(ISNUMBER(SEARCH(", "&amp;$B197&amp;", ", ", "&amp;INDEX('Form Responses'!$I$1:$Q$200,21,$A197)&amp;", ")),ISNUMBER(SEARCH(", "&amp;$B197&amp;", ", ", "&amp;INDEX('Form Responses'!$R$1:$R$200,21)&amp;", "))),1,""))</f>
        <v/>
      </c>
      <c r="X197">
        <f>IF(Wizards!$A$22="","",IF(OR(ISNUMBER(SEARCH(", "&amp;$B197&amp;", ", ", "&amp;INDEX('Form Responses'!$I$1:$Q$200,22,$A197)&amp;", ")),ISNUMBER(SEARCH(", "&amp;$B197&amp;", ", ", "&amp;INDEX('Form Responses'!$R$1:$R$200,22)&amp;", "))),1,""))</f>
        <v/>
      </c>
      <c r="Y197">
        <f>IF(Wizards!$A$23="","",IF(OR(ISNUMBER(SEARCH(", "&amp;$B197&amp;", ", ", "&amp;INDEX('Form Responses'!$I$1:$Q$200,23,$A197)&amp;", ")),ISNUMBER(SEARCH(", "&amp;$B197&amp;", ", ", "&amp;INDEX('Form Responses'!$R$1:$R$200,23)&amp;", "))),1,""))</f>
        <v/>
      </c>
      <c r="Z197">
        <f>IF(Wizards!$A$24="","",IF(OR(ISNUMBER(SEARCH(", "&amp;$B197&amp;", ", ", "&amp;INDEX('Form Responses'!$I$1:$Q$200,24,$A197)&amp;", ")),ISNUMBER(SEARCH(", "&amp;$B197&amp;", ", ", "&amp;INDEX('Form Responses'!$R$1:$R$200,24)&amp;", "))),1,""))</f>
        <v/>
      </c>
      <c r="AA197">
        <f>IF(Wizards!$A$25="","",IF(OR(ISNUMBER(SEARCH(", "&amp;$B197&amp;", ", ", "&amp;INDEX('Form Responses'!$I$1:$Q$200,25,$A197)&amp;", ")),ISNUMBER(SEARCH(", "&amp;$B197&amp;", ", ", "&amp;INDEX('Form Responses'!$R$1:$R$200,25)&amp;", "))),1,""))</f>
        <v/>
      </c>
      <c r="AB197">
        <f>IF(D197=1,", "&amp;D$1,"")</f>
        <v/>
      </c>
      <c r="AC197">
        <f>IF(E197=1,", "&amp;E$1,"")</f>
        <v/>
      </c>
      <c r="AD197">
        <f>IF(F197=1,", "&amp;F$1,"")</f>
        <v/>
      </c>
      <c r="AE197">
        <f>IF(G197=1,", "&amp;G$1,"")</f>
        <v/>
      </c>
      <c r="AF197">
        <f>IF(H197=1,", "&amp;H$1,"")</f>
        <v/>
      </c>
      <c r="AG197">
        <f>IF(I197=1,", "&amp;I$1,"")</f>
        <v/>
      </c>
      <c r="AH197">
        <f>IF(J197=1,", "&amp;J$1,"")</f>
        <v/>
      </c>
      <c r="AI197">
        <f>IF(K197=1,", "&amp;K$1,"")</f>
        <v/>
      </c>
      <c r="AJ197">
        <f>IF(L197=1,", "&amp;L$1,"")</f>
        <v/>
      </c>
      <c r="AK197">
        <f>IF(M197=1,", "&amp;M$1,"")</f>
        <v/>
      </c>
      <c r="AL197">
        <f>IF(N197=1,", "&amp;N$1,"")</f>
        <v/>
      </c>
      <c r="AM197">
        <f>IF(O197=1,", "&amp;O$1,"")</f>
        <v/>
      </c>
      <c r="AN197">
        <f>IF(P197=1,", "&amp;P$1,"")</f>
        <v/>
      </c>
      <c r="AO197">
        <f>IF(Q197=1,", "&amp;Q$1,"")</f>
        <v/>
      </c>
      <c r="AP197">
        <f>IF(R197=1,", "&amp;R$1,"")</f>
        <v/>
      </c>
      <c r="AQ197">
        <f>IF(S197=1,", "&amp;S$1,"")</f>
        <v/>
      </c>
      <c r="AR197">
        <f>IF(T197=1,", "&amp;T$1,"")</f>
        <v/>
      </c>
      <c r="AS197">
        <f>IF(U197=1,", "&amp;U$1,"")</f>
        <v/>
      </c>
      <c r="AT197">
        <f>IF(V197=1,", "&amp;V$1,"")</f>
        <v/>
      </c>
      <c r="AU197">
        <f>IF(W197=1,", "&amp;W$1,"")</f>
        <v/>
      </c>
      <c r="AV197">
        <f>IF(X197=1,", "&amp;X$1,"")</f>
        <v/>
      </c>
      <c r="AW197">
        <f>IF(Y197=1,", "&amp;Y$1,"")</f>
        <v/>
      </c>
      <c r="AX197">
        <f>IF(Z197=1,", "&amp;Z$1,"")</f>
        <v/>
      </c>
      <c r="AY197">
        <f>IF(AA197=1,", "&amp;AA$1,"")</f>
        <v/>
      </c>
      <c r="AZ197">
        <f>MID($AB197&amp;$AC197&amp;$AD197&amp;$AE197&amp;$AF197&amp;$AG197&amp;$AH197&amp;$AI197&amp;$AJ197&amp;$AK197&amp;$AL197&amp;$AM197&amp;$AN197&amp;$AO197&amp;$AP197&amp;$AQ197&amp;$AR197&amp;$AS197&amp;$AT197&amp;$AU197&amp;$AV197&amp;$AW197&amp;$AX197&amp;$AY197,3,32767)</f>
        <v/>
      </c>
      <c r="BA197">
        <f>COUNT($D197:$AA197)</f>
        <v/>
      </c>
    </row>
    <row r="198">
      <c r="A198" t="n">
        <v>4</v>
      </c>
      <c r="B198" t="inlineStr">
        <is>
          <t>Summon Greater Demon</t>
        </is>
      </c>
      <c r="C198" t="inlineStr">
        <is>
          <t>Conjuration</t>
        </is>
      </c>
      <c r="D198">
        <f>IF(Wizards!$A$2="","",IF(OR(ISNUMBER(SEARCH(", "&amp;$B198&amp;", ", ", "&amp;INDEX('Form Responses'!$I$1:$Q$200,2,$A198)&amp;", ")),ISNUMBER(SEARCH(", "&amp;$B198&amp;", ", ", "&amp;INDEX('Form Responses'!$R$1:$R$200,2)&amp;", "))),1,""))</f>
        <v/>
      </c>
      <c r="E198">
        <f>IF(Wizards!$A$3="","",IF(OR(ISNUMBER(SEARCH(", "&amp;$B198&amp;", ", ", "&amp;INDEX('Form Responses'!$I$1:$Q$200,3,$A198)&amp;", ")),ISNUMBER(SEARCH(", "&amp;$B198&amp;", ", ", "&amp;INDEX('Form Responses'!$R$1:$R$200,3)&amp;", "))),1,""))</f>
        <v/>
      </c>
      <c r="F198">
        <f>IF(Wizards!$A$4="","",IF(OR(ISNUMBER(SEARCH(", "&amp;$B198&amp;", ", ", "&amp;INDEX('Form Responses'!$I$1:$Q$200,4,$A198)&amp;", ")),ISNUMBER(SEARCH(", "&amp;$B198&amp;", ", ", "&amp;INDEX('Form Responses'!$R$1:$R$200,4)&amp;", "))),1,""))</f>
        <v/>
      </c>
      <c r="G198">
        <f>IF(Wizards!$A$5="","",IF(OR(ISNUMBER(SEARCH(", "&amp;$B198&amp;", ", ", "&amp;INDEX('Form Responses'!$I$1:$Q$200,5,$A198)&amp;", ")),ISNUMBER(SEARCH(", "&amp;$B198&amp;", ", ", "&amp;INDEX('Form Responses'!$R$1:$R$200,5)&amp;", "))),1,""))</f>
        <v/>
      </c>
      <c r="H198">
        <f>IF(Wizards!$A$6="","",IF(OR(ISNUMBER(SEARCH(", "&amp;$B198&amp;", ", ", "&amp;INDEX('Form Responses'!$I$1:$Q$200,6,$A198)&amp;", ")),ISNUMBER(SEARCH(", "&amp;$B198&amp;", ", ", "&amp;INDEX('Form Responses'!$R$1:$R$200,6)&amp;", "))),1,""))</f>
        <v/>
      </c>
      <c r="I198">
        <f>IF(Wizards!$A$7="","",IF(OR(ISNUMBER(SEARCH(", "&amp;$B198&amp;", ", ", "&amp;INDEX('Form Responses'!$I$1:$Q$200,7,$A198)&amp;", ")),ISNUMBER(SEARCH(", "&amp;$B198&amp;", ", ", "&amp;INDEX('Form Responses'!$R$1:$R$200,7)&amp;", "))),1,""))</f>
        <v/>
      </c>
      <c r="J198">
        <f>IF(Wizards!$A$8="","",IF(OR(ISNUMBER(SEARCH(", "&amp;$B198&amp;", ", ", "&amp;INDEX('Form Responses'!$I$1:$Q$200,8,$A198)&amp;", ")),ISNUMBER(SEARCH(", "&amp;$B198&amp;", ", ", "&amp;INDEX('Form Responses'!$R$1:$R$200,8)&amp;", "))),1,""))</f>
        <v/>
      </c>
      <c r="K198">
        <f>IF(Wizards!$A$9="","",IF(OR(ISNUMBER(SEARCH(", "&amp;$B198&amp;", ", ", "&amp;INDEX('Form Responses'!$I$1:$Q$200,9,$A198)&amp;", ")),ISNUMBER(SEARCH(", "&amp;$B198&amp;", ", ", "&amp;INDEX('Form Responses'!$R$1:$R$200,9)&amp;", "))),1,""))</f>
        <v/>
      </c>
      <c r="L198">
        <f>IF(Wizards!$A$10="","",IF(OR(ISNUMBER(SEARCH(", "&amp;$B198&amp;", ", ", "&amp;INDEX('Form Responses'!$I$1:$Q$200,10,$A198)&amp;", ")),ISNUMBER(SEARCH(", "&amp;$B198&amp;", ", ", "&amp;INDEX('Form Responses'!$R$1:$R$200,10)&amp;", "))),1,""))</f>
        <v/>
      </c>
      <c r="M198">
        <f>IF(Wizards!$A$11="","",IF(OR(ISNUMBER(SEARCH(", "&amp;$B198&amp;", ", ", "&amp;INDEX('Form Responses'!$I$1:$Q$200,11,$A198)&amp;", ")),ISNUMBER(SEARCH(", "&amp;$B198&amp;", ", ", "&amp;INDEX('Form Responses'!$R$1:$R$200,11)&amp;", "))),1,""))</f>
        <v/>
      </c>
      <c r="N198">
        <f>IF(Wizards!$A$12="","",IF(OR(ISNUMBER(SEARCH(", "&amp;$B198&amp;", ", ", "&amp;INDEX('Form Responses'!$I$1:$Q$200,12,$A198)&amp;", ")),ISNUMBER(SEARCH(", "&amp;$B198&amp;", ", ", "&amp;INDEX('Form Responses'!$R$1:$R$200,12)&amp;", "))),1,""))</f>
        <v/>
      </c>
      <c r="O198">
        <f>IF(Wizards!$A$13="","",IF(OR(ISNUMBER(SEARCH(", "&amp;$B198&amp;", ", ", "&amp;INDEX('Form Responses'!$I$1:$Q$200,13,$A198)&amp;", ")),ISNUMBER(SEARCH(", "&amp;$B198&amp;", ", ", "&amp;INDEX('Form Responses'!$R$1:$R$200,13)&amp;", "))),1,""))</f>
        <v/>
      </c>
      <c r="P198">
        <f>IF(Wizards!$A$14="","",IF(OR(ISNUMBER(SEARCH(", "&amp;$B198&amp;", ", ", "&amp;INDEX('Form Responses'!$I$1:$Q$200,14,$A198)&amp;", ")),ISNUMBER(SEARCH(", "&amp;$B198&amp;", ", ", "&amp;INDEX('Form Responses'!$R$1:$R$200,14)&amp;", "))),1,""))</f>
        <v/>
      </c>
      <c r="Q198">
        <f>IF(Wizards!$A$15="","",IF(OR(ISNUMBER(SEARCH(", "&amp;$B198&amp;", ", ", "&amp;INDEX('Form Responses'!$I$1:$Q$200,15,$A198)&amp;", ")),ISNUMBER(SEARCH(", "&amp;$B198&amp;", ", ", "&amp;INDEX('Form Responses'!$R$1:$R$200,15)&amp;", "))),1,""))</f>
        <v/>
      </c>
      <c r="R198">
        <f>IF(Wizards!$A$16="","",IF(OR(ISNUMBER(SEARCH(", "&amp;$B198&amp;", ", ", "&amp;INDEX('Form Responses'!$I$1:$Q$200,16,$A198)&amp;", ")),ISNUMBER(SEARCH(", "&amp;$B198&amp;", ", ", "&amp;INDEX('Form Responses'!$R$1:$R$200,16)&amp;", "))),1,""))</f>
        <v/>
      </c>
      <c r="S198">
        <f>IF(Wizards!$A$17="","",IF(OR(ISNUMBER(SEARCH(", "&amp;$B198&amp;", ", ", "&amp;INDEX('Form Responses'!$I$1:$Q$200,17,$A198)&amp;", ")),ISNUMBER(SEARCH(", "&amp;$B198&amp;", ", ", "&amp;INDEX('Form Responses'!$R$1:$R$200,17)&amp;", "))),1,""))</f>
        <v/>
      </c>
      <c r="T198">
        <f>IF(Wizards!$A$18="","",IF(OR(ISNUMBER(SEARCH(", "&amp;$B198&amp;", ", ", "&amp;INDEX('Form Responses'!$I$1:$Q$200,18,$A198)&amp;", ")),ISNUMBER(SEARCH(", "&amp;$B198&amp;", ", ", "&amp;INDEX('Form Responses'!$R$1:$R$200,18)&amp;", "))),1,""))</f>
        <v/>
      </c>
      <c r="U198">
        <f>IF(Wizards!$A$19="","",IF(OR(ISNUMBER(SEARCH(", "&amp;$B198&amp;", ", ", "&amp;INDEX('Form Responses'!$I$1:$Q$200,19,$A198)&amp;", ")),ISNUMBER(SEARCH(", "&amp;$B198&amp;", ", ", "&amp;INDEX('Form Responses'!$R$1:$R$200,19)&amp;", "))),1,""))</f>
        <v/>
      </c>
      <c r="V198">
        <f>IF(Wizards!$A$20="","",IF(OR(ISNUMBER(SEARCH(", "&amp;$B198&amp;", ", ", "&amp;INDEX('Form Responses'!$I$1:$Q$200,20,$A198)&amp;", ")),ISNUMBER(SEARCH(", "&amp;$B198&amp;", ", ", "&amp;INDEX('Form Responses'!$R$1:$R$200,20)&amp;", "))),1,""))</f>
        <v/>
      </c>
      <c r="W198">
        <f>IF(Wizards!$A$21="","",IF(OR(ISNUMBER(SEARCH(", "&amp;$B198&amp;", ", ", "&amp;INDEX('Form Responses'!$I$1:$Q$200,21,$A198)&amp;", ")),ISNUMBER(SEARCH(", "&amp;$B198&amp;", ", ", "&amp;INDEX('Form Responses'!$R$1:$R$200,21)&amp;", "))),1,""))</f>
        <v/>
      </c>
      <c r="X198">
        <f>IF(Wizards!$A$22="","",IF(OR(ISNUMBER(SEARCH(", "&amp;$B198&amp;", ", ", "&amp;INDEX('Form Responses'!$I$1:$Q$200,22,$A198)&amp;", ")),ISNUMBER(SEARCH(", "&amp;$B198&amp;", ", ", "&amp;INDEX('Form Responses'!$R$1:$R$200,22)&amp;", "))),1,""))</f>
        <v/>
      </c>
      <c r="Y198">
        <f>IF(Wizards!$A$23="","",IF(OR(ISNUMBER(SEARCH(", "&amp;$B198&amp;", ", ", "&amp;INDEX('Form Responses'!$I$1:$Q$200,23,$A198)&amp;", ")),ISNUMBER(SEARCH(", "&amp;$B198&amp;", ", ", "&amp;INDEX('Form Responses'!$R$1:$R$200,23)&amp;", "))),1,""))</f>
        <v/>
      </c>
      <c r="Z198">
        <f>IF(Wizards!$A$24="","",IF(OR(ISNUMBER(SEARCH(", "&amp;$B198&amp;", ", ", "&amp;INDEX('Form Responses'!$I$1:$Q$200,24,$A198)&amp;", ")),ISNUMBER(SEARCH(", "&amp;$B198&amp;", ", ", "&amp;INDEX('Form Responses'!$R$1:$R$200,24)&amp;", "))),1,""))</f>
        <v/>
      </c>
      <c r="AA198">
        <f>IF(Wizards!$A$25="","",IF(OR(ISNUMBER(SEARCH(", "&amp;$B198&amp;", ", ", "&amp;INDEX('Form Responses'!$I$1:$Q$200,25,$A198)&amp;", ")),ISNUMBER(SEARCH(", "&amp;$B198&amp;", ", ", "&amp;INDEX('Form Responses'!$R$1:$R$200,25)&amp;", "))),1,""))</f>
        <v/>
      </c>
      <c r="AB198">
        <f>IF(D198=1,", "&amp;D$1,"")</f>
        <v/>
      </c>
      <c r="AC198">
        <f>IF(E198=1,", "&amp;E$1,"")</f>
        <v/>
      </c>
      <c r="AD198">
        <f>IF(F198=1,", "&amp;F$1,"")</f>
        <v/>
      </c>
      <c r="AE198">
        <f>IF(G198=1,", "&amp;G$1,"")</f>
        <v/>
      </c>
      <c r="AF198">
        <f>IF(H198=1,", "&amp;H$1,"")</f>
        <v/>
      </c>
      <c r="AG198">
        <f>IF(I198=1,", "&amp;I$1,"")</f>
        <v/>
      </c>
      <c r="AH198">
        <f>IF(J198=1,", "&amp;J$1,"")</f>
        <v/>
      </c>
      <c r="AI198">
        <f>IF(K198=1,", "&amp;K$1,"")</f>
        <v/>
      </c>
      <c r="AJ198">
        <f>IF(L198=1,", "&amp;L$1,"")</f>
        <v/>
      </c>
      <c r="AK198">
        <f>IF(M198=1,", "&amp;M$1,"")</f>
        <v/>
      </c>
      <c r="AL198">
        <f>IF(N198=1,", "&amp;N$1,"")</f>
        <v/>
      </c>
      <c r="AM198">
        <f>IF(O198=1,", "&amp;O$1,"")</f>
        <v/>
      </c>
      <c r="AN198">
        <f>IF(P198=1,", "&amp;P$1,"")</f>
        <v/>
      </c>
      <c r="AO198">
        <f>IF(Q198=1,", "&amp;Q$1,"")</f>
        <v/>
      </c>
      <c r="AP198">
        <f>IF(R198=1,", "&amp;R$1,"")</f>
        <v/>
      </c>
      <c r="AQ198">
        <f>IF(S198=1,", "&amp;S$1,"")</f>
        <v/>
      </c>
      <c r="AR198">
        <f>IF(T198=1,", "&amp;T$1,"")</f>
        <v/>
      </c>
      <c r="AS198">
        <f>IF(U198=1,", "&amp;U$1,"")</f>
        <v/>
      </c>
      <c r="AT198">
        <f>IF(V198=1,", "&amp;V$1,"")</f>
        <v/>
      </c>
      <c r="AU198">
        <f>IF(W198=1,", "&amp;W$1,"")</f>
        <v/>
      </c>
      <c r="AV198">
        <f>IF(X198=1,", "&amp;X$1,"")</f>
        <v/>
      </c>
      <c r="AW198">
        <f>IF(Y198=1,", "&amp;Y$1,"")</f>
        <v/>
      </c>
      <c r="AX198">
        <f>IF(Z198=1,", "&amp;Z$1,"")</f>
        <v/>
      </c>
      <c r="AY198">
        <f>IF(AA198=1,", "&amp;AA$1,"")</f>
        <v/>
      </c>
      <c r="AZ198">
        <f>MID($AB198&amp;$AC198&amp;$AD198&amp;$AE198&amp;$AF198&amp;$AG198&amp;$AH198&amp;$AI198&amp;$AJ198&amp;$AK198&amp;$AL198&amp;$AM198&amp;$AN198&amp;$AO198&amp;$AP198&amp;$AQ198&amp;$AR198&amp;$AS198&amp;$AT198&amp;$AU198&amp;$AV198&amp;$AW198&amp;$AX198&amp;$AY198,3,32767)</f>
        <v/>
      </c>
      <c r="BA198">
        <f>COUNT($D198:$AA198)</f>
        <v/>
      </c>
    </row>
    <row r="199">
      <c r="A199" t="n">
        <v>4</v>
      </c>
      <c r="B199" t="inlineStr">
        <is>
          <t>Vitriolic Sphere</t>
        </is>
      </c>
      <c r="C199" t="inlineStr">
        <is>
          <t>Evocation</t>
        </is>
      </c>
      <c r="D199">
        <f>IF(Wizards!$A$2="","",IF(OR(ISNUMBER(SEARCH(", "&amp;$B199&amp;", ", ", "&amp;INDEX('Form Responses'!$I$1:$Q$200,2,$A199)&amp;", ")),ISNUMBER(SEARCH(", "&amp;$B199&amp;", ", ", "&amp;INDEX('Form Responses'!$R$1:$R$200,2)&amp;", "))),1,""))</f>
        <v/>
      </c>
      <c r="E199">
        <f>IF(Wizards!$A$3="","",IF(OR(ISNUMBER(SEARCH(", "&amp;$B199&amp;", ", ", "&amp;INDEX('Form Responses'!$I$1:$Q$200,3,$A199)&amp;", ")),ISNUMBER(SEARCH(", "&amp;$B199&amp;", ", ", "&amp;INDEX('Form Responses'!$R$1:$R$200,3)&amp;", "))),1,""))</f>
        <v/>
      </c>
      <c r="F199">
        <f>IF(Wizards!$A$4="","",IF(OR(ISNUMBER(SEARCH(", "&amp;$B199&amp;", ", ", "&amp;INDEX('Form Responses'!$I$1:$Q$200,4,$A199)&amp;", ")),ISNUMBER(SEARCH(", "&amp;$B199&amp;", ", ", "&amp;INDEX('Form Responses'!$R$1:$R$200,4)&amp;", "))),1,""))</f>
        <v/>
      </c>
      <c r="G199">
        <f>IF(Wizards!$A$5="","",IF(OR(ISNUMBER(SEARCH(", "&amp;$B199&amp;", ", ", "&amp;INDEX('Form Responses'!$I$1:$Q$200,5,$A199)&amp;", ")),ISNUMBER(SEARCH(", "&amp;$B199&amp;", ", ", "&amp;INDEX('Form Responses'!$R$1:$R$200,5)&amp;", "))),1,""))</f>
        <v/>
      </c>
      <c r="H199">
        <f>IF(Wizards!$A$6="","",IF(OR(ISNUMBER(SEARCH(", "&amp;$B199&amp;", ", ", "&amp;INDEX('Form Responses'!$I$1:$Q$200,6,$A199)&amp;", ")),ISNUMBER(SEARCH(", "&amp;$B199&amp;", ", ", "&amp;INDEX('Form Responses'!$R$1:$R$200,6)&amp;", "))),1,""))</f>
        <v/>
      </c>
      <c r="I199">
        <f>IF(Wizards!$A$7="","",IF(OR(ISNUMBER(SEARCH(", "&amp;$B199&amp;", ", ", "&amp;INDEX('Form Responses'!$I$1:$Q$200,7,$A199)&amp;", ")),ISNUMBER(SEARCH(", "&amp;$B199&amp;", ", ", "&amp;INDEX('Form Responses'!$R$1:$R$200,7)&amp;", "))),1,""))</f>
        <v/>
      </c>
      <c r="J199">
        <f>IF(Wizards!$A$8="","",IF(OR(ISNUMBER(SEARCH(", "&amp;$B199&amp;", ", ", "&amp;INDEX('Form Responses'!$I$1:$Q$200,8,$A199)&amp;", ")),ISNUMBER(SEARCH(", "&amp;$B199&amp;", ", ", "&amp;INDEX('Form Responses'!$R$1:$R$200,8)&amp;", "))),1,""))</f>
        <v/>
      </c>
      <c r="K199">
        <f>IF(Wizards!$A$9="","",IF(OR(ISNUMBER(SEARCH(", "&amp;$B199&amp;", ", ", "&amp;INDEX('Form Responses'!$I$1:$Q$200,9,$A199)&amp;", ")),ISNUMBER(SEARCH(", "&amp;$B199&amp;", ", ", "&amp;INDEX('Form Responses'!$R$1:$R$200,9)&amp;", "))),1,""))</f>
        <v/>
      </c>
      <c r="L199">
        <f>IF(Wizards!$A$10="","",IF(OR(ISNUMBER(SEARCH(", "&amp;$B199&amp;", ", ", "&amp;INDEX('Form Responses'!$I$1:$Q$200,10,$A199)&amp;", ")),ISNUMBER(SEARCH(", "&amp;$B199&amp;", ", ", "&amp;INDEX('Form Responses'!$R$1:$R$200,10)&amp;", "))),1,""))</f>
        <v/>
      </c>
      <c r="M199">
        <f>IF(Wizards!$A$11="","",IF(OR(ISNUMBER(SEARCH(", "&amp;$B199&amp;", ", ", "&amp;INDEX('Form Responses'!$I$1:$Q$200,11,$A199)&amp;", ")),ISNUMBER(SEARCH(", "&amp;$B199&amp;", ", ", "&amp;INDEX('Form Responses'!$R$1:$R$200,11)&amp;", "))),1,""))</f>
        <v/>
      </c>
      <c r="N199">
        <f>IF(Wizards!$A$12="","",IF(OR(ISNUMBER(SEARCH(", "&amp;$B199&amp;", ", ", "&amp;INDEX('Form Responses'!$I$1:$Q$200,12,$A199)&amp;", ")),ISNUMBER(SEARCH(", "&amp;$B199&amp;", ", ", "&amp;INDEX('Form Responses'!$R$1:$R$200,12)&amp;", "))),1,""))</f>
        <v/>
      </c>
      <c r="O199">
        <f>IF(Wizards!$A$13="","",IF(OR(ISNUMBER(SEARCH(", "&amp;$B199&amp;", ", ", "&amp;INDEX('Form Responses'!$I$1:$Q$200,13,$A199)&amp;", ")),ISNUMBER(SEARCH(", "&amp;$B199&amp;", ", ", "&amp;INDEX('Form Responses'!$R$1:$R$200,13)&amp;", "))),1,""))</f>
        <v/>
      </c>
      <c r="P199">
        <f>IF(Wizards!$A$14="","",IF(OR(ISNUMBER(SEARCH(", "&amp;$B199&amp;", ", ", "&amp;INDEX('Form Responses'!$I$1:$Q$200,14,$A199)&amp;", ")),ISNUMBER(SEARCH(", "&amp;$B199&amp;", ", ", "&amp;INDEX('Form Responses'!$R$1:$R$200,14)&amp;", "))),1,""))</f>
        <v/>
      </c>
      <c r="Q199">
        <f>IF(Wizards!$A$15="","",IF(OR(ISNUMBER(SEARCH(", "&amp;$B199&amp;", ", ", "&amp;INDEX('Form Responses'!$I$1:$Q$200,15,$A199)&amp;", ")),ISNUMBER(SEARCH(", "&amp;$B199&amp;", ", ", "&amp;INDEX('Form Responses'!$R$1:$R$200,15)&amp;", "))),1,""))</f>
        <v/>
      </c>
      <c r="R199">
        <f>IF(Wizards!$A$16="","",IF(OR(ISNUMBER(SEARCH(", "&amp;$B199&amp;", ", ", "&amp;INDEX('Form Responses'!$I$1:$Q$200,16,$A199)&amp;", ")),ISNUMBER(SEARCH(", "&amp;$B199&amp;", ", ", "&amp;INDEX('Form Responses'!$R$1:$R$200,16)&amp;", "))),1,""))</f>
        <v/>
      </c>
      <c r="S199">
        <f>IF(Wizards!$A$17="","",IF(OR(ISNUMBER(SEARCH(", "&amp;$B199&amp;", ", ", "&amp;INDEX('Form Responses'!$I$1:$Q$200,17,$A199)&amp;", ")),ISNUMBER(SEARCH(", "&amp;$B199&amp;", ", ", "&amp;INDEX('Form Responses'!$R$1:$R$200,17)&amp;", "))),1,""))</f>
        <v/>
      </c>
      <c r="T199">
        <f>IF(Wizards!$A$18="","",IF(OR(ISNUMBER(SEARCH(", "&amp;$B199&amp;", ", ", "&amp;INDEX('Form Responses'!$I$1:$Q$200,18,$A199)&amp;", ")),ISNUMBER(SEARCH(", "&amp;$B199&amp;", ", ", "&amp;INDEX('Form Responses'!$R$1:$R$200,18)&amp;", "))),1,""))</f>
        <v/>
      </c>
      <c r="U199">
        <f>IF(Wizards!$A$19="","",IF(OR(ISNUMBER(SEARCH(", "&amp;$B199&amp;", ", ", "&amp;INDEX('Form Responses'!$I$1:$Q$200,19,$A199)&amp;", ")),ISNUMBER(SEARCH(", "&amp;$B199&amp;", ", ", "&amp;INDEX('Form Responses'!$R$1:$R$200,19)&amp;", "))),1,""))</f>
        <v/>
      </c>
      <c r="V199">
        <f>IF(Wizards!$A$20="","",IF(OR(ISNUMBER(SEARCH(", "&amp;$B199&amp;", ", ", "&amp;INDEX('Form Responses'!$I$1:$Q$200,20,$A199)&amp;", ")),ISNUMBER(SEARCH(", "&amp;$B199&amp;", ", ", "&amp;INDEX('Form Responses'!$R$1:$R$200,20)&amp;", "))),1,""))</f>
        <v/>
      </c>
      <c r="W199">
        <f>IF(Wizards!$A$21="","",IF(OR(ISNUMBER(SEARCH(", "&amp;$B199&amp;", ", ", "&amp;INDEX('Form Responses'!$I$1:$Q$200,21,$A199)&amp;", ")),ISNUMBER(SEARCH(", "&amp;$B199&amp;", ", ", "&amp;INDEX('Form Responses'!$R$1:$R$200,21)&amp;", "))),1,""))</f>
        <v/>
      </c>
      <c r="X199">
        <f>IF(Wizards!$A$22="","",IF(OR(ISNUMBER(SEARCH(", "&amp;$B199&amp;", ", ", "&amp;INDEX('Form Responses'!$I$1:$Q$200,22,$A199)&amp;", ")),ISNUMBER(SEARCH(", "&amp;$B199&amp;", ", ", "&amp;INDEX('Form Responses'!$R$1:$R$200,22)&amp;", "))),1,""))</f>
        <v/>
      </c>
      <c r="Y199">
        <f>IF(Wizards!$A$23="","",IF(OR(ISNUMBER(SEARCH(", "&amp;$B199&amp;", ", ", "&amp;INDEX('Form Responses'!$I$1:$Q$200,23,$A199)&amp;", ")),ISNUMBER(SEARCH(", "&amp;$B199&amp;", ", ", "&amp;INDEX('Form Responses'!$R$1:$R$200,23)&amp;", "))),1,""))</f>
        <v/>
      </c>
      <c r="Z199">
        <f>IF(Wizards!$A$24="","",IF(OR(ISNUMBER(SEARCH(", "&amp;$B199&amp;", ", ", "&amp;INDEX('Form Responses'!$I$1:$Q$200,24,$A199)&amp;", ")),ISNUMBER(SEARCH(", "&amp;$B199&amp;", ", ", "&amp;INDEX('Form Responses'!$R$1:$R$200,24)&amp;", "))),1,""))</f>
        <v/>
      </c>
      <c r="AA199">
        <f>IF(Wizards!$A$25="","",IF(OR(ISNUMBER(SEARCH(", "&amp;$B199&amp;", ", ", "&amp;INDEX('Form Responses'!$I$1:$Q$200,25,$A199)&amp;", ")),ISNUMBER(SEARCH(", "&amp;$B199&amp;", ", ", "&amp;INDEX('Form Responses'!$R$1:$R$200,25)&amp;", "))),1,""))</f>
        <v/>
      </c>
      <c r="AB199">
        <f>IF(D199=1,", "&amp;D$1,"")</f>
        <v/>
      </c>
      <c r="AC199">
        <f>IF(E199=1,", "&amp;E$1,"")</f>
        <v/>
      </c>
      <c r="AD199">
        <f>IF(F199=1,", "&amp;F$1,"")</f>
        <v/>
      </c>
      <c r="AE199">
        <f>IF(G199=1,", "&amp;G$1,"")</f>
        <v/>
      </c>
      <c r="AF199">
        <f>IF(H199=1,", "&amp;H$1,"")</f>
        <v/>
      </c>
      <c r="AG199">
        <f>IF(I199=1,", "&amp;I$1,"")</f>
        <v/>
      </c>
      <c r="AH199">
        <f>IF(J199=1,", "&amp;J$1,"")</f>
        <v/>
      </c>
      <c r="AI199">
        <f>IF(K199=1,", "&amp;K$1,"")</f>
        <v/>
      </c>
      <c r="AJ199">
        <f>IF(L199=1,", "&amp;L$1,"")</f>
        <v/>
      </c>
      <c r="AK199">
        <f>IF(M199=1,", "&amp;M$1,"")</f>
        <v/>
      </c>
      <c r="AL199">
        <f>IF(N199=1,", "&amp;N$1,"")</f>
        <v/>
      </c>
      <c r="AM199">
        <f>IF(O199=1,", "&amp;O$1,"")</f>
        <v/>
      </c>
      <c r="AN199">
        <f>IF(P199=1,", "&amp;P$1,"")</f>
        <v/>
      </c>
      <c r="AO199">
        <f>IF(Q199=1,", "&amp;Q$1,"")</f>
        <v/>
      </c>
      <c r="AP199">
        <f>IF(R199=1,", "&amp;R$1,"")</f>
        <v/>
      </c>
      <c r="AQ199">
        <f>IF(S199=1,", "&amp;S$1,"")</f>
        <v/>
      </c>
      <c r="AR199">
        <f>IF(T199=1,", "&amp;T$1,"")</f>
        <v/>
      </c>
      <c r="AS199">
        <f>IF(U199=1,", "&amp;U$1,"")</f>
        <v/>
      </c>
      <c r="AT199">
        <f>IF(V199=1,", "&amp;V$1,"")</f>
        <v/>
      </c>
      <c r="AU199">
        <f>IF(W199=1,", "&amp;W$1,"")</f>
        <v/>
      </c>
      <c r="AV199">
        <f>IF(X199=1,", "&amp;X$1,"")</f>
        <v/>
      </c>
      <c r="AW199">
        <f>IF(Y199=1,", "&amp;Y$1,"")</f>
        <v/>
      </c>
      <c r="AX199">
        <f>IF(Z199=1,", "&amp;Z$1,"")</f>
        <v/>
      </c>
      <c r="AY199">
        <f>IF(AA199=1,", "&amp;AA$1,"")</f>
        <v/>
      </c>
      <c r="AZ199">
        <f>MID($AB199&amp;$AC199&amp;$AD199&amp;$AE199&amp;$AF199&amp;$AG199&amp;$AH199&amp;$AI199&amp;$AJ199&amp;$AK199&amp;$AL199&amp;$AM199&amp;$AN199&amp;$AO199&amp;$AP199&amp;$AQ199&amp;$AR199&amp;$AS199&amp;$AT199&amp;$AU199&amp;$AV199&amp;$AW199&amp;$AX199&amp;$AY199,3,32767)</f>
        <v/>
      </c>
      <c r="BA199">
        <f>COUNT($D199:$AA199)</f>
        <v/>
      </c>
    </row>
    <row r="200">
      <c r="A200" t="n">
        <v>4</v>
      </c>
      <c r="B200" t="inlineStr">
        <is>
          <t>Wall of Fire</t>
        </is>
      </c>
      <c r="C200" t="inlineStr">
        <is>
          <t>Evocation</t>
        </is>
      </c>
      <c r="D200">
        <f>IF(Wizards!$A$2="","",IF(OR(ISNUMBER(SEARCH(", "&amp;$B200&amp;", ", ", "&amp;INDEX('Form Responses'!$I$1:$Q$200,2,$A200)&amp;", ")),ISNUMBER(SEARCH(", "&amp;$B200&amp;", ", ", "&amp;INDEX('Form Responses'!$R$1:$R$200,2)&amp;", "))),1,""))</f>
        <v/>
      </c>
      <c r="E200">
        <f>IF(Wizards!$A$3="","",IF(OR(ISNUMBER(SEARCH(", "&amp;$B200&amp;", ", ", "&amp;INDEX('Form Responses'!$I$1:$Q$200,3,$A200)&amp;", ")),ISNUMBER(SEARCH(", "&amp;$B200&amp;", ", ", "&amp;INDEX('Form Responses'!$R$1:$R$200,3)&amp;", "))),1,""))</f>
        <v/>
      </c>
      <c r="F200">
        <f>IF(Wizards!$A$4="","",IF(OR(ISNUMBER(SEARCH(", "&amp;$B200&amp;", ", ", "&amp;INDEX('Form Responses'!$I$1:$Q$200,4,$A200)&amp;", ")),ISNUMBER(SEARCH(", "&amp;$B200&amp;", ", ", "&amp;INDEX('Form Responses'!$R$1:$R$200,4)&amp;", "))),1,""))</f>
        <v/>
      </c>
      <c r="G200">
        <f>IF(Wizards!$A$5="","",IF(OR(ISNUMBER(SEARCH(", "&amp;$B200&amp;", ", ", "&amp;INDEX('Form Responses'!$I$1:$Q$200,5,$A200)&amp;", ")),ISNUMBER(SEARCH(", "&amp;$B200&amp;", ", ", "&amp;INDEX('Form Responses'!$R$1:$R$200,5)&amp;", "))),1,""))</f>
        <v/>
      </c>
      <c r="H200">
        <f>IF(Wizards!$A$6="","",IF(OR(ISNUMBER(SEARCH(", "&amp;$B200&amp;", ", ", "&amp;INDEX('Form Responses'!$I$1:$Q$200,6,$A200)&amp;", ")),ISNUMBER(SEARCH(", "&amp;$B200&amp;", ", ", "&amp;INDEX('Form Responses'!$R$1:$R$200,6)&amp;", "))),1,""))</f>
        <v/>
      </c>
      <c r="I200">
        <f>IF(Wizards!$A$7="","",IF(OR(ISNUMBER(SEARCH(", "&amp;$B200&amp;", ", ", "&amp;INDEX('Form Responses'!$I$1:$Q$200,7,$A200)&amp;", ")),ISNUMBER(SEARCH(", "&amp;$B200&amp;", ", ", "&amp;INDEX('Form Responses'!$R$1:$R$200,7)&amp;", "))),1,""))</f>
        <v/>
      </c>
      <c r="J200">
        <f>IF(Wizards!$A$8="","",IF(OR(ISNUMBER(SEARCH(", "&amp;$B200&amp;", ", ", "&amp;INDEX('Form Responses'!$I$1:$Q$200,8,$A200)&amp;", ")),ISNUMBER(SEARCH(", "&amp;$B200&amp;", ", ", "&amp;INDEX('Form Responses'!$R$1:$R$200,8)&amp;", "))),1,""))</f>
        <v/>
      </c>
      <c r="K200">
        <f>IF(Wizards!$A$9="","",IF(OR(ISNUMBER(SEARCH(", "&amp;$B200&amp;", ", ", "&amp;INDEX('Form Responses'!$I$1:$Q$200,9,$A200)&amp;", ")),ISNUMBER(SEARCH(", "&amp;$B200&amp;", ", ", "&amp;INDEX('Form Responses'!$R$1:$R$200,9)&amp;", "))),1,""))</f>
        <v/>
      </c>
      <c r="L200">
        <f>IF(Wizards!$A$10="","",IF(OR(ISNUMBER(SEARCH(", "&amp;$B200&amp;", ", ", "&amp;INDEX('Form Responses'!$I$1:$Q$200,10,$A200)&amp;", ")),ISNUMBER(SEARCH(", "&amp;$B200&amp;", ", ", "&amp;INDEX('Form Responses'!$R$1:$R$200,10)&amp;", "))),1,""))</f>
        <v/>
      </c>
      <c r="M200">
        <f>IF(Wizards!$A$11="","",IF(OR(ISNUMBER(SEARCH(", "&amp;$B200&amp;", ", ", "&amp;INDEX('Form Responses'!$I$1:$Q$200,11,$A200)&amp;", ")),ISNUMBER(SEARCH(", "&amp;$B200&amp;", ", ", "&amp;INDEX('Form Responses'!$R$1:$R$200,11)&amp;", "))),1,""))</f>
        <v/>
      </c>
      <c r="N200">
        <f>IF(Wizards!$A$12="","",IF(OR(ISNUMBER(SEARCH(", "&amp;$B200&amp;", ", ", "&amp;INDEX('Form Responses'!$I$1:$Q$200,12,$A200)&amp;", ")),ISNUMBER(SEARCH(", "&amp;$B200&amp;", ", ", "&amp;INDEX('Form Responses'!$R$1:$R$200,12)&amp;", "))),1,""))</f>
        <v/>
      </c>
      <c r="O200">
        <f>IF(Wizards!$A$13="","",IF(OR(ISNUMBER(SEARCH(", "&amp;$B200&amp;", ", ", "&amp;INDEX('Form Responses'!$I$1:$Q$200,13,$A200)&amp;", ")),ISNUMBER(SEARCH(", "&amp;$B200&amp;", ", ", "&amp;INDEX('Form Responses'!$R$1:$R$200,13)&amp;", "))),1,""))</f>
        <v/>
      </c>
      <c r="P200">
        <f>IF(Wizards!$A$14="","",IF(OR(ISNUMBER(SEARCH(", "&amp;$B200&amp;", ", ", "&amp;INDEX('Form Responses'!$I$1:$Q$200,14,$A200)&amp;", ")),ISNUMBER(SEARCH(", "&amp;$B200&amp;", ", ", "&amp;INDEX('Form Responses'!$R$1:$R$200,14)&amp;", "))),1,""))</f>
        <v/>
      </c>
      <c r="Q200">
        <f>IF(Wizards!$A$15="","",IF(OR(ISNUMBER(SEARCH(", "&amp;$B200&amp;", ", ", "&amp;INDEX('Form Responses'!$I$1:$Q$200,15,$A200)&amp;", ")),ISNUMBER(SEARCH(", "&amp;$B200&amp;", ", ", "&amp;INDEX('Form Responses'!$R$1:$R$200,15)&amp;", "))),1,""))</f>
        <v/>
      </c>
      <c r="R200">
        <f>IF(Wizards!$A$16="","",IF(OR(ISNUMBER(SEARCH(", "&amp;$B200&amp;", ", ", "&amp;INDEX('Form Responses'!$I$1:$Q$200,16,$A200)&amp;", ")),ISNUMBER(SEARCH(", "&amp;$B200&amp;", ", ", "&amp;INDEX('Form Responses'!$R$1:$R$200,16)&amp;", "))),1,""))</f>
        <v/>
      </c>
      <c r="S200">
        <f>IF(Wizards!$A$17="","",IF(OR(ISNUMBER(SEARCH(", "&amp;$B200&amp;", ", ", "&amp;INDEX('Form Responses'!$I$1:$Q$200,17,$A200)&amp;", ")),ISNUMBER(SEARCH(", "&amp;$B200&amp;", ", ", "&amp;INDEX('Form Responses'!$R$1:$R$200,17)&amp;", "))),1,""))</f>
        <v/>
      </c>
      <c r="T200">
        <f>IF(Wizards!$A$18="","",IF(OR(ISNUMBER(SEARCH(", "&amp;$B200&amp;", ", ", "&amp;INDEX('Form Responses'!$I$1:$Q$200,18,$A200)&amp;", ")),ISNUMBER(SEARCH(", "&amp;$B200&amp;", ", ", "&amp;INDEX('Form Responses'!$R$1:$R$200,18)&amp;", "))),1,""))</f>
        <v/>
      </c>
      <c r="U200">
        <f>IF(Wizards!$A$19="","",IF(OR(ISNUMBER(SEARCH(", "&amp;$B200&amp;", ", ", "&amp;INDEX('Form Responses'!$I$1:$Q$200,19,$A200)&amp;", ")),ISNUMBER(SEARCH(", "&amp;$B200&amp;", ", ", "&amp;INDEX('Form Responses'!$R$1:$R$200,19)&amp;", "))),1,""))</f>
        <v/>
      </c>
      <c r="V200">
        <f>IF(Wizards!$A$20="","",IF(OR(ISNUMBER(SEARCH(", "&amp;$B200&amp;", ", ", "&amp;INDEX('Form Responses'!$I$1:$Q$200,20,$A200)&amp;", ")),ISNUMBER(SEARCH(", "&amp;$B200&amp;", ", ", "&amp;INDEX('Form Responses'!$R$1:$R$200,20)&amp;", "))),1,""))</f>
        <v/>
      </c>
      <c r="W200">
        <f>IF(Wizards!$A$21="","",IF(OR(ISNUMBER(SEARCH(", "&amp;$B200&amp;", ", ", "&amp;INDEX('Form Responses'!$I$1:$Q$200,21,$A200)&amp;", ")),ISNUMBER(SEARCH(", "&amp;$B200&amp;", ", ", "&amp;INDEX('Form Responses'!$R$1:$R$200,21)&amp;", "))),1,""))</f>
        <v/>
      </c>
      <c r="X200">
        <f>IF(Wizards!$A$22="","",IF(OR(ISNUMBER(SEARCH(", "&amp;$B200&amp;", ", ", "&amp;INDEX('Form Responses'!$I$1:$Q$200,22,$A200)&amp;", ")),ISNUMBER(SEARCH(", "&amp;$B200&amp;", ", ", "&amp;INDEX('Form Responses'!$R$1:$R$200,22)&amp;", "))),1,""))</f>
        <v/>
      </c>
      <c r="Y200">
        <f>IF(Wizards!$A$23="","",IF(OR(ISNUMBER(SEARCH(", "&amp;$B200&amp;", ", ", "&amp;INDEX('Form Responses'!$I$1:$Q$200,23,$A200)&amp;", ")),ISNUMBER(SEARCH(", "&amp;$B200&amp;", ", ", "&amp;INDEX('Form Responses'!$R$1:$R$200,23)&amp;", "))),1,""))</f>
        <v/>
      </c>
      <c r="Z200">
        <f>IF(Wizards!$A$24="","",IF(OR(ISNUMBER(SEARCH(", "&amp;$B200&amp;", ", ", "&amp;INDEX('Form Responses'!$I$1:$Q$200,24,$A200)&amp;", ")),ISNUMBER(SEARCH(", "&amp;$B200&amp;", ", ", "&amp;INDEX('Form Responses'!$R$1:$R$200,24)&amp;", "))),1,""))</f>
        <v/>
      </c>
      <c r="AA200">
        <f>IF(Wizards!$A$25="","",IF(OR(ISNUMBER(SEARCH(", "&amp;$B200&amp;", ", ", "&amp;INDEX('Form Responses'!$I$1:$Q$200,25,$A200)&amp;", ")),ISNUMBER(SEARCH(", "&amp;$B200&amp;", ", ", "&amp;INDEX('Form Responses'!$R$1:$R$200,25)&amp;", "))),1,""))</f>
        <v/>
      </c>
      <c r="AB200">
        <f>IF(D200=1,", "&amp;D$1,"")</f>
        <v/>
      </c>
      <c r="AC200">
        <f>IF(E200=1,", "&amp;E$1,"")</f>
        <v/>
      </c>
      <c r="AD200">
        <f>IF(F200=1,", "&amp;F$1,"")</f>
        <v/>
      </c>
      <c r="AE200">
        <f>IF(G200=1,", "&amp;G$1,"")</f>
        <v/>
      </c>
      <c r="AF200">
        <f>IF(H200=1,", "&amp;H$1,"")</f>
        <v/>
      </c>
      <c r="AG200">
        <f>IF(I200=1,", "&amp;I$1,"")</f>
        <v/>
      </c>
      <c r="AH200">
        <f>IF(J200=1,", "&amp;J$1,"")</f>
        <v/>
      </c>
      <c r="AI200">
        <f>IF(K200=1,", "&amp;K$1,"")</f>
        <v/>
      </c>
      <c r="AJ200">
        <f>IF(L200=1,", "&amp;L$1,"")</f>
        <v/>
      </c>
      <c r="AK200">
        <f>IF(M200=1,", "&amp;M$1,"")</f>
        <v/>
      </c>
      <c r="AL200">
        <f>IF(N200=1,", "&amp;N$1,"")</f>
        <v/>
      </c>
      <c r="AM200">
        <f>IF(O200=1,", "&amp;O$1,"")</f>
        <v/>
      </c>
      <c r="AN200">
        <f>IF(P200=1,", "&amp;P$1,"")</f>
        <v/>
      </c>
      <c r="AO200">
        <f>IF(Q200=1,", "&amp;Q$1,"")</f>
        <v/>
      </c>
      <c r="AP200">
        <f>IF(R200=1,", "&amp;R$1,"")</f>
        <v/>
      </c>
      <c r="AQ200">
        <f>IF(S200=1,", "&amp;S$1,"")</f>
        <v/>
      </c>
      <c r="AR200">
        <f>IF(T200=1,", "&amp;T$1,"")</f>
        <v/>
      </c>
      <c r="AS200">
        <f>IF(U200=1,", "&amp;U$1,"")</f>
        <v/>
      </c>
      <c r="AT200">
        <f>IF(V200=1,", "&amp;V$1,"")</f>
        <v/>
      </c>
      <c r="AU200">
        <f>IF(W200=1,", "&amp;W$1,"")</f>
        <v/>
      </c>
      <c r="AV200">
        <f>IF(X200=1,", "&amp;X$1,"")</f>
        <v/>
      </c>
      <c r="AW200">
        <f>IF(Y200=1,", "&amp;Y$1,"")</f>
        <v/>
      </c>
      <c r="AX200">
        <f>IF(Z200=1,", "&amp;Z$1,"")</f>
        <v/>
      </c>
      <c r="AY200">
        <f>IF(AA200=1,", "&amp;AA$1,"")</f>
        <v/>
      </c>
      <c r="AZ200">
        <f>MID($AB200&amp;$AC200&amp;$AD200&amp;$AE200&amp;$AF200&amp;$AG200&amp;$AH200&amp;$AI200&amp;$AJ200&amp;$AK200&amp;$AL200&amp;$AM200&amp;$AN200&amp;$AO200&amp;$AP200&amp;$AQ200&amp;$AR200&amp;$AS200&amp;$AT200&amp;$AU200&amp;$AV200&amp;$AW200&amp;$AX200&amp;$AY200,3,32767)</f>
        <v/>
      </c>
      <c r="BA200">
        <f>COUNT($D200:$AA200)</f>
        <v/>
      </c>
    </row>
    <row r="201">
      <c r="A201" t="n">
        <v>4</v>
      </c>
      <c r="B201" t="inlineStr">
        <is>
          <t>Watery Sphere</t>
        </is>
      </c>
      <c r="C201" t="inlineStr">
        <is>
          <t>Conjuration</t>
        </is>
      </c>
      <c r="D201">
        <f>IF(Wizards!$A$2="","",IF(OR(ISNUMBER(SEARCH(", "&amp;$B201&amp;", ", ", "&amp;INDEX('Form Responses'!$I$1:$Q$200,2,$A201)&amp;", ")),ISNUMBER(SEARCH(", "&amp;$B201&amp;", ", ", "&amp;INDEX('Form Responses'!$R$1:$R$200,2)&amp;", "))),1,""))</f>
        <v/>
      </c>
      <c r="E201">
        <f>IF(Wizards!$A$3="","",IF(OR(ISNUMBER(SEARCH(", "&amp;$B201&amp;", ", ", "&amp;INDEX('Form Responses'!$I$1:$Q$200,3,$A201)&amp;", ")),ISNUMBER(SEARCH(", "&amp;$B201&amp;", ", ", "&amp;INDEX('Form Responses'!$R$1:$R$200,3)&amp;", "))),1,""))</f>
        <v/>
      </c>
      <c r="F201">
        <f>IF(Wizards!$A$4="","",IF(OR(ISNUMBER(SEARCH(", "&amp;$B201&amp;", ", ", "&amp;INDEX('Form Responses'!$I$1:$Q$200,4,$A201)&amp;", ")),ISNUMBER(SEARCH(", "&amp;$B201&amp;", ", ", "&amp;INDEX('Form Responses'!$R$1:$R$200,4)&amp;", "))),1,""))</f>
        <v/>
      </c>
      <c r="G201">
        <f>IF(Wizards!$A$5="","",IF(OR(ISNUMBER(SEARCH(", "&amp;$B201&amp;", ", ", "&amp;INDEX('Form Responses'!$I$1:$Q$200,5,$A201)&amp;", ")),ISNUMBER(SEARCH(", "&amp;$B201&amp;", ", ", "&amp;INDEX('Form Responses'!$R$1:$R$200,5)&amp;", "))),1,""))</f>
        <v/>
      </c>
      <c r="H201">
        <f>IF(Wizards!$A$6="","",IF(OR(ISNUMBER(SEARCH(", "&amp;$B201&amp;", ", ", "&amp;INDEX('Form Responses'!$I$1:$Q$200,6,$A201)&amp;", ")),ISNUMBER(SEARCH(", "&amp;$B201&amp;", ", ", "&amp;INDEX('Form Responses'!$R$1:$R$200,6)&amp;", "))),1,""))</f>
        <v/>
      </c>
      <c r="I201">
        <f>IF(Wizards!$A$7="","",IF(OR(ISNUMBER(SEARCH(", "&amp;$B201&amp;", ", ", "&amp;INDEX('Form Responses'!$I$1:$Q$200,7,$A201)&amp;", ")),ISNUMBER(SEARCH(", "&amp;$B201&amp;", ", ", "&amp;INDEX('Form Responses'!$R$1:$R$200,7)&amp;", "))),1,""))</f>
        <v/>
      </c>
      <c r="J201">
        <f>IF(Wizards!$A$8="","",IF(OR(ISNUMBER(SEARCH(", "&amp;$B201&amp;", ", ", "&amp;INDEX('Form Responses'!$I$1:$Q$200,8,$A201)&amp;", ")),ISNUMBER(SEARCH(", "&amp;$B201&amp;", ", ", "&amp;INDEX('Form Responses'!$R$1:$R$200,8)&amp;", "))),1,""))</f>
        <v/>
      </c>
      <c r="K201">
        <f>IF(Wizards!$A$9="","",IF(OR(ISNUMBER(SEARCH(", "&amp;$B201&amp;", ", ", "&amp;INDEX('Form Responses'!$I$1:$Q$200,9,$A201)&amp;", ")),ISNUMBER(SEARCH(", "&amp;$B201&amp;", ", ", "&amp;INDEX('Form Responses'!$R$1:$R$200,9)&amp;", "))),1,""))</f>
        <v/>
      </c>
      <c r="L201">
        <f>IF(Wizards!$A$10="","",IF(OR(ISNUMBER(SEARCH(", "&amp;$B201&amp;", ", ", "&amp;INDEX('Form Responses'!$I$1:$Q$200,10,$A201)&amp;", ")),ISNUMBER(SEARCH(", "&amp;$B201&amp;", ", ", "&amp;INDEX('Form Responses'!$R$1:$R$200,10)&amp;", "))),1,""))</f>
        <v/>
      </c>
      <c r="M201">
        <f>IF(Wizards!$A$11="","",IF(OR(ISNUMBER(SEARCH(", "&amp;$B201&amp;", ", ", "&amp;INDEX('Form Responses'!$I$1:$Q$200,11,$A201)&amp;", ")),ISNUMBER(SEARCH(", "&amp;$B201&amp;", ", ", "&amp;INDEX('Form Responses'!$R$1:$R$200,11)&amp;", "))),1,""))</f>
        <v/>
      </c>
      <c r="N201">
        <f>IF(Wizards!$A$12="","",IF(OR(ISNUMBER(SEARCH(", "&amp;$B201&amp;", ", ", "&amp;INDEX('Form Responses'!$I$1:$Q$200,12,$A201)&amp;", ")),ISNUMBER(SEARCH(", "&amp;$B201&amp;", ", ", "&amp;INDEX('Form Responses'!$R$1:$R$200,12)&amp;", "))),1,""))</f>
        <v/>
      </c>
      <c r="O201">
        <f>IF(Wizards!$A$13="","",IF(OR(ISNUMBER(SEARCH(", "&amp;$B201&amp;", ", ", "&amp;INDEX('Form Responses'!$I$1:$Q$200,13,$A201)&amp;", ")),ISNUMBER(SEARCH(", "&amp;$B201&amp;", ", ", "&amp;INDEX('Form Responses'!$R$1:$R$200,13)&amp;", "))),1,""))</f>
        <v/>
      </c>
      <c r="P201">
        <f>IF(Wizards!$A$14="","",IF(OR(ISNUMBER(SEARCH(", "&amp;$B201&amp;", ", ", "&amp;INDEX('Form Responses'!$I$1:$Q$200,14,$A201)&amp;", ")),ISNUMBER(SEARCH(", "&amp;$B201&amp;", ", ", "&amp;INDEX('Form Responses'!$R$1:$R$200,14)&amp;", "))),1,""))</f>
        <v/>
      </c>
      <c r="Q201">
        <f>IF(Wizards!$A$15="","",IF(OR(ISNUMBER(SEARCH(", "&amp;$B201&amp;", ", ", "&amp;INDEX('Form Responses'!$I$1:$Q$200,15,$A201)&amp;", ")),ISNUMBER(SEARCH(", "&amp;$B201&amp;", ", ", "&amp;INDEX('Form Responses'!$R$1:$R$200,15)&amp;", "))),1,""))</f>
        <v/>
      </c>
      <c r="R201">
        <f>IF(Wizards!$A$16="","",IF(OR(ISNUMBER(SEARCH(", "&amp;$B201&amp;", ", ", "&amp;INDEX('Form Responses'!$I$1:$Q$200,16,$A201)&amp;", ")),ISNUMBER(SEARCH(", "&amp;$B201&amp;", ", ", "&amp;INDEX('Form Responses'!$R$1:$R$200,16)&amp;", "))),1,""))</f>
        <v/>
      </c>
      <c r="S201">
        <f>IF(Wizards!$A$17="","",IF(OR(ISNUMBER(SEARCH(", "&amp;$B201&amp;", ", ", "&amp;INDEX('Form Responses'!$I$1:$Q$200,17,$A201)&amp;", ")),ISNUMBER(SEARCH(", "&amp;$B201&amp;", ", ", "&amp;INDEX('Form Responses'!$R$1:$R$200,17)&amp;", "))),1,""))</f>
        <v/>
      </c>
      <c r="T201">
        <f>IF(Wizards!$A$18="","",IF(OR(ISNUMBER(SEARCH(", "&amp;$B201&amp;", ", ", "&amp;INDEX('Form Responses'!$I$1:$Q$200,18,$A201)&amp;", ")),ISNUMBER(SEARCH(", "&amp;$B201&amp;", ", ", "&amp;INDEX('Form Responses'!$R$1:$R$200,18)&amp;", "))),1,""))</f>
        <v/>
      </c>
      <c r="U201">
        <f>IF(Wizards!$A$19="","",IF(OR(ISNUMBER(SEARCH(", "&amp;$B201&amp;", ", ", "&amp;INDEX('Form Responses'!$I$1:$Q$200,19,$A201)&amp;", ")),ISNUMBER(SEARCH(", "&amp;$B201&amp;", ", ", "&amp;INDEX('Form Responses'!$R$1:$R$200,19)&amp;", "))),1,""))</f>
        <v/>
      </c>
      <c r="V201">
        <f>IF(Wizards!$A$20="","",IF(OR(ISNUMBER(SEARCH(", "&amp;$B201&amp;", ", ", "&amp;INDEX('Form Responses'!$I$1:$Q$200,20,$A201)&amp;", ")),ISNUMBER(SEARCH(", "&amp;$B201&amp;", ", ", "&amp;INDEX('Form Responses'!$R$1:$R$200,20)&amp;", "))),1,""))</f>
        <v/>
      </c>
      <c r="W201">
        <f>IF(Wizards!$A$21="","",IF(OR(ISNUMBER(SEARCH(", "&amp;$B201&amp;", ", ", "&amp;INDEX('Form Responses'!$I$1:$Q$200,21,$A201)&amp;", ")),ISNUMBER(SEARCH(", "&amp;$B201&amp;", ", ", "&amp;INDEX('Form Responses'!$R$1:$R$200,21)&amp;", "))),1,""))</f>
        <v/>
      </c>
      <c r="X201">
        <f>IF(Wizards!$A$22="","",IF(OR(ISNUMBER(SEARCH(", "&amp;$B201&amp;", ", ", "&amp;INDEX('Form Responses'!$I$1:$Q$200,22,$A201)&amp;", ")),ISNUMBER(SEARCH(", "&amp;$B201&amp;", ", ", "&amp;INDEX('Form Responses'!$R$1:$R$200,22)&amp;", "))),1,""))</f>
        <v/>
      </c>
      <c r="Y201">
        <f>IF(Wizards!$A$23="","",IF(OR(ISNUMBER(SEARCH(", "&amp;$B201&amp;", ", ", "&amp;INDEX('Form Responses'!$I$1:$Q$200,23,$A201)&amp;", ")),ISNUMBER(SEARCH(", "&amp;$B201&amp;", ", ", "&amp;INDEX('Form Responses'!$R$1:$R$200,23)&amp;", "))),1,""))</f>
        <v/>
      </c>
      <c r="Z201">
        <f>IF(Wizards!$A$24="","",IF(OR(ISNUMBER(SEARCH(", "&amp;$B201&amp;", ", ", "&amp;INDEX('Form Responses'!$I$1:$Q$200,24,$A201)&amp;", ")),ISNUMBER(SEARCH(", "&amp;$B201&amp;", ", ", "&amp;INDEX('Form Responses'!$R$1:$R$200,24)&amp;", "))),1,""))</f>
        <v/>
      </c>
      <c r="AA201">
        <f>IF(Wizards!$A$25="","",IF(OR(ISNUMBER(SEARCH(", "&amp;$B201&amp;", ", ", "&amp;INDEX('Form Responses'!$I$1:$Q$200,25,$A201)&amp;", ")),ISNUMBER(SEARCH(", "&amp;$B201&amp;", ", ", "&amp;INDEX('Form Responses'!$R$1:$R$200,25)&amp;", "))),1,""))</f>
        <v/>
      </c>
      <c r="AB201">
        <f>IF(D201=1,", "&amp;D$1,"")</f>
        <v/>
      </c>
      <c r="AC201">
        <f>IF(E201=1,", "&amp;E$1,"")</f>
        <v/>
      </c>
      <c r="AD201">
        <f>IF(F201=1,", "&amp;F$1,"")</f>
        <v/>
      </c>
      <c r="AE201">
        <f>IF(G201=1,", "&amp;G$1,"")</f>
        <v/>
      </c>
      <c r="AF201">
        <f>IF(H201=1,", "&amp;H$1,"")</f>
        <v/>
      </c>
      <c r="AG201">
        <f>IF(I201=1,", "&amp;I$1,"")</f>
        <v/>
      </c>
      <c r="AH201">
        <f>IF(J201=1,", "&amp;J$1,"")</f>
        <v/>
      </c>
      <c r="AI201">
        <f>IF(K201=1,", "&amp;K$1,"")</f>
        <v/>
      </c>
      <c r="AJ201">
        <f>IF(L201=1,", "&amp;L$1,"")</f>
        <v/>
      </c>
      <c r="AK201">
        <f>IF(M201=1,", "&amp;M$1,"")</f>
        <v/>
      </c>
      <c r="AL201">
        <f>IF(N201=1,", "&amp;N$1,"")</f>
        <v/>
      </c>
      <c r="AM201">
        <f>IF(O201=1,", "&amp;O$1,"")</f>
        <v/>
      </c>
      <c r="AN201">
        <f>IF(P201=1,", "&amp;P$1,"")</f>
        <v/>
      </c>
      <c r="AO201">
        <f>IF(Q201=1,", "&amp;Q$1,"")</f>
        <v/>
      </c>
      <c r="AP201">
        <f>IF(R201=1,", "&amp;R$1,"")</f>
        <v/>
      </c>
      <c r="AQ201">
        <f>IF(S201=1,", "&amp;S$1,"")</f>
        <v/>
      </c>
      <c r="AR201">
        <f>IF(T201=1,", "&amp;T$1,"")</f>
        <v/>
      </c>
      <c r="AS201">
        <f>IF(U201=1,", "&amp;U$1,"")</f>
        <v/>
      </c>
      <c r="AT201">
        <f>IF(V201=1,", "&amp;V$1,"")</f>
        <v/>
      </c>
      <c r="AU201">
        <f>IF(W201=1,", "&amp;W$1,"")</f>
        <v/>
      </c>
      <c r="AV201">
        <f>IF(X201=1,", "&amp;X$1,"")</f>
        <v/>
      </c>
      <c r="AW201">
        <f>IF(Y201=1,", "&amp;Y$1,"")</f>
        <v/>
      </c>
      <c r="AX201">
        <f>IF(Z201=1,", "&amp;Z$1,"")</f>
        <v/>
      </c>
      <c r="AY201">
        <f>IF(AA201=1,", "&amp;AA$1,"")</f>
        <v/>
      </c>
      <c r="AZ201">
        <f>MID($AB201&amp;$AC201&amp;$AD201&amp;$AE201&amp;$AF201&amp;$AG201&amp;$AH201&amp;$AI201&amp;$AJ201&amp;$AK201&amp;$AL201&amp;$AM201&amp;$AN201&amp;$AO201&amp;$AP201&amp;$AQ201&amp;$AR201&amp;$AS201&amp;$AT201&amp;$AU201&amp;$AV201&amp;$AW201&amp;$AX201&amp;$AY201,3,32767)</f>
        <v/>
      </c>
      <c r="BA201">
        <f>COUNT($D201:$AA201)</f>
        <v/>
      </c>
    </row>
    <row r="202">
      <c r="A202" t="n">
        <v>5</v>
      </c>
      <c r="B202" t="inlineStr">
        <is>
          <t>Alustriel's Mooncloak</t>
        </is>
      </c>
      <c r="C202" t="inlineStr">
        <is>
          <t>Abjuration</t>
        </is>
      </c>
      <c r="D202">
        <f>IF(Wizards!$A$2="","",IF(OR(ISNUMBER(SEARCH(", "&amp;$B202&amp;", ", ", "&amp;INDEX('Form Responses'!$I$1:$Q$200,2,$A202)&amp;", ")),ISNUMBER(SEARCH(", "&amp;$B202&amp;", ", ", "&amp;INDEX('Form Responses'!$R$1:$R$200,2)&amp;", "))),1,""))</f>
        <v/>
      </c>
      <c r="E202">
        <f>IF(Wizards!$A$3="","",IF(OR(ISNUMBER(SEARCH(", "&amp;$B202&amp;", ", ", "&amp;INDEX('Form Responses'!$I$1:$Q$200,3,$A202)&amp;", ")),ISNUMBER(SEARCH(", "&amp;$B202&amp;", ", ", "&amp;INDEX('Form Responses'!$R$1:$R$200,3)&amp;", "))),1,""))</f>
        <v/>
      </c>
      <c r="F202">
        <f>IF(Wizards!$A$4="","",IF(OR(ISNUMBER(SEARCH(", "&amp;$B202&amp;", ", ", "&amp;INDEX('Form Responses'!$I$1:$Q$200,4,$A202)&amp;", ")),ISNUMBER(SEARCH(", "&amp;$B202&amp;", ", ", "&amp;INDEX('Form Responses'!$R$1:$R$200,4)&amp;", "))),1,""))</f>
        <v/>
      </c>
      <c r="G202">
        <f>IF(Wizards!$A$5="","",IF(OR(ISNUMBER(SEARCH(", "&amp;$B202&amp;", ", ", "&amp;INDEX('Form Responses'!$I$1:$Q$200,5,$A202)&amp;", ")),ISNUMBER(SEARCH(", "&amp;$B202&amp;", ", ", "&amp;INDEX('Form Responses'!$R$1:$R$200,5)&amp;", "))),1,""))</f>
        <v/>
      </c>
      <c r="H202">
        <f>IF(Wizards!$A$6="","",IF(OR(ISNUMBER(SEARCH(", "&amp;$B202&amp;", ", ", "&amp;INDEX('Form Responses'!$I$1:$Q$200,6,$A202)&amp;", ")),ISNUMBER(SEARCH(", "&amp;$B202&amp;", ", ", "&amp;INDEX('Form Responses'!$R$1:$R$200,6)&amp;", "))),1,""))</f>
        <v/>
      </c>
      <c r="I202">
        <f>IF(Wizards!$A$7="","",IF(OR(ISNUMBER(SEARCH(", "&amp;$B202&amp;", ", ", "&amp;INDEX('Form Responses'!$I$1:$Q$200,7,$A202)&amp;", ")),ISNUMBER(SEARCH(", "&amp;$B202&amp;", ", ", "&amp;INDEX('Form Responses'!$R$1:$R$200,7)&amp;", "))),1,""))</f>
        <v/>
      </c>
      <c r="J202">
        <f>IF(Wizards!$A$8="","",IF(OR(ISNUMBER(SEARCH(", "&amp;$B202&amp;", ", ", "&amp;INDEX('Form Responses'!$I$1:$Q$200,8,$A202)&amp;", ")),ISNUMBER(SEARCH(", "&amp;$B202&amp;", ", ", "&amp;INDEX('Form Responses'!$R$1:$R$200,8)&amp;", "))),1,""))</f>
        <v/>
      </c>
      <c r="K202">
        <f>IF(Wizards!$A$9="","",IF(OR(ISNUMBER(SEARCH(", "&amp;$B202&amp;", ", ", "&amp;INDEX('Form Responses'!$I$1:$Q$200,9,$A202)&amp;", ")),ISNUMBER(SEARCH(", "&amp;$B202&amp;", ", ", "&amp;INDEX('Form Responses'!$R$1:$R$200,9)&amp;", "))),1,""))</f>
        <v/>
      </c>
      <c r="L202">
        <f>IF(Wizards!$A$10="","",IF(OR(ISNUMBER(SEARCH(", "&amp;$B202&amp;", ", ", "&amp;INDEX('Form Responses'!$I$1:$Q$200,10,$A202)&amp;", ")),ISNUMBER(SEARCH(", "&amp;$B202&amp;", ", ", "&amp;INDEX('Form Responses'!$R$1:$R$200,10)&amp;", "))),1,""))</f>
        <v/>
      </c>
      <c r="M202">
        <f>IF(Wizards!$A$11="","",IF(OR(ISNUMBER(SEARCH(", "&amp;$B202&amp;", ", ", "&amp;INDEX('Form Responses'!$I$1:$Q$200,11,$A202)&amp;", ")),ISNUMBER(SEARCH(", "&amp;$B202&amp;", ", ", "&amp;INDEX('Form Responses'!$R$1:$R$200,11)&amp;", "))),1,""))</f>
        <v/>
      </c>
      <c r="N202">
        <f>IF(Wizards!$A$12="","",IF(OR(ISNUMBER(SEARCH(", "&amp;$B202&amp;", ", ", "&amp;INDEX('Form Responses'!$I$1:$Q$200,12,$A202)&amp;", ")),ISNUMBER(SEARCH(", "&amp;$B202&amp;", ", ", "&amp;INDEX('Form Responses'!$R$1:$R$200,12)&amp;", "))),1,""))</f>
        <v/>
      </c>
      <c r="O202">
        <f>IF(Wizards!$A$13="","",IF(OR(ISNUMBER(SEARCH(", "&amp;$B202&amp;", ", ", "&amp;INDEX('Form Responses'!$I$1:$Q$200,13,$A202)&amp;", ")),ISNUMBER(SEARCH(", "&amp;$B202&amp;", ", ", "&amp;INDEX('Form Responses'!$R$1:$R$200,13)&amp;", "))),1,""))</f>
        <v/>
      </c>
      <c r="P202">
        <f>IF(Wizards!$A$14="","",IF(OR(ISNUMBER(SEARCH(", "&amp;$B202&amp;", ", ", "&amp;INDEX('Form Responses'!$I$1:$Q$200,14,$A202)&amp;", ")),ISNUMBER(SEARCH(", "&amp;$B202&amp;", ", ", "&amp;INDEX('Form Responses'!$R$1:$R$200,14)&amp;", "))),1,""))</f>
        <v/>
      </c>
      <c r="Q202">
        <f>IF(Wizards!$A$15="","",IF(OR(ISNUMBER(SEARCH(", "&amp;$B202&amp;", ", ", "&amp;INDEX('Form Responses'!$I$1:$Q$200,15,$A202)&amp;", ")),ISNUMBER(SEARCH(", "&amp;$B202&amp;", ", ", "&amp;INDEX('Form Responses'!$R$1:$R$200,15)&amp;", "))),1,""))</f>
        <v/>
      </c>
      <c r="R202">
        <f>IF(Wizards!$A$16="","",IF(OR(ISNUMBER(SEARCH(", "&amp;$B202&amp;", ", ", "&amp;INDEX('Form Responses'!$I$1:$Q$200,16,$A202)&amp;", ")),ISNUMBER(SEARCH(", "&amp;$B202&amp;", ", ", "&amp;INDEX('Form Responses'!$R$1:$R$200,16)&amp;", "))),1,""))</f>
        <v/>
      </c>
      <c r="S202">
        <f>IF(Wizards!$A$17="","",IF(OR(ISNUMBER(SEARCH(", "&amp;$B202&amp;", ", ", "&amp;INDEX('Form Responses'!$I$1:$Q$200,17,$A202)&amp;", ")),ISNUMBER(SEARCH(", "&amp;$B202&amp;", ", ", "&amp;INDEX('Form Responses'!$R$1:$R$200,17)&amp;", "))),1,""))</f>
        <v/>
      </c>
      <c r="T202">
        <f>IF(Wizards!$A$18="","",IF(OR(ISNUMBER(SEARCH(", "&amp;$B202&amp;", ", ", "&amp;INDEX('Form Responses'!$I$1:$Q$200,18,$A202)&amp;", ")),ISNUMBER(SEARCH(", "&amp;$B202&amp;", ", ", "&amp;INDEX('Form Responses'!$R$1:$R$200,18)&amp;", "))),1,""))</f>
        <v/>
      </c>
      <c r="U202">
        <f>IF(Wizards!$A$19="","",IF(OR(ISNUMBER(SEARCH(", "&amp;$B202&amp;", ", ", "&amp;INDEX('Form Responses'!$I$1:$Q$200,19,$A202)&amp;", ")),ISNUMBER(SEARCH(", "&amp;$B202&amp;", ", ", "&amp;INDEX('Form Responses'!$R$1:$R$200,19)&amp;", "))),1,""))</f>
        <v/>
      </c>
      <c r="V202">
        <f>IF(Wizards!$A$20="","",IF(OR(ISNUMBER(SEARCH(", "&amp;$B202&amp;", ", ", "&amp;INDEX('Form Responses'!$I$1:$Q$200,20,$A202)&amp;", ")),ISNUMBER(SEARCH(", "&amp;$B202&amp;", ", ", "&amp;INDEX('Form Responses'!$R$1:$R$200,20)&amp;", "))),1,""))</f>
        <v/>
      </c>
      <c r="W202">
        <f>IF(Wizards!$A$21="","",IF(OR(ISNUMBER(SEARCH(", "&amp;$B202&amp;", ", ", "&amp;INDEX('Form Responses'!$I$1:$Q$200,21,$A202)&amp;", ")),ISNUMBER(SEARCH(", "&amp;$B202&amp;", ", ", "&amp;INDEX('Form Responses'!$R$1:$R$200,21)&amp;", "))),1,""))</f>
        <v/>
      </c>
      <c r="X202">
        <f>IF(Wizards!$A$22="","",IF(OR(ISNUMBER(SEARCH(", "&amp;$B202&amp;", ", ", "&amp;INDEX('Form Responses'!$I$1:$Q$200,22,$A202)&amp;", ")),ISNUMBER(SEARCH(", "&amp;$B202&amp;", ", ", "&amp;INDEX('Form Responses'!$R$1:$R$200,22)&amp;", "))),1,""))</f>
        <v/>
      </c>
      <c r="Y202">
        <f>IF(Wizards!$A$23="","",IF(OR(ISNUMBER(SEARCH(", "&amp;$B202&amp;", ", ", "&amp;INDEX('Form Responses'!$I$1:$Q$200,23,$A202)&amp;", ")),ISNUMBER(SEARCH(", "&amp;$B202&amp;", ", ", "&amp;INDEX('Form Responses'!$R$1:$R$200,23)&amp;", "))),1,""))</f>
        <v/>
      </c>
      <c r="Z202">
        <f>IF(Wizards!$A$24="","",IF(OR(ISNUMBER(SEARCH(", "&amp;$B202&amp;", ", ", "&amp;INDEX('Form Responses'!$I$1:$Q$200,24,$A202)&amp;", ")),ISNUMBER(SEARCH(", "&amp;$B202&amp;", ", ", "&amp;INDEX('Form Responses'!$R$1:$R$200,24)&amp;", "))),1,""))</f>
        <v/>
      </c>
      <c r="AA202">
        <f>IF(Wizards!$A$25="","",IF(OR(ISNUMBER(SEARCH(", "&amp;$B202&amp;", ", ", "&amp;INDEX('Form Responses'!$I$1:$Q$200,25,$A202)&amp;", ")),ISNUMBER(SEARCH(", "&amp;$B202&amp;", ", ", "&amp;INDEX('Form Responses'!$R$1:$R$200,25)&amp;", "))),1,""))</f>
        <v/>
      </c>
      <c r="AB202">
        <f>IF(D202=1,", "&amp;D$1,"")</f>
        <v/>
      </c>
      <c r="AC202">
        <f>IF(E202=1,", "&amp;E$1,"")</f>
        <v/>
      </c>
      <c r="AD202">
        <f>IF(F202=1,", "&amp;F$1,"")</f>
        <v/>
      </c>
      <c r="AE202">
        <f>IF(G202=1,", "&amp;G$1,"")</f>
        <v/>
      </c>
      <c r="AF202">
        <f>IF(H202=1,", "&amp;H$1,"")</f>
        <v/>
      </c>
      <c r="AG202">
        <f>IF(I202=1,", "&amp;I$1,"")</f>
        <v/>
      </c>
      <c r="AH202">
        <f>IF(J202=1,", "&amp;J$1,"")</f>
        <v/>
      </c>
      <c r="AI202">
        <f>IF(K202=1,", "&amp;K$1,"")</f>
        <v/>
      </c>
      <c r="AJ202">
        <f>IF(L202=1,", "&amp;L$1,"")</f>
        <v/>
      </c>
      <c r="AK202">
        <f>IF(M202=1,", "&amp;M$1,"")</f>
        <v/>
      </c>
      <c r="AL202">
        <f>IF(N202=1,", "&amp;N$1,"")</f>
        <v/>
      </c>
      <c r="AM202">
        <f>IF(O202=1,", "&amp;O$1,"")</f>
        <v/>
      </c>
      <c r="AN202">
        <f>IF(P202=1,", "&amp;P$1,"")</f>
        <v/>
      </c>
      <c r="AO202">
        <f>IF(Q202=1,", "&amp;Q$1,"")</f>
        <v/>
      </c>
      <c r="AP202">
        <f>IF(R202=1,", "&amp;R$1,"")</f>
        <v/>
      </c>
      <c r="AQ202">
        <f>IF(S202=1,", "&amp;S$1,"")</f>
        <v/>
      </c>
      <c r="AR202">
        <f>IF(T202=1,", "&amp;T$1,"")</f>
        <v/>
      </c>
      <c r="AS202">
        <f>IF(U202=1,", "&amp;U$1,"")</f>
        <v/>
      </c>
      <c r="AT202">
        <f>IF(V202=1,", "&amp;V$1,"")</f>
        <v/>
      </c>
      <c r="AU202">
        <f>IF(W202=1,", "&amp;W$1,"")</f>
        <v/>
      </c>
      <c r="AV202">
        <f>IF(X202=1,", "&amp;X$1,"")</f>
        <v/>
      </c>
      <c r="AW202">
        <f>IF(Y202=1,", "&amp;Y$1,"")</f>
        <v/>
      </c>
      <c r="AX202">
        <f>IF(Z202=1,", "&amp;Z$1,"")</f>
        <v/>
      </c>
      <c r="AY202">
        <f>IF(AA202=1,", "&amp;AA$1,"")</f>
        <v/>
      </c>
      <c r="AZ202">
        <f>MID($AB202&amp;$AC202&amp;$AD202&amp;$AE202&amp;$AF202&amp;$AG202&amp;$AH202&amp;$AI202&amp;$AJ202&amp;$AK202&amp;$AL202&amp;$AM202&amp;$AN202&amp;$AO202&amp;$AP202&amp;$AQ202&amp;$AR202&amp;$AS202&amp;$AT202&amp;$AU202&amp;$AV202&amp;$AW202&amp;$AX202&amp;$AY202,3,32767)</f>
        <v/>
      </c>
      <c r="BA202">
        <f>COUNT($D202:$AA202)</f>
        <v/>
      </c>
    </row>
    <row r="203">
      <c r="A203" t="n">
        <v>5</v>
      </c>
      <c r="B203" t="inlineStr">
        <is>
          <t>Animate Objects</t>
        </is>
      </c>
      <c r="C203" t="inlineStr">
        <is>
          <t>Transmutation</t>
        </is>
      </c>
      <c r="D203">
        <f>IF(Wizards!$A$2="","",IF(OR(ISNUMBER(SEARCH(", "&amp;$B203&amp;", ", ", "&amp;INDEX('Form Responses'!$I$1:$Q$200,2,$A203)&amp;", ")),ISNUMBER(SEARCH(", "&amp;$B203&amp;", ", ", "&amp;INDEX('Form Responses'!$R$1:$R$200,2)&amp;", "))),1,""))</f>
        <v/>
      </c>
      <c r="E203">
        <f>IF(Wizards!$A$3="","",IF(OR(ISNUMBER(SEARCH(", "&amp;$B203&amp;", ", ", "&amp;INDEX('Form Responses'!$I$1:$Q$200,3,$A203)&amp;", ")),ISNUMBER(SEARCH(", "&amp;$B203&amp;", ", ", "&amp;INDEX('Form Responses'!$R$1:$R$200,3)&amp;", "))),1,""))</f>
        <v/>
      </c>
      <c r="F203">
        <f>IF(Wizards!$A$4="","",IF(OR(ISNUMBER(SEARCH(", "&amp;$B203&amp;", ", ", "&amp;INDEX('Form Responses'!$I$1:$Q$200,4,$A203)&amp;", ")),ISNUMBER(SEARCH(", "&amp;$B203&amp;", ", ", "&amp;INDEX('Form Responses'!$R$1:$R$200,4)&amp;", "))),1,""))</f>
        <v/>
      </c>
      <c r="G203">
        <f>IF(Wizards!$A$5="","",IF(OR(ISNUMBER(SEARCH(", "&amp;$B203&amp;", ", ", "&amp;INDEX('Form Responses'!$I$1:$Q$200,5,$A203)&amp;", ")),ISNUMBER(SEARCH(", "&amp;$B203&amp;", ", ", "&amp;INDEX('Form Responses'!$R$1:$R$200,5)&amp;", "))),1,""))</f>
        <v/>
      </c>
      <c r="H203">
        <f>IF(Wizards!$A$6="","",IF(OR(ISNUMBER(SEARCH(", "&amp;$B203&amp;", ", ", "&amp;INDEX('Form Responses'!$I$1:$Q$200,6,$A203)&amp;", ")),ISNUMBER(SEARCH(", "&amp;$B203&amp;", ", ", "&amp;INDEX('Form Responses'!$R$1:$R$200,6)&amp;", "))),1,""))</f>
        <v/>
      </c>
      <c r="I203">
        <f>IF(Wizards!$A$7="","",IF(OR(ISNUMBER(SEARCH(", "&amp;$B203&amp;", ", ", "&amp;INDEX('Form Responses'!$I$1:$Q$200,7,$A203)&amp;", ")),ISNUMBER(SEARCH(", "&amp;$B203&amp;", ", ", "&amp;INDEX('Form Responses'!$R$1:$R$200,7)&amp;", "))),1,""))</f>
        <v/>
      </c>
      <c r="J203">
        <f>IF(Wizards!$A$8="","",IF(OR(ISNUMBER(SEARCH(", "&amp;$B203&amp;", ", ", "&amp;INDEX('Form Responses'!$I$1:$Q$200,8,$A203)&amp;", ")),ISNUMBER(SEARCH(", "&amp;$B203&amp;", ", ", "&amp;INDEX('Form Responses'!$R$1:$R$200,8)&amp;", "))),1,""))</f>
        <v/>
      </c>
      <c r="K203">
        <f>IF(Wizards!$A$9="","",IF(OR(ISNUMBER(SEARCH(", "&amp;$B203&amp;", ", ", "&amp;INDEX('Form Responses'!$I$1:$Q$200,9,$A203)&amp;", ")),ISNUMBER(SEARCH(", "&amp;$B203&amp;", ", ", "&amp;INDEX('Form Responses'!$R$1:$R$200,9)&amp;", "))),1,""))</f>
        <v/>
      </c>
      <c r="L203">
        <f>IF(Wizards!$A$10="","",IF(OR(ISNUMBER(SEARCH(", "&amp;$B203&amp;", ", ", "&amp;INDEX('Form Responses'!$I$1:$Q$200,10,$A203)&amp;", ")),ISNUMBER(SEARCH(", "&amp;$B203&amp;", ", ", "&amp;INDEX('Form Responses'!$R$1:$R$200,10)&amp;", "))),1,""))</f>
        <v/>
      </c>
      <c r="M203">
        <f>IF(Wizards!$A$11="","",IF(OR(ISNUMBER(SEARCH(", "&amp;$B203&amp;", ", ", "&amp;INDEX('Form Responses'!$I$1:$Q$200,11,$A203)&amp;", ")),ISNUMBER(SEARCH(", "&amp;$B203&amp;", ", ", "&amp;INDEX('Form Responses'!$R$1:$R$200,11)&amp;", "))),1,""))</f>
        <v/>
      </c>
      <c r="N203">
        <f>IF(Wizards!$A$12="","",IF(OR(ISNUMBER(SEARCH(", "&amp;$B203&amp;", ", ", "&amp;INDEX('Form Responses'!$I$1:$Q$200,12,$A203)&amp;", ")),ISNUMBER(SEARCH(", "&amp;$B203&amp;", ", ", "&amp;INDEX('Form Responses'!$R$1:$R$200,12)&amp;", "))),1,""))</f>
        <v/>
      </c>
      <c r="O203">
        <f>IF(Wizards!$A$13="","",IF(OR(ISNUMBER(SEARCH(", "&amp;$B203&amp;", ", ", "&amp;INDEX('Form Responses'!$I$1:$Q$200,13,$A203)&amp;", ")),ISNUMBER(SEARCH(", "&amp;$B203&amp;", ", ", "&amp;INDEX('Form Responses'!$R$1:$R$200,13)&amp;", "))),1,""))</f>
        <v/>
      </c>
      <c r="P203">
        <f>IF(Wizards!$A$14="","",IF(OR(ISNUMBER(SEARCH(", "&amp;$B203&amp;", ", ", "&amp;INDEX('Form Responses'!$I$1:$Q$200,14,$A203)&amp;", ")),ISNUMBER(SEARCH(", "&amp;$B203&amp;", ", ", "&amp;INDEX('Form Responses'!$R$1:$R$200,14)&amp;", "))),1,""))</f>
        <v/>
      </c>
      <c r="Q203">
        <f>IF(Wizards!$A$15="","",IF(OR(ISNUMBER(SEARCH(", "&amp;$B203&amp;", ", ", "&amp;INDEX('Form Responses'!$I$1:$Q$200,15,$A203)&amp;", ")),ISNUMBER(SEARCH(", "&amp;$B203&amp;", ", ", "&amp;INDEX('Form Responses'!$R$1:$R$200,15)&amp;", "))),1,""))</f>
        <v/>
      </c>
      <c r="R203">
        <f>IF(Wizards!$A$16="","",IF(OR(ISNUMBER(SEARCH(", "&amp;$B203&amp;", ", ", "&amp;INDEX('Form Responses'!$I$1:$Q$200,16,$A203)&amp;", ")),ISNUMBER(SEARCH(", "&amp;$B203&amp;", ", ", "&amp;INDEX('Form Responses'!$R$1:$R$200,16)&amp;", "))),1,""))</f>
        <v/>
      </c>
      <c r="S203">
        <f>IF(Wizards!$A$17="","",IF(OR(ISNUMBER(SEARCH(", "&amp;$B203&amp;", ", ", "&amp;INDEX('Form Responses'!$I$1:$Q$200,17,$A203)&amp;", ")),ISNUMBER(SEARCH(", "&amp;$B203&amp;", ", ", "&amp;INDEX('Form Responses'!$R$1:$R$200,17)&amp;", "))),1,""))</f>
        <v/>
      </c>
      <c r="T203">
        <f>IF(Wizards!$A$18="","",IF(OR(ISNUMBER(SEARCH(", "&amp;$B203&amp;", ", ", "&amp;INDEX('Form Responses'!$I$1:$Q$200,18,$A203)&amp;", ")),ISNUMBER(SEARCH(", "&amp;$B203&amp;", ", ", "&amp;INDEX('Form Responses'!$R$1:$R$200,18)&amp;", "))),1,""))</f>
        <v/>
      </c>
      <c r="U203">
        <f>IF(Wizards!$A$19="","",IF(OR(ISNUMBER(SEARCH(", "&amp;$B203&amp;", ", ", "&amp;INDEX('Form Responses'!$I$1:$Q$200,19,$A203)&amp;", ")),ISNUMBER(SEARCH(", "&amp;$B203&amp;", ", ", "&amp;INDEX('Form Responses'!$R$1:$R$200,19)&amp;", "))),1,""))</f>
        <v/>
      </c>
      <c r="V203">
        <f>IF(Wizards!$A$20="","",IF(OR(ISNUMBER(SEARCH(", "&amp;$B203&amp;", ", ", "&amp;INDEX('Form Responses'!$I$1:$Q$200,20,$A203)&amp;", ")),ISNUMBER(SEARCH(", "&amp;$B203&amp;", ", ", "&amp;INDEX('Form Responses'!$R$1:$R$200,20)&amp;", "))),1,""))</f>
        <v/>
      </c>
      <c r="W203">
        <f>IF(Wizards!$A$21="","",IF(OR(ISNUMBER(SEARCH(", "&amp;$B203&amp;", ", ", "&amp;INDEX('Form Responses'!$I$1:$Q$200,21,$A203)&amp;", ")),ISNUMBER(SEARCH(", "&amp;$B203&amp;", ", ", "&amp;INDEX('Form Responses'!$R$1:$R$200,21)&amp;", "))),1,""))</f>
        <v/>
      </c>
      <c r="X203">
        <f>IF(Wizards!$A$22="","",IF(OR(ISNUMBER(SEARCH(", "&amp;$B203&amp;", ", ", "&amp;INDEX('Form Responses'!$I$1:$Q$200,22,$A203)&amp;", ")),ISNUMBER(SEARCH(", "&amp;$B203&amp;", ", ", "&amp;INDEX('Form Responses'!$R$1:$R$200,22)&amp;", "))),1,""))</f>
        <v/>
      </c>
      <c r="Y203">
        <f>IF(Wizards!$A$23="","",IF(OR(ISNUMBER(SEARCH(", "&amp;$B203&amp;", ", ", "&amp;INDEX('Form Responses'!$I$1:$Q$200,23,$A203)&amp;", ")),ISNUMBER(SEARCH(", "&amp;$B203&amp;", ", ", "&amp;INDEX('Form Responses'!$R$1:$R$200,23)&amp;", "))),1,""))</f>
        <v/>
      </c>
      <c r="Z203">
        <f>IF(Wizards!$A$24="","",IF(OR(ISNUMBER(SEARCH(", "&amp;$B203&amp;", ", ", "&amp;INDEX('Form Responses'!$I$1:$Q$200,24,$A203)&amp;", ")),ISNUMBER(SEARCH(", "&amp;$B203&amp;", ", ", "&amp;INDEX('Form Responses'!$R$1:$R$200,24)&amp;", "))),1,""))</f>
        <v/>
      </c>
      <c r="AA203">
        <f>IF(Wizards!$A$25="","",IF(OR(ISNUMBER(SEARCH(", "&amp;$B203&amp;", ", ", "&amp;INDEX('Form Responses'!$I$1:$Q$200,25,$A203)&amp;", ")),ISNUMBER(SEARCH(", "&amp;$B203&amp;", ", ", "&amp;INDEX('Form Responses'!$R$1:$R$200,25)&amp;", "))),1,""))</f>
        <v/>
      </c>
      <c r="AB203">
        <f>IF(D203=1,", "&amp;D$1,"")</f>
        <v/>
      </c>
      <c r="AC203">
        <f>IF(E203=1,", "&amp;E$1,"")</f>
        <v/>
      </c>
      <c r="AD203">
        <f>IF(F203=1,", "&amp;F$1,"")</f>
        <v/>
      </c>
      <c r="AE203">
        <f>IF(G203=1,", "&amp;G$1,"")</f>
        <v/>
      </c>
      <c r="AF203">
        <f>IF(H203=1,", "&amp;H$1,"")</f>
        <v/>
      </c>
      <c r="AG203">
        <f>IF(I203=1,", "&amp;I$1,"")</f>
        <v/>
      </c>
      <c r="AH203">
        <f>IF(J203=1,", "&amp;J$1,"")</f>
        <v/>
      </c>
      <c r="AI203">
        <f>IF(K203=1,", "&amp;K$1,"")</f>
        <v/>
      </c>
      <c r="AJ203">
        <f>IF(L203=1,", "&amp;L$1,"")</f>
        <v/>
      </c>
      <c r="AK203">
        <f>IF(M203=1,", "&amp;M$1,"")</f>
        <v/>
      </c>
      <c r="AL203">
        <f>IF(N203=1,", "&amp;N$1,"")</f>
        <v/>
      </c>
      <c r="AM203">
        <f>IF(O203=1,", "&amp;O$1,"")</f>
        <v/>
      </c>
      <c r="AN203">
        <f>IF(P203=1,", "&amp;P$1,"")</f>
        <v/>
      </c>
      <c r="AO203">
        <f>IF(Q203=1,", "&amp;Q$1,"")</f>
        <v/>
      </c>
      <c r="AP203">
        <f>IF(R203=1,", "&amp;R$1,"")</f>
        <v/>
      </c>
      <c r="AQ203">
        <f>IF(S203=1,", "&amp;S$1,"")</f>
        <v/>
      </c>
      <c r="AR203">
        <f>IF(T203=1,", "&amp;T$1,"")</f>
        <v/>
      </c>
      <c r="AS203">
        <f>IF(U203=1,", "&amp;U$1,"")</f>
        <v/>
      </c>
      <c r="AT203">
        <f>IF(V203=1,", "&amp;V$1,"")</f>
        <v/>
      </c>
      <c r="AU203">
        <f>IF(W203=1,", "&amp;W$1,"")</f>
        <v/>
      </c>
      <c r="AV203">
        <f>IF(X203=1,", "&amp;X$1,"")</f>
        <v/>
      </c>
      <c r="AW203">
        <f>IF(Y203=1,", "&amp;Y$1,"")</f>
        <v/>
      </c>
      <c r="AX203">
        <f>IF(Z203=1,", "&amp;Z$1,"")</f>
        <v/>
      </c>
      <c r="AY203">
        <f>IF(AA203=1,", "&amp;AA$1,"")</f>
        <v/>
      </c>
      <c r="AZ203">
        <f>MID($AB203&amp;$AC203&amp;$AD203&amp;$AE203&amp;$AF203&amp;$AG203&amp;$AH203&amp;$AI203&amp;$AJ203&amp;$AK203&amp;$AL203&amp;$AM203&amp;$AN203&amp;$AO203&amp;$AP203&amp;$AQ203&amp;$AR203&amp;$AS203&amp;$AT203&amp;$AU203&amp;$AV203&amp;$AW203&amp;$AX203&amp;$AY203,3,32767)</f>
        <v/>
      </c>
      <c r="BA203">
        <f>COUNT($D203:$AA203)</f>
        <v/>
      </c>
    </row>
    <row r="204">
      <c r="A204" t="n">
        <v>5</v>
      </c>
      <c r="B204" t="inlineStr">
        <is>
          <t>Bigby's Hand</t>
        </is>
      </c>
      <c r="C204" t="inlineStr">
        <is>
          <t>Evocation</t>
        </is>
      </c>
      <c r="D204">
        <f>IF(Wizards!$A$2="","",IF(OR(ISNUMBER(SEARCH(", "&amp;$B204&amp;", ", ", "&amp;INDEX('Form Responses'!$I$1:$Q$200,2,$A204)&amp;", ")),ISNUMBER(SEARCH(", "&amp;$B204&amp;", ", ", "&amp;INDEX('Form Responses'!$R$1:$R$200,2)&amp;", "))),1,""))</f>
        <v/>
      </c>
      <c r="E204">
        <f>IF(Wizards!$A$3="","",IF(OR(ISNUMBER(SEARCH(", "&amp;$B204&amp;", ", ", "&amp;INDEX('Form Responses'!$I$1:$Q$200,3,$A204)&amp;", ")),ISNUMBER(SEARCH(", "&amp;$B204&amp;", ", ", "&amp;INDEX('Form Responses'!$R$1:$R$200,3)&amp;", "))),1,""))</f>
        <v/>
      </c>
      <c r="F204">
        <f>IF(Wizards!$A$4="","",IF(OR(ISNUMBER(SEARCH(", "&amp;$B204&amp;", ", ", "&amp;INDEX('Form Responses'!$I$1:$Q$200,4,$A204)&amp;", ")),ISNUMBER(SEARCH(", "&amp;$B204&amp;", ", ", "&amp;INDEX('Form Responses'!$R$1:$R$200,4)&amp;", "))),1,""))</f>
        <v/>
      </c>
      <c r="G204">
        <f>IF(Wizards!$A$5="","",IF(OR(ISNUMBER(SEARCH(", "&amp;$B204&amp;", ", ", "&amp;INDEX('Form Responses'!$I$1:$Q$200,5,$A204)&amp;", ")),ISNUMBER(SEARCH(", "&amp;$B204&amp;", ", ", "&amp;INDEX('Form Responses'!$R$1:$R$200,5)&amp;", "))),1,""))</f>
        <v/>
      </c>
      <c r="H204">
        <f>IF(Wizards!$A$6="","",IF(OR(ISNUMBER(SEARCH(", "&amp;$B204&amp;", ", ", "&amp;INDEX('Form Responses'!$I$1:$Q$200,6,$A204)&amp;", ")),ISNUMBER(SEARCH(", "&amp;$B204&amp;", ", ", "&amp;INDEX('Form Responses'!$R$1:$R$200,6)&amp;", "))),1,""))</f>
        <v/>
      </c>
      <c r="I204">
        <f>IF(Wizards!$A$7="","",IF(OR(ISNUMBER(SEARCH(", "&amp;$B204&amp;", ", ", "&amp;INDEX('Form Responses'!$I$1:$Q$200,7,$A204)&amp;", ")),ISNUMBER(SEARCH(", "&amp;$B204&amp;", ", ", "&amp;INDEX('Form Responses'!$R$1:$R$200,7)&amp;", "))),1,""))</f>
        <v/>
      </c>
      <c r="J204">
        <f>IF(Wizards!$A$8="","",IF(OR(ISNUMBER(SEARCH(", "&amp;$B204&amp;", ", ", "&amp;INDEX('Form Responses'!$I$1:$Q$200,8,$A204)&amp;", ")),ISNUMBER(SEARCH(", "&amp;$B204&amp;", ", ", "&amp;INDEX('Form Responses'!$R$1:$R$200,8)&amp;", "))),1,""))</f>
        <v/>
      </c>
      <c r="K204">
        <f>IF(Wizards!$A$9="","",IF(OR(ISNUMBER(SEARCH(", "&amp;$B204&amp;", ", ", "&amp;INDEX('Form Responses'!$I$1:$Q$200,9,$A204)&amp;", ")),ISNUMBER(SEARCH(", "&amp;$B204&amp;", ", ", "&amp;INDEX('Form Responses'!$R$1:$R$200,9)&amp;", "))),1,""))</f>
        <v/>
      </c>
      <c r="L204">
        <f>IF(Wizards!$A$10="","",IF(OR(ISNUMBER(SEARCH(", "&amp;$B204&amp;", ", ", "&amp;INDEX('Form Responses'!$I$1:$Q$200,10,$A204)&amp;", ")),ISNUMBER(SEARCH(", "&amp;$B204&amp;", ", ", "&amp;INDEX('Form Responses'!$R$1:$R$200,10)&amp;", "))),1,""))</f>
        <v/>
      </c>
      <c r="M204">
        <f>IF(Wizards!$A$11="","",IF(OR(ISNUMBER(SEARCH(", "&amp;$B204&amp;", ", ", "&amp;INDEX('Form Responses'!$I$1:$Q$200,11,$A204)&amp;", ")),ISNUMBER(SEARCH(", "&amp;$B204&amp;", ", ", "&amp;INDEX('Form Responses'!$R$1:$R$200,11)&amp;", "))),1,""))</f>
        <v/>
      </c>
      <c r="N204">
        <f>IF(Wizards!$A$12="","",IF(OR(ISNUMBER(SEARCH(", "&amp;$B204&amp;", ", ", "&amp;INDEX('Form Responses'!$I$1:$Q$200,12,$A204)&amp;", ")),ISNUMBER(SEARCH(", "&amp;$B204&amp;", ", ", "&amp;INDEX('Form Responses'!$R$1:$R$200,12)&amp;", "))),1,""))</f>
        <v/>
      </c>
      <c r="O204">
        <f>IF(Wizards!$A$13="","",IF(OR(ISNUMBER(SEARCH(", "&amp;$B204&amp;", ", ", "&amp;INDEX('Form Responses'!$I$1:$Q$200,13,$A204)&amp;", ")),ISNUMBER(SEARCH(", "&amp;$B204&amp;", ", ", "&amp;INDEX('Form Responses'!$R$1:$R$200,13)&amp;", "))),1,""))</f>
        <v/>
      </c>
      <c r="P204">
        <f>IF(Wizards!$A$14="","",IF(OR(ISNUMBER(SEARCH(", "&amp;$B204&amp;", ", ", "&amp;INDEX('Form Responses'!$I$1:$Q$200,14,$A204)&amp;", ")),ISNUMBER(SEARCH(", "&amp;$B204&amp;", ", ", "&amp;INDEX('Form Responses'!$R$1:$R$200,14)&amp;", "))),1,""))</f>
        <v/>
      </c>
      <c r="Q204">
        <f>IF(Wizards!$A$15="","",IF(OR(ISNUMBER(SEARCH(", "&amp;$B204&amp;", ", ", "&amp;INDEX('Form Responses'!$I$1:$Q$200,15,$A204)&amp;", ")),ISNUMBER(SEARCH(", "&amp;$B204&amp;", ", ", "&amp;INDEX('Form Responses'!$R$1:$R$200,15)&amp;", "))),1,""))</f>
        <v/>
      </c>
      <c r="R204">
        <f>IF(Wizards!$A$16="","",IF(OR(ISNUMBER(SEARCH(", "&amp;$B204&amp;", ", ", "&amp;INDEX('Form Responses'!$I$1:$Q$200,16,$A204)&amp;", ")),ISNUMBER(SEARCH(", "&amp;$B204&amp;", ", ", "&amp;INDEX('Form Responses'!$R$1:$R$200,16)&amp;", "))),1,""))</f>
        <v/>
      </c>
      <c r="S204">
        <f>IF(Wizards!$A$17="","",IF(OR(ISNUMBER(SEARCH(", "&amp;$B204&amp;", ", ", "&amp;INDEX('Form Responses'!$I$1:$Q$200,17,$A204)&amp;", ")),ISNUMBER(SEARCH(", "&amp;$B204&amp;", ", ", "&amp;INDEX('Form Responses'!$R$1:$R$200,17)&amp;", "))),1,""))</f>
        <v/>
      </c>
      <c r="T204">
        <f>IF(Wizards!$A$18="","",IF(OR(ISNUMBER(SEARCH(", "&amp;$B204&amp;", ", ", "&amp;INDEX('Form Responses'!$I$1:$Q$200,18,$A204)&amp;", ")),ISNUMBER(SEARCH(", "&amp;$B204&amp;", ", ", "&amp;INDEX('Form Responses'!$R$1:$R$200,18)&amp;", "))),1,""))</f>
        <v/>
      </c>
      <c r="U204">
        <f>IF(Wizards!$A$19="","",IF(OR(ISNUMBER(SEARCH(", "&amp;$B204&amp;", ", ", "&amp;INDEX('Form Responses'!$I$1:$Q$200,19,$A204)&amp;", ")),ISNUMBER(SEARCH(", "&amp;$B204&amp;", ", ", "&amp;INDEX('Form Responses'!$R$1:$R$200,19)&amp;", "))),1,""))</f>
        <v/>
      </c>
      <c r="V204">
        <f>IF(Wizards!$A$20="","",IF(OR(ISNUMBER(SEARCH(", "&amp;$B204&amp;", ", ", "&amp;INDEX('Form Responses'!$I$1:$Q$200,20,$A204)&amp;", ")),ISNUMBER(SEARCH(", "&amp;$B204&amp;", ", ", "&amp;INDEX('Form Responses'!$R$1:$R$200,20)&amp;", "))),1,""))</f>
        <v/>
      </c>
      <c r="W204">
        <f>IF(Wizards!$A$21="","",IF(OR(ISNUMBER(SEARCH(", "&amp;$B204&amp;", ", ", "&amp;INDEX('Form Responses'!$I$1:$Q$200,21,$A204)&amp;", ")),ISNUMBER(SEARCH(", "&amp;$B204&amp;", ", ", "&amp;INDEX('Form Responses'!$R$1:$R$200,21)&amp;", "))),1,""))</f>
        <v/>
      </c>
      <c r="X204">
        <f>IF(Wizards!$A$22="","",IF(OR(ISNUMBER(SEARCH(", "&amp;$B204&amp;", ", ", "&amp;INDEX('Form Responses'!$I$1:$Q$200,22,$A204)&amp;", ")),ISNUMBER(SEARCH(", "&amp;$B204&amp;", ", ", "&amp;INDEX('Form Responses'!$R$1:$R$200,22)&amp;", "))),1,""))</f>
        <v/>
      </c>
      <c r="Y204">
        <f>IF(Wizards!$A$23="","",IF(OR(ISNUMBER(SEARCH(", "&amp;$B204&amp;", ", ", "&amp;INDEX('Form Responses'!$I$1:$Q$200,23,$A204)&amp;", ")),ISNUMBER(SEARCH(", "&amp;$B204&amp;", ", ", "&amp;INDEX('Form Responses'!$R$1:$R$200,23)&amp;", "))),1,""))</f>
        <v/>
      </c>
      <c r="Z204">
        <f>IF(Wizards!$A$24="","",IF(OR(ISNUMBER(SEARCH(", "&amp;$B204&amp;", ", ", "&amp;INDEX('Form Responses'!$I$1:$Q$200,24,$A204)&amp;", ")),ISNUMBER(SEARCH(", "&amp;$B204&amp;", ", ", "&amp;INDEX('Form Responses'!$R$1:$R$200,24)&amp;", "))),1,""))</f>
        <v/>
      </c>
      <c r="AA204">
        <f>IF(Wizards!$A$25="","",IF(OR(ISNUMBER(SEARCH(", "&amp;$B204&amp;", ", ", "&amp;INDEX('Form Responses'!$I$1:$Q$200,25,$A204)&amp;", ")),ISNUMBER(SEARCH(", "&amp;$B204&amp;", ", ", "&amp;INDEX('Form Responses'!$R$1:$R$200,25)&amp;", "))),1,""))</f>
        <v/>
      </c>
      <c r="AB204">
        <f>IF(D204=1,", "&amp;D$1,"")</f>
        <v/>
      </c>
      <c r="AC204">
        <f>IF(E204=1,", "&amp;E$1,"")</f>
        <v/>
      </c>
      <c r="AD204">
        <f>IF(F204=1,", "&amp;F$1,"")</f>
        <v/>
      </c>
      <c r="AE204">
        <f>IF(G204=1,", "&amp;G$1,"")</f>
        <v/>
      </c>
      <c r="AF204">
        <f>IF(H204=1,", "&amp;H$1,"")</f>
        <v/>
      </c>
      <c r="AG204">
        <f>IF(I204=1,", "&amp;I$1,"")</f>
        <v/>
      </c>
      <c r="AH204">
        <f>IF(J204=1,", "&amp;J$1,"")</f>
        <v/>
      </c>
      <c r="AI204">
        <f>IF(K204=1,", "&amp;K$1,"")</f>
        <v/>
      </c>
      <c r="AJ204">
        <f>IF(L204=1,", "&amp;L$1,"")</f>
        <v/>
      </c>
      <c r="AK204">
        <f>IF(M204=1,", "&amp;M$1,"")</f>
        <v/>
      </c>
      <c r="AL204">
        <f>IF(N204=1,", "&amp;N$1,"")</f>
        <v/>
      </c>
      <c r="AM204">
        <f>IF(O204=1,", "&amp;O$1,"")</f>
        <v/>
      </c>
      <c r="AN204">
        <f>IF(P204=1,", "&amp;P$1,"")</f>
        <v/>
      </c>
      <c r="AO204">
        <f>IF(Q204=1,", "&amp;Q$1,"")</f>
        <v/>
      </c>
      <c r="AP204">
        <f>IF(R204=1,", "&amp;R$1,"")</f>
        <v/>
      </c>
      <c r="AQ204">
        <f>IF(S204=1,", "&amp;S$1,"")</f>
        <v/>
      </c>
      <c r="AR204">
        <f>IF(T204=1,", "&amp;T$1,"")</f>
        <v/>
      </c>
      <c r="AS204">
        <f>IF(U204=1,", "&amp;U$1,"")</f>
        <v/>
      </c>
      <c r="AT204">
        <f>IF(V204=1,", "&amp;V$1,"")</f>
        <v/>
      </c>
      <c r="AU204">
        <f>IF(W204=1,", "&amp;W$1,"")</f>
        <v/>
      </c>
      <c r="AV204">
        <f>IF(X204=1,", "&amp;X$1,"")</f>
        <v/>
      </c>
      <c r="AW204">
        <f>IF(Y204=1,", "&amp;Y$1,"")</f>
        <v/>
      </c>
      <c r="AX204">
        <f>IF(Z204=1,", "&amp;Z$1,"")</f>
        <v/>
      </c>
      <c r="AY204">
        <f>IF(AA204=1,", "&amp;AA$1,"")</f>
        <v/>
      </c>
      <c r="AZ204">
        <f>MID($AB204&amp;$AC204&amp;$AD204&amp;$AE204&amp;$AF204&amp;$AG204&amp;$AH204&amp;$AI204&amp;$AJ204&amp;$AK204&amp;$AL204&amp;$AM204&amp;$AN204&amp;$AO204&amp;$AP204&amp;$AQ204&amp;$AR204&amp;$AS204&amp;$AT204&amp;$AU204&amp;$AV204&amp;$AW204&amp;$AX204&amp;$AY204,3,32767)</f>
        <v/>
      </c>
      <c r="BA204">
        <f>COUNT($D204:$AA204)</f>
        <v/>
      </c>
    </row>
    <row r="205">
      <c r="A205" t="n">
        <v>5</v>
      </c>
      <c r="B205" t="inlineStr">
        <is>
          <t>Circle of Power</t>
        </is>
      </c>
      <c r="C205" t="inlineStr">
        <is>
          <t>Abjuration</t>
        </is>
      </c>
      <c r="D205">
        <f>IF(Wizards!$A$2="","",IF(OR(ISNUMBER(SEARCH(", "&amp;$B205&amp;", ", ", "&amp;INDEX('Form Responses'!$I$1:$Q$200,2,$A205)&amp;", ")),ISNUMBER(SEARCH(", "&amp;$B205&amp;", ", ", "&amp;INDEX('Form Responses'!$R$1:$R$200,2)&amp;", "))),1,""))</f>
        <v/>
      </c>
      <c r="E205">
        <f>IF(Wizards!$A$3="","",IF(OR(ISNUMBER(SEARCH(", "&amp;$B205&amp;", ", ", "&amp;INDEX('Form Responses'!$I$1:$Q$200,3,$A205)&amp;", ")),ISNUMBER(SEARCH(", "&amp;$B205&amp;", ", ", "&amp;INDEX('Form Responses'!$R$1:$R$200,3)&amp;", "))),1,""))</f>
        <v/>
      </c>
      <c r="F205">
        <f>IF(Wizards!$A$4="","",IF(OR(ISNUMBER(SEARCH(", "&amp;$B205&amp;", ", ", "&amp;INDEX('Form Responses'!$I$1:$Q$200,4,$A205)&amp;", ")),ISNUMBER(SEARCH(", "&amp;$B205&amp;", ", ", "&amp;INDEX('Form Responses'!$R$1:$R$200,4)&amp;", "))),1,""))</f>
        <v/>
      </c>
      <c r="G205">
        <f>IF(Wizards!$A$5="","",IF(OR(ISNUMBER(SEARCH(", "&amp;$B205&amp;", ", ", "&amp;INDEX('Form Responses'!$I$1:$Q$200,5,$A205)&amp;", ")),ISNUMBER(SEARCH(", "&amp;$B205&amp;", ", ", "&amp;INDEX('Form Responses'!$R$1:$R$200,5)&amp;", "))),1,""))</f>
        <v/>
      </c>
      <c r="H205">
        <f>IF(Wizards!$A$6="","",IF(OR(ISNUMBER(SEARCH(", "&amp;$B205&amp;", ", ", "&amp;INDEX('Form Responses'!$I$1:$Q$200,6,$A205)&amp;", ")),ISNUMBER(SEARCH(", "&amp;$B205&amp;", ", ", "&amp;INDEX('Form Responses'!$R$1:$R$200,6)&amp;", "))),1,""))</f>
        <v/>
      </c>
      <c r="I205">
        <f>IF(Wizards!$A$7="","",IF(OR(ISNUMBER(SEARCH(", "&amp;$B205&amp;", ", ", "&amp;INDEX('Form Responses'!$I$1:$Q$200,7,$A205)&amp;", ")),ISNUMBER(SEARCH(", "&amp;$B205&amp;", ", ", "&amp;INDEX('Form Responses'!$R$1:$R$200,7)&amp;", "))),1,""))</f>
        <v/>
      </c>
      <c r="J205">
        <f>IF(Wizards!$A$8="","",IF(OR(ISNUMBER(SEARCH(", "&amp;$B205&amp;", ", ", "&amp;INDEX('Form Responses'!$I$1:$Q$200,8,$A205)&amp;", ")),ISNUMBER(SEARCH(", "&amp;$B205&amp;", ", ", "&amp;INDEX('Form Responses'!$R$1:$R$200,8)&amp;", "))),1,""))</f>
        <v/>
      </c>
      <c r="K205">
        <f>IF(Wizards!$A$9="","",IF(OR(ISNUMBER(SEARCH(", "&amp;$B205&amp;", ", ", "&amp;INDEX('Form Responses'!$I$1:$Q$200,9,$A205)&amp;", ")),ISNUMBER(SEARCH(", "&amp;$B205&amp;", ", ", "&amp;INDEX('Form Responses'!$R$1:$R$200,9)&amp;", "))),1,""))</f>
        <v/>
      </c>
      <c r="L205">
        <f>IF(Wizards!$A$10="","",IF(OR(ISNUMBER(SEARCH(", "&amp;$B205&amp;", ", ", "&amp;INDEX('Form Responses'!$I$1:$Q$200,10,$A205)&amp;", ")),ISNUMBER(SEARCH(", "&amp;$B205&amp;", ", ", "&amp;INDEX('Form Responses'!$R$1:$R$200,10)&amp;", "))),1,""))</f>
        <v/>
      </c>
      <c r="M205">
        <f>IF(Wizards!$A$11="","",IF(OR(ISNUMBER(SEARCH(", "&amp;$B205&amp;", ", ", "&amp;INDEX('Form Responses'!$I$1:$Q$200,11,$A205)&amp;", ")),ISNUMBER(SEARCH(", "&amp;$B205&amp;", ", ", "&amp;INDEX('Form Responses'!$R$1:$R$200,11)&amp;", "))),1,""))</f>
        <v/>
      </c>
      <c r="N205">
        <f>IF(Wizards!$A$12="","",IF(OR(ISNUMBER(SEARCH(", "&amp;$B205&amp;", ", ", "&amp;INDEX('Form Responses'!$I$1:$Q$200,12,$A205)&amp;", ")),ISNUMBER(SEARCH(", "&amp;$B205&amp;", ", ", "&amp;INDEX('Form Responses'!$R$1:$R$200,12)&amp;", "))),1,""))</f>
        <v/>
      </c>
      <c r="O205">
        <f>IF(Wizards!$A$13="","",IF(OR(ISNUMBER(SEARCH(", "&amp;$B205&amp;", ", ", "&amp;INDEX('Form Responses'!$I$1:$Q$200,13,$A205)&amp;", ")),ISNUMBER(SEARCH(", "&amp;$B205&amp;", ", ", "&amp;INDEX('Form Responses'!$R$1:$R$200,13)&amp;", "))),1,""))</f>
        <v/>
      </c>
      <c r="P205">
        <f>IF(Wizards!$A$14="","",IF(OR(ISNUMBER(SEARCH(", "&amp;$B205&amp;", ", ", "&amp;INDEX('Form Responses'!$I$1:$Q$200,14,$A205)&amp;", ")),ISNUMBER(SEARCH(", "&amp;$B205&amp;", ", ", "&amp;INDEX('Form Responses'!$R$1:$R$200,14)&amp;", "))),1,""))</f>
        <v/>
      </c>
      <c r="Q205">
        <f>IF(Wizards!$A$15="","",IF(OR(ISNUMBER(SEARCH(", "&amp;$B205&amp;", ", ", "&amp;INDEX('Form Responses'!$I$1:$Q$200,15,$A205)&amp;", ")),ISNUMBER(SEARCH(", "&amp;$B205&amp;", ", ", "&amp;INDEX('Form Responses'!$R$1:$R$200,15)&amp;", "))),1,""))</f>
        <v/>
      </c>
      <c r="R205">
        <f>IF(Wizards!$A$16="","",IF(OR(ISNUMBER(SEARCH(", "&amp;$B205&amp;", ", ", "&amp;INDEX('Form Responses'!$I$1:$Q$200,16,$A205)&amp;", ")),ISNUMBER(SEARCH(", "&amp;$B205&amp;", ", ", "&amp;INDEX('Form Responses'!$R$1:$R$200,16)&amp;", "))),1,""))</f>
        <v/>
      </c>
      <c r="S205">
        <f>IF(Wizards!$A$17="","",IF(OR(ISNUMBER(SEARCH(", "&amp;$B205&amp;", ", ", "&amp;INDEX('Form Responses'!$I$1:$Q$200,17,$A205)&amp;", ")),ISNUMBER(SEARCH(", "&amp;$B205&amp;", ", ", "&amp;INDEX('Form Responses'!$R$1:$R$200,17)&amp;", "))),1,""))</f>
        <v/>
      </c>
      <c r="T205">
        <f>IF(Wizards!$A$18="","",IF(OR(ISNUMBER(SEARCH(", "&amp;$B205&amp;", ", ", "&amp;INDEX('Form Responses'!$I$1:$Q$200,18,$A205)&amp;", ")),ISNUMBER(SEARCH(", "&amp;$B205&amp;", ", ", "&amp;INDEX('Form Responses'!$R$1:$R$200,18)&amp;", "))),1,""))</f>
        <v/>
      </c>
      <c r="U205">
        <f>IF(Wizards!$A$19="","",IF(OR(ISNUMBER(SEARCH(", "&amp;$B205&amp;", ", ", "&amp;INDEX('Form Responses'!$I$1:$Q$200,19,$A205)&amp;", ")),ISNUMBER(SEARCH(", "&amp;$B205&amp;", ", ", "&amp;INDEX('Form Responses'!$R$1:$R$200,19)&amp;", "))),1,""))</f>
        <v/>
      </c>
      <c r="V205">
        <f>IF(Wizards!$A$20="","",IF(OR(ISNUMBER(SEARCH(", "&amp;$B205&amp;", ", ", "&amp;INDEX('Form Responses'!$I$1:$Q$200,20,$A205)&amp;", ")),ISNUMBER(SEARCH(", "&amp;$B205&amp;", ", ", "&amp;INDEX('Form Responses'!$R$1:$R$200,20)&amp;", "))),1,""))</f>
        <v/>
      </c>
      <c r="W205">
        <f>IF(Wizards!$A$21="","",IF(OR(ISNUMBER(SEARCH(", "&amp;$B205&amp;", ", ", "&amp;INDEX('Form Responses'!$I$1:$Q$200,21,$A205)&amp;", ")),ISNUMBER(SEARCH(", "&amp;$B205&amp;", ", ", "&amp;INDEX('Form Responses'!$R$1:$R$200,21)&amp;", "))),1,""))</f>
        <v/>
      </c>
      <c r="X205">
        <f>IF(Wizards!$A$22="","",IF(OR(ISNUMBER(SEARCH(", "&amp;$B205&amp;", ", ", "&amp;INDEX('Form Responses'!$I$1:$Q$200,22,$A205)&amp;", ")),ISNUMBER(SEARCH(", "&amp;$B205&amp;", ", ", "&amp;INDEX('Form Responses'!$R$1:$R$200,22)&amp;", "))),1,""))</f>
        <v/>
      </c>
      <c r="Y205">
        <f>IF(Wizards!$A$23="","",IF(OR(ISNUMBER(SEARCH(", "&amp;$B205&amp;", ", ", "&amp;INDEX('Form Responses'!$I$1:$Q$200,23,$A205)&amp;", ")),ISNUMBER(SEARCH(", "&amp;$B205&amp;", ", ", "&amp;INDEX('Form Responses'!$R$1:$R$200,23)&amp;", "))),1,""))</f>
        <v/>
      </c>
      <c r="Z205">
        <f>IF(Wizards!$A$24="","",IF(OR(ISNUMBER(SEARCH(", "&amp;$B205&amp;", ", ", "&amp;INDEX('Form Responses'!$I$1:$Q$200,24,$A205)&amp;", ")),ISNUMBER(SEARCH(", "&amp;$B205&amp;", ", ", "&amp;INDEX('Form Responses'!$R$1:$R$200,24)&amp;", "))),1,""))</f>
        <v/>
      </c>
      <c r="AA205">
        <f>IF(Wizards!$A$25="","",IF(OR(ISNUMBER(SEARCH(", "&amp;$B205&amp;", ", ", "&amp;INDEX('Form Responses'!$I$1:$Q$200,25,$A205)&amp;", ")),ISNUMBER(SEARCH(", "&amp;$B205&amp;", ", ", "&amp;INDEX('Form Responses'!$R$1:$R$200,25)&amp;", "))),1,""))</f>
        <v/>
      </c>
      <c r="AB205">
        <f>IF(D205=1,", "&amp;D$1,"")</f>
        <v/>
      </c>
      <c r="AC205">
        <f>IF(E205=1,", "&amp;E$1,"")</f>
        <v/>
      </c>
      <c r="AD205">
        <f>IF(F205=1,", "&amp;F$1,"")</f>
        <v/>
      </c>
      <c r="AE205">
        <f>IF(G205=1,", "&amp;G$1,"")</f>
        <v/>
      </c>
      <c r="AF205">
        <f>IF(H205=1,", "&amp;H$1,"")</f>
        <v/>
      </c>
      <c r="AG205">
        <f>IF(I205=1,", "&amp;I$1,"")</f>
        <v/>
      </c>
      <c r="AH205">
        <f>IF(J205=1,", "&amp;J$1,"")</f>
        <v/>
      </c>
      <c r="AI205">
        <f>IF(K205=1,", "&amp;K$1,"")</f>
        <v/>
      </c>
      <c r="AJ205">
        <f>IF(L205=1,", "&amp;L$1,"")</f>
        <v/>
      </c>
      <c r="AK205">
        <f>IF(M205=1,", "&amp;M$1,"")</f>
        <v/>
      </c>
      <c r="AL205">
        <f>IF(N205=1,", "&amp;N$1,"")</f>
        <v/>
      </c>
      <c r="AM205">
        <f>IF(O205=1,", "&amp;O$1,"")</f>
        <v/>
      </c>
      <c r="AN205">
        <f>IF(P205=1,", "&amp;P$1,"")</f>
        <v/>
      </c>
      <c r="AO205">
        <f>IF(Q205=1,", "&amp;Q$1,"")</f>
        <v/>
      </c>
      <c r="AP205">
        <f>IF(R205=1,", "&amp;R$1,"")</f>
        <v/>
      </c>
      <c r="AQ205">
        <f>IF(S205=1,", "&amp;S$1,"")</f>
        <v/>
      </c>
      <c r="AR205">
        <f>IF(T205=1,", "&amp;T$1,"")</f>
        <v/>
      </c>
      <c r="AS205">
        <f>IF(U205=1,", "&amp;U$1,"")</f>
        <v/>
      </c>
      <c r="AT205">
        <f>IF(V205=1,", "&amp;V$1,"")</f>
        <v/>
      </c>
      <c r="AU205">
        <f>IF(W205=1,", "&amp;W$1,"")</f>
        <v/>
      </c>
      <c r="AV205">
        <f>IF(X205=1,", "&amp;X$1,"")</f>
        <v/>
      </c>
      <c r="AW205">
        <f>IF(Y205=1,", "&amp;Y$1,"")</f>
        <v/>
      </c>
      <c r="AX205">
        <f>IF(Z205=1,", "&amp;Z$1,"")</f>
        <v/>
      </c>
      <c r="AY205">
        <f>IF(AA205=1,", "&amp;AA$1,"")</f>
        <v/>
      </c>
      <c r="AZ205">
        <f>MID($AB205&amp;$AC205&amp;$AD205&amp;$AE205&amp;$AF205&amp;$AG205&amp;$AH205&amp;$AI205&amp;$AJ205&amp;$AK205&amp;$AL205&amp;$AM205&amp;$AN205&amp;$AO205&amp;$AP205&amp;$AQ205&amp;$AR205&amp;$AS205&amp;$AT205&amp;$AU205&amp;$AV205&amp;$AW205&amp;$AX205&amp;$AY205,3,32767)</f>
        <v/>
      </c>
      <c r="BA205">
        <f>COUNT($D205:$AA205)</f>
        <v/>
      </c>
    </row>
    <row r="206">
      <c r="A206" t="n">
        <v>5</v>
      </c>
      <c r="B206" t="inlineStr">
        <is>
          <t>Cloudkill</t>
        </is>
      </c>
      <c r="C206" t="inlineStr">
        <is>
          <t>Conjuration</t>
        </is>
      </c>
      <c r="D206">
        <f>IF(Wizards!$A$2="","",IF(OR(ISNUMBER(SEARCH(", "&amp;$B206&amp;", ", ", "&amp;INDEX('Form Responses'!$I$1:$Q$200,2,$A206)&amp;", ")),ISNUMBER(SEARCH(", "&amp;$B206&amp;", ", ", "&amp;INDEX('Form Responses'!$R$1:$R$200,2)&amp;", "))),1,""))</f>
        <v/>
      </c>
      <c r="E206">
        <f>IF(Wizards!$A$3="","",IF(OR(ISNUMBER(SEARCH(", "&amp;$B206&amp;", ", ", "&amp;INDEX('Form Responses'!$I$1:$Q$200,3,$A206)&amp;", ")),ISNUMBER(SEARCH(", "&amp;$B206&amp;", ", ", "&amp;INDEX('Form Responses'!$R$1:$R$200,3)&amp;", "))),1,""))</f>
        <v/>
      </c>
      <c r="F206">
        <f>IF(Wizards!$A$4="","",IF(OR(ISNUMBER(SEARCH(", "&amp;$B206&amp;", ", ", "&amp;INDEX('Form Responses'!$I$1:$Q$200,4,$A206)&amp;", ")),ISNUMBER(SEARCH(", "&amp;$B206&amp;", ", ", "&amp;INDEX('Form Responses'!$R$1:$R$200,4)&amp;", "))),1,""))</f>
        <v/>
      </c>
      <c r="G206">
        <f>IF(Wizards!$A$5="","",IF(OR(ISNUMBER(SEARCH(", "&amp;$B206&amp;", ", ", "&amp;INDEX('Form Responses'!$I$1:$Q$200,5,$A206)&amp;", ")),ISNUMBER(SEARCH(", "&amp;$B206&amp;", ", ", "&amp;INDEX('Form Responses'!$R$1:$R$200,5)&amp;", "))),1,""))</f>
        <v/>
      </c>
      <c r="H206">
        <f>IF(Wizards!$A$6="","",IF(OR(ISNUMBER(SEARCH(", "&amp;$B206&amp;", ", ", "&amp;INDEX('Form Responses'!$I$1:$Q$200,6,$A206)&amp;", ")),ISNUMBER(SEARCH(", "&amp;$B206&amp;", ", ", "&amp;INDEX('Form Responses'!$R$1:$R$200,6)&amp;", "))),1,""))</f>
        <v/>
      </c>
      <c r="I206">
        <f>IF(Wizards!$A$7="","",IF(OR(ISNUMBER(SEARCH(", "&amp;$B206&amp;", ", ", "&amp;INDEX('Form Responses'!$I$1:$Q$200,7,$A206)&amp;", ")),ISNUMBER(SEARCH(", "&amp;$B206&amp;", ", ", "&amp;INDEX('Form Responses'!$R$1:$R$200,7)&amp;", "))),1,""))</f>
        <v/>
      </c>
      <c r="J206">
        <f>IF(Wizards!$A$8="","",IF(OR(ISNUMBER(SEARCH(", "&amp;$B206&amp;", ", ", "&amp;INDEX('Form Responses'!$I$1:$Q$200,8,$A206)&amp;", ")),ISNUMBER(SEARCH(", "&amp;$B206&amp;", ", ", "&amp;INDEX('Form Responses'!$R$1:$R$200,8)&amp;", "))),1,""))</f>
        <v/>
      </c>
      <c r="K206">
        <f>IF(Wizards!$A$9="","",IF(OR(ISNUMBER(SEARCH(", "&amp;$B206&amp;", ", ", "&amp;INDEX('Form Responses'!$I$1:$Q$200,9,$A206)&amp;", ")),ISNUMBER(SEARCH(", "&amp;$B206&amp;", ", ", "&amp;INDEX('Form Responses'!$R$1:$R$200,9)&amp;", "))),1,""))</f>
        <v/>
      </c>
      <c r="L206">
        <f>IF(Wizards!$A$10="","",IF(OR(ISNUMBER(SEARCH(", "&amp;$B206&amp;", ", ", "&amp;INDEX('Form Responses'!$I$1:$Q$200,10,$A206)&amp;", ")),ISNUMBER(SEARCH(", "&amp;$B206&amp;", ", ", "&amp;INDEX('Form Responses'!$R$1:$R$200,10)&amp;", "))),1,""))</f>
        <v/>
      </c>
      <c r="M206">
        <f>IF(Wizards!$A$11="","",IF(OR(ISNUMBER(SEARCH(", "&amp;$B206&amp;", ", ", "&amp;INDEX('Form Responses'!$I$1:$Q$200,11,$A206)&amp;", ")),ISNUMBER(SEARCH(", "&amp;$B206&amp;", ", ", "&amp;INDEX('Form Responses'!$R$1:$R$200,11)&amp;", "))),1,""))</f>
        <v/>
      </c>
      <c r="N206">
        <f>IF(Wizards!$A$12="","",IF(OR(ISNUMBER(SEARCH(", "&amp;$B206&amp;", ", ", "&amp;INDEX('Form Responses'!$I$1:$Q$200,12,$A206)&amp;", ")),ISNUMBER(SEARCH(", "&amp;$B206&amp;", ", ", "&amp;INDEX('Form Responses'!$R$1:$R$200,12)&amp;", "))),1,""))</f>
        <v/>
      </c>
      <c r="O206">
        <f>IF(Wizards!$A$13="","",IF(OR(ISNUMBER(SEARCH(", "&amp;$B206&amp;", ", ", "&amp;INDEX('Form Responses'!$I$1:$Q$200,13,$A206)&amp;", ")),ISNUMBER(SEARCH(", "&amp;$B206&amp;", ", ", "&amp;INDEX('Form Responses'!$R$1:$R$200,13)&amp;", "))),1,""))</f>
        <v/>
      </c>
      <c r="P206">
        <f>IF(Wizards!$A$14="","",IF(OR(ISNUMBER(SEARCH(", "&amp;$B206&amp;", ", ", "&amp;INDEX('Form Responses'!$I$1:$Q$200,14,$A206)&amp;", ")),ISNUMBER(SEARCH(", "&amp;$B206&amp;", ", ", "&amp;INDEX('Form Responses'!$R$1:$R$200,14)&amp;", "))),1,""))</f>
        <v/>
      </c>
      <c r="Q206">
        <f>IF(Wizards!$A$15="","",IF(OR(ISNUMBER(SEARCH(", "&amp;$B206&amp;", ", ", "&amp;INDEX('Form Responses'!$I$1:$Q$200,15,$A206)&amp;", ")),ISNUMBER(SEARCH(", "&amp;$B206&amp;", ", ", "&amp;INDEX('Form Responses'!$R$1:$R$200,15)&amp;", "))),1,""))</f>
        <v/>
      </c>
      <c r="R206">
        <f>IF(Wizards!$A$16="","",IF(OR(ISNUMBER(SEARCH(", "&amp;$B206&amp;", ", ", "&amp;INDEX('Form Responses'!$I$1:$Q$200,16,$A206)&amp;", ")),ISNUMBER(SEARCH(", "&amp;$B206&amp;", ", ", "&amp;INDEX('Form Responses'!$R$1:$R$200,16)&amp;", "))),1,""))</f>
        <v/>
      </c>
      <c r="S206">
        <f>IF(Wizards!$A$17="","",IF(OR(ISNUMBER(SEARCH(", "&amp;$B206&amp;", ", ", "&amp;INDEX('Form Responses'!$I$1:$Q$200,17,$A206)&amp;", ")),ISNUMBER(SEARCH(", "&amp;$B206&amp;", ", ", "&amp;INDEX('Form Responses'!$R$1:$R$200,17)&amp;", "))),1,""))</f>
        <v/>
      </c>
      <c r="T206">
        <f>IF(Wizards!$A$18="","",IF(OR(ISNUMBER(SEARCH(", "&amp;$B206&amp;", ", ", "&amp;INDEX('Form Responses'!$I$1:$Q$200,18,$A206)&amp;", ")),ISNUMBER(SEARCH(", "&amp;$B206&amp;", ", ", "&amp;INDEX('Form Responses'!$R$1:$R$200,18)&amp;", "))),1,""))</f>
        <v/>
      </c>
      <c r="U206">
        <f>IF(Wizards!$A$19="","",IF(OR(ISNUMBER(SEARCH(", "&amp;$B206&amp;", ", ", "&amp;INDEX('Form Responses'!$I$1:$Q$200,19,$A206)&amp;", ")),ISNUMBER(SEARCH(", "&amp;$B206&amp;", ", ", "&amp;INDEX('Form Responses'!$R$1:$R$200,19)&amp;", "))),1,""))</f>
        <v/>
      </c>
      <c r="V206">
        <f>IF(Wizards!$A$20="","",IF(OR(ISNUMBER(SEARCH(", "&amp;$B206&amp;", ", ", "&amp;INDEX('Form Responses'!$I$1:$Q$200,20,$A206)&amp;", ")),ISNUMBER(SEARCH(", "&amp;$B206&amp;", ", ", "&amp;INDEX('Form Responses'!$R$1:$R$200,20)&amp;", "))),1,""))</f>
        <v/>
      </c>
      <c r="W206">
        <f>IF(Wizards!$A$21="","",IF(OR(ISNUMBER(SEARCH(", "&amp;$B206&amp;", ", ", "&amp;INDEX('Form Responses'!$I$1:$Q$200,21,$A206)&amp;", ")),ISNUMBER(SEARCH(", "&amp;$B206&amp;", ", ", "&amp;INDEX('Form Responses'!$R$1:$R$200,21)&amp;", "))),1,""))</f>
        <v/>
      </c>
      <c r="X206">
        <f>IF(Wizards!$A$22="","",IF(OR(ISNUMBER(SEARCH(", "&amp;$B206&amp;", ", ", "&amp;INDEX('Form Responses'!$I$1:$Q$200,22,$A206)&amp;", ")),ISNUMBER(SEARCH(", "&amp;$B206&amp;", ", ", "&amp;INDEX('Form Responses'!$R$1:$R$200,22)&amp;", "))),1,""))</f>
        <v/>
      </c>
      <c r="Y206">
        <f>IF(Wizards!$A$23="","",IF(OR(ISNUMBER(SEARCH(", "&amp;$B206&amp;", ", ", "&amp;INDEX('Form Responses'!$I$1:$Q$200,23,$A206)&amp;", ")),ISNUMBER(SEARCH(", "&amp;$B206&amp;", ", ", "&amp;INDEX('Form Responses'!$R$1:$R$200,23)&amp;", "))),1,""))</f>
        <v/>
      </c>
      <c r="Z206">
        <f>IF(Wizards!$A$24="","",IF(OR(ISNUMBER(SEARCH(", "&amp;$B206&amp;", ", ", "&amp;INDEX('Form Responses'!$I$1:$Q$200,24,$A206)&amp;", ")),ISNUMBER(SEARCH(", "&amp;$B206&amp;", ", ", "&amp;INDEX('Form Responses'!$R$1:$R$200,24)&amp;", "))),1,""))</f>
        <v/>
      </c>
      <c r="AA206">
        <f>IF(Wizards!$A$25="","",IF(OR(ISNUMBER(SEARCH(", "&amp;$B206&amp;", ", ", "&amp;INDEX('Form Responses'!$I$1:$Q$200,25,$A206)&amp;", ")),ISNUMBER(SEARCH(", "&amp;$B206&amp;", ", ", "&amp;INDEX('Form Responses'!$R$1:$R$200,25)&amp;", "))),1,""))</f>
        <v/>
      </c>
      <c r="AB206">
        <f>IF(D206=1,", "&amp;D$1,"")</f>
        <v/>
      </c>
      <c r="AC206">
        <f>IF(E206=1,", "&amp;E$1,"")</f>
        <v/>
      </c>
      <c r="AD206">
        <f>IF(F206=1,", "&amp;F$1,"")</f>
        <v/>
      </c>
      <c r="AE206">
        <f>IF(G206=1,", "&amp;G$1,"")</f>
        <v/>
      </c>
      <c r="AF206">
        <f>IF(H206=1,", "&amp;H$1,"")</f>
        <v/>
      </c>
      <c r="AG206">
        <f>IF(I206=1,", "&amp;I$1,"")</f>
        <v/>
      </c>
      <c r="AH206">
        <f>IF(J206=1,", "&amp;J$1,"")</f>
        <v/>
      </c>
      <c r="AI206">
        <f>IF(K206=1,", "&amp;K$1,"")</f>
        <v/>
      </c>
      <c r="AJ206">
        <f>IF(L206=1,", "&amp;L$1,"")</f>
        <v/>
      </c>
      <c r="AK206">
        <f>IF(M206=1,", "&amp;M$1,"")</f>
        <v/>
      </c>
      <c r="AL206">
        <f>IF(N206=1,", "&amp;N$1,"")</f>
        <v/>
      </c>
      <c r="AM206">
        <f>IF(O206=1,", "&amp;O$1,"")</f>
        <v/>
      </c>
      <c r="AN206">
        <f>IF(P206=1,", "&amp;P$1,"")</f>
        <v/>
      </c>
      <c r="AO206">
        <f>IF(Q206=1,", "&amp;Q$1,"")</f>
        <v/>
      </c>
      <c r="AP206">
        <f>IF(R206=1,", "&amp;R$1,"")</f>
        <v/>
      </c>
      <c r="AQ206">
        <f>IF(S206=1,", "&amp;S$1,"")</f>
        <v/>
      </c>
      <c r="AR206">
        <f>IF(T206=1,", "&amp;T$1,"")</f>
        <v/>
      </c>
      <c r="AS206">
        <f>IF(U206=1,", "&amp;U$1,"")</f>
        <v/>
      </c>
      <c r="AT206">
        <f>IF(V206=1,", "&amp;V$1,"")</f>
        <v/>
      </c>
      <c r="AU206">
        <f>IF(W206=1,", "&amp;W$1,"")</f>
        <v/>
      </c>
      <c r="AV206">
        <f>IF(X206=1,", "&amp;X$1,"")</f>
        <v/>
      </c>
      <c r="AW206">
        <f>IF(Y206=1,", "&amp;Y$1,"")</f>
        <v/>
      </c>
      <c r="AX206">
        <f>IF(Z206=1,", "&amp;Z$1,"")</f>
        <v/>
      </c>
      <c r="AY206">
        <f>IF(AA206=1,", "&amp;AA$1,"")</f>
        <v/>
      </c>
      <c r="AZ206">
        <f>MID($AB206&amp;$AC206&amp;$AD206&amp;$AE206&amp;$AF206&amp;$AG206&amp;$AH206&amp;$AI206&amp;$AJ206&amp;$AK206&amp;$AL206&amp;$AM206&amp;$AN206&amp;$AO206&amp;$AP206&amp;$AQ206&amp;$AR206&amp;$AS206&amp;$AT206&amp;$AU206&amp;$AV206&amp;$AW206&amp;$AX206&amp;$AY206,3,32767)</f>
        <v/>
      </c>
      <c r="BA206">
        <f>COUNT($D206:$AA206)</f>
        <v/>
      </c>
    </row>
    <row r="207">
      <c r="A207" t="n">
        <v>5</v>
      </c>
      <c r="B207" t="inlineStr">
        <is>
          <t>Cone of Cold</t>
        </is>
      </c>
      <c r="C207" t="inlineStr">
        <is>
          <t>Evocation</t>
        </is>
      </c>
      <c r="D207">
        <f>IF(Wizards!$A$2="","",IF(OR(ISNUMBER(SEARCH(", "&amp;$B207&amp;", ", ", "&amp;INDEX('Form Responses'!$I$1:$Q$200,2,$A207)&amp;", ")),ISNUMBER(SEARCH(", "&amp;$B207&amp;", ", ", "&amp;INDEX('Form Responses'!$R$1:$R$200,2)&amp;", "))),1,""))</f>
        <v/>
      </c>
      <c r="E207">
        <f>IF(Wizards!$A$3="","",IF(OR(ISNUMBER(SEARCH(", "&amp;$B207&amp;", ", ", "&amp;INDEX('Form Responses'!$I$1:$Q$200,3,$A207)&amp;", ")),ISNUMBER(SEARCH(", "&amp;$B207&amp;", ", ", "&amp;INDEX('Form Responses'!$R$1:$R$200,3)&amp;", "))),1,""))</f>
        <v/>
      </c>
      <c r="F207">
        <f>IF(Wizards!$A$4="","",IF(OR(ISNUMBER(SEARCH(", "&amp;$B207&amp;", ", ", "&amp;INDEX('Form Responses'!$I$1:$Q$200,4,$A207)&amp;", ")),ISNUMBER(SEARCH(", "&amp;$B207&amp;", ", ", "&amp;INDEX('Form Responses'!$R$1:$R$200,4)&amp;", "))),1,""))</f>
        <v/>
      </c>
      <c r="G207">
        <f>IF(Wizards!$A$5="","",IF(OR(ISNUMBER(SEARCH(", "&amp;$B207&amp;", ", ", "&amp;INDEX('Form Responses'!$I$1:$Q$200,5,$A207)&amp;", ")),ISNUMBER(SEARCH(", "&amp;$B207&amp;", ", ", "&amp;INDEX('Form Responses'!$R$1:$R$200,5)&amp;", "))),1,""))</f>
        <v/>
      </c>
      <c r="H207">
        <f>IF(Wizards!$A$6="","",IF(OR(ISNUMBER(SEARCH(", "&amp;$B207&amp;", ", ", "&amp;INDEX('Form Responses'!$I$1:$Q$200,6,$A207)&amp;", ")),ISNUMBER(SEARCH(", "&amp;$B207&amp;", ", ", "&amp;INDEX('Form Responses'!$R$1:$R$200,6)&amp;", "))),1,""))</f>
        <v/>
      </c>
      <c r="I207">
        <f>IF(Wizards!$A$7="","",IF(OR(ISNUMBER(SEARCH(", "&amp;$B207&amp;", ", ", "&amp;INDEX('Form Responses'!$I$1:$Q$200,7,$A207)&amp;", ")),ISNUMBER(SEARCH(", "&amp;$B207&amp;", ", ", "&amp;INDEX('Form Responses'!$R$1:$R$200,7)&amp;", "))),1,""))</f>
        <v/>
      </c>
      <c r="J207">
        <f>IF(Wizards!$A$8="","",IF(OR(ISNUMBER(SEARCH(", "&amp;$B207&amp;", ", ", "&amp;INDEX('Form Responses'!$I$1:$Q$200,8,$A207)&amp;", ")),ISNUMBER(SEARCH(", "&amp;$B207&amp;", ", ", "&amp;INDEX('Form Responses'!$R$1:$R$200,8)&amp;", "))),1,""))</f>
        <v/>
      </c>
      <c r="K207">
        <f>IF(Wizards!$A$9="","",IF(OR(ISNUMBER(SEARCH(", "&amp;$B207&amp;", ", ", "&amp;INDEX('Form Responses'!$I$1:$Q$200,9,$A207)&amp;", ")),ISNUMBER(SEARCH(", "&amp;$B207&amp;", ", ", "&amp;INDEX('Form Responses'!$R$1:$R$200,9)&amp;", "))),1,""))</f>
        <v/>
      </c>
      <c r="L207">
        <f>IF(Wizards!$A$10="","",IF(OR(ISNUMBER(SEARCH(", "&amp;$B207&amp;", ", ", "&amp;INDEX('Form Responses'!$I$1:$Q$200,10,$A207)&amp;", ")),ISNUMBER(SEARCH(", "&amp;$B207&amp;", ", ", "&amp;INDEX('Form Responses'!$R$1:$R$200,10)&amp;", "))),1,""))</f>
        <v/>
      </c>
      <c r="M207">
        <f>IF(Wizards!$A$11="","",IF(OR(ISNUMBER(SEARCH(", "&amp;$B207&amp;", ", ", "&amp;INDEX('Form Responses'!$I$1:$Q$200,11,$A207)&amp;", ")),ISNUMBER(SEARCH(", "&amp;$B207&amp;", ", ", "&amp;INDEX('Form Responses'!$R$1:$R$200,11)&amp;", "))),1,""))</f>
        <v/>
      </c>
      <c r="N207">
        <f>IF(Wizards!$A$12="","",IF(OR(ISNUMBER(SEARCH(", "&amp;$B207&amp;", ", ", "&amp;INDEX('Form Responses'!$I$1:$Q$200,12,$A207)&amp;", ")),ISNUMBER(SEARCH(", "&amp;$B207&amp;", ", ", "&amp;INDEX('Form Responses'!$R$1:$R$200,12)&amp;", "))),1,""))</f>
        <v/>
      </c>
      <c r="O207">
        <f>IF(Wizards!$A$13="","",IF(OR(ISNUMBER(SEARCH(", "&amp;$B207&amp;", ", ", "&amp;INDEX('Form Responses'!$I$1:$Q$200,13,$A207)&amp;", ")),ISNUMBER(SEARCH(", "&amp;$B207&amp;", ", ", "&amp;INDEX('Form Responses'!$R$1:$R$200,13)&amp;", "))),1,""))</f>
        <v/>
      </c>
      <c r="P207">
        <f>IF(Wizards!$A$14="","",IF(OR(ISNUMBER(SEARCH(", "&amp;$B207&amp;", ", ", "&amp;INDEX('Form Responses'!$I$1:$Q$200,14,$A207)&amp;", ")),ISNUMBER(SEARCH(", "&amp;$B207&amp;", ", ", "&amp;INDEX('Form Responses'!$R$1:$R$200,14)&amp;", "))),1,""))</f>
        <v/>
      </c>
      <c r="Q207">
        <f>IF(Wizards!$A$15="","",IF(OR(ISNUMBER(SEARCH(", "&amp;$B207&amp;", ", ", "&amp;INDEX('Form Responses'!$I$1:$Q$200,15,$A207)&amp;", ")),ISNUMBER(SEARCH(", "&amp;$B207&amp;", ", ", "&amp;INDEX('Form Responses'!$R$1:$R$200,15)&amp;", "))),1,""))</f>
        <v/>
      </c>
      <c r="R207">
        <f>IF(Wizards!$A$16="","",IF(OR(ISNUMBER(SEARCH(", "&amp;$B207&amp;", ", ", "&amp;INDEX('Form Responses'!$I$1:$Q$200,16,$A207)&amp;", ")),ISNUMBER(SEARCH(", "&amp;$B207&amp;", ", ", "&amp;INDEX('Form Responses'!$R$1:$R$200,16)&amp;", "))),1,""))</f>
        <v/>
      </c>
      <c r="S207">
        <f>IF(Wizards!$A$17="","",IF(OR(ISNUMBER(SEARCH(", "&amp;$B207&amp;", ", ", "&amp;INDEX('Form Responses'!$I$1:$Q$200,17,$A207)&amp;", ")),ISNUMBER(SEARCH(", "&amp;$B207&amp;", ", ", "&amp;INDEX('Form Responses'!$R$1:$R$200,17)&amp;", "))),1,""))</f>
        <v/>
      </c>
      <c r="T207">
        <f>IF(Wizards!$A$18="","",IF(OR(ISNUMBER(SEARCH(", "&amp;$B207&amp;", ", ", "&amp;INDEX('Form Responses'!$I$1:$Q$200,18,$A207)&amp;", ")),ISNUMBER(SEARCH(", "&amp;$B207&amp;", ", ", "&amp;INDEX('Form Responses'!$R$1:$R$200,18)&amp;", "))),1,""))</f>
        <v/>
      </c>
      <c r="U207">
        <f>IF(Wizards!$A$19="","",IF(OR(ISNUMBER(SEARCH(", "&amp;$B207&amp;", ", ", "&amp;INDEX('Form Responses'!$I$1:$Q$200,19,$A207)&amp;", ")),ISNUMBER(SEARCH(", "&amp;$B207&amp;", ", ", "&amp;INDEX('Form Responses'!$R$1:$R$200,19)&amp;", "))),1,""))</f>
        <v/>
      </c>
      <c r="V207">
        <f>IF(Wizards!$A$20="","",IF(OR(ISNUMBER(SEARCH(", "&amp;$B207&amp;", ", ", "&amp;INDEX('Form Responses'!$I$1:$Q$200,20,$A207)&amp;", ")),ISNUMBER(SEARCH(", "&amp;$B207&amp;", ", ", "&amp;INDEX('Form Responses'!$R$1:$R$200,20)&amp;", "))),1,""))</f>
        <v/>
      </c>
      <c r="W207">
        <f>IF(Wizards!$A$21="","",IF(OR(ISNUMBER(SEARCH(", "&amp;$B207&amp;", ", ", "&amp;INDEX('Form Responses'!$I$1:$Q$200,21,$A207)&amp;", ")),ISNUMBER(SEARCH(", "&amp;$B207&amp;", ", ", "&amp;INDEX('Form Responses'!$R$1:$R$200,21)&amp;", "))),1,""))</f>
        <v/>
      </c>
      <c r="X207">
        <f>IF(Wizards!$A$22="","",IF(OR(ISNUMBER(SEARCH(", "&amp;$B207&amp;", ", ", "&amp;INDEX('Form Responses'!$I$1:$Q$200,22,$A207)&amp;", ")),ISNUMBER(SEARCH(", "&amp;$B207&amp;", ", ", "&amp;INDEX('Form Responses'!$R$1:$R$200,22)&amp;", "))),1,""))</f>
        <v/>
      </c>
      <c r="Y207">
        <f>IF(Wizards!$A$23="","",IF(OR(ISNUMBER(SEARCH(", "&amp;$B207&amp;", ", ", "&amp;INDEX('Form Responses'!$I$1:$Q$200,23,$A207)&amp;", ")),ISNUMBER(SEARCH(", "&amp;$B207&amp;", ", ", "&amp;INDEX('Form Responses'!$R$1:$R$200,23)&amp;", "))),1,""))</f>
        <v/>
      </c>
      <c r="Z207">
        <f>IF(Wizards!$A$24="","",IF(OR(ISNUMBER(SEARCH(", "&amp;$B207&amp;", ", ", "&amp;INDEX('Form Responses'!$I$1:$Q$200,24,$A207)&amp;", ")),ISNUMBER(SEARCH(", "&amp;$B207&amp;", ", ", "&amp;INDEX('Form Responses'!$R$1:$R$200,24)&amp;", "))),1,""))</f>
        <v/>
      </c>
      <c r="AA207">
        <f>IF(Wizards!$A$25="","",IF(OR(ISNUMBER(SEARCH(", "&amp;$B207&amp;", ", ", "&amp;INDEX('Form Responses'!$I$1:$Q$200,25,$A207)&amp;", ")),ISNUMBER(SEARCH(", "&amp;$B207&amp;", ", ", "&amp;INDEX('Form Responses'!$R$1:$R$200,25)&amp;", "))),1,""))</f>
        <v/>
      </c>
      <c r="AB207">
        <f>IF(D207=1,", "&amp;D$1,"")</f>
        <v/>
      </c>
      <c r="AC207">
        <f>IF(E207=1,", "&amp;E$1,"")</f>
        <v/>
      </c>
      <c r="AD207">
        <f>IF(F207=1,", "&amp;F$1,"")</f>
        <v/>
      </c>
      <c r="AE207">
        <f>IF(G207=1,", "&amp;G$1,"")</f>
        <v/>
      </c>
      <c r="AF207">
        <f>IF(H207=1,", "&amp;H$1,"")</f>
        <v/>
      </c>
      <c r="AG207">
        <f>IF(I207=1,", "&amp;I$1,"")</f>
        <v/>
      </c>
      <c r="AH207">
        <f>IF(J207=1,", "&amp;J$1,"")</f>
        <v/>
      </c>
      <c r="AI207">
        <f>IF(K207=1,", "&amp;K$1,"")</f>
        <v/>
      </c>
      <c r="AJ207">
        <f>IF(L207=1,", "&amp;L$1,"")</f>
        <v/>
      </c>
      <c r="AK207">
        <f>IF(M207=1,", "&amp;M$1,"")</f>
        <v/>
      </c>
      <c r="AL207">
        <f>IF(N207=1,", "&amp;N$1,"")</f>
        <v/>
      </c>
      <c r="AM207">
        <f>IF(O207=1,", "&amp;O$1,"")</f>
        <v/>
      </c>
      <c r="AN207">
        <f>IF(P207=1,", "&amp;P$1,"")</f>
        <v/>
      </c>
      <c r="AO207">
        <f>IF(Q207=1,", "&amp;Q$1,"")</f>
        <v/>
      </c>
      <c r="AP207">
        <f>IF(R207=1,", "&amp;R$1,"")</f>
        <v/>
      </c>
      <c r="AQ207">
        <f>IF(S207=1,", "&amp;S$1,"")</f>
        <v/>
      </c>
      <c r="AR207">
        <f>IF(T207=1,", "&amp;T$1,"")</f>
        <v/>
      </c>
      <c r="AS207">
        <f>IF(U207=1,", "&amp;U$1,"")</f>
        <v/>
      </c>
      <c r="AT207">
        <f>IF(V207=1,", "&amp;V$1,"")</f>
        <v/>
      </c>
      <c r="AU207">
        <f>IF(W207=1,", "&amp;W$1,"")</f>
        <v/>
      </c>
      <c r="AV207">
        <f>IF(X207=1,", "&amp;X$1,"")</f>
        <v/>
      </c>
      <c r="AW207">
        <f>IF(Y207=1,", "&amp;Y$1,"")</f>
        <v/>
      </c>
      <c r="AX207">
        <f>IF(Z207=1,", "&amp;Z$1,"")</f>
        <v/>
      </c>
      <c r="AY207">
        <f>IF(AA207=1,", "&amp;AA$1,"")</f>
        <v/>
      </c>
      <c r="AZ207">
        <f>MID($AB207&amp;$AC207&amp;$AD207&amp;$AE207&amp;$AF207&amp;$AG207&amp;$AH207&amp;$AI207&amp;$AJ207&amp;$AK207&amp;$AL207&amp;$AM207&amp;$AN207&amp;$AO207&amp;$AP207&amp;$AQ207&amp;$AR207&amp;$AS207&amp;$AT207&amp;$AU207&amp;$AV207&amp;$AW207&amp;$AX207&amp;$AY207,3,32767)</f>
        <v/>
      </c>
      <c r="BA207">
        <f>COUNT($D207:$AA207)</f>
        <v/>
      </c>
    </row>
    <row r="208">
      <c r="A208" t="n">
        <v>5</v>
      </c>
      <c r="B208" t="inlineStr">
        <is>
          <t>Conjure Elemental</t>
        </is>
      </c>
      <c r="C208" t="inlineStr">
        <is>
          <t>Conjuration</t>
        </is>
      </c>
      <c r="D208">
        <f>IF(Wizards!$A$2="","",IF(OR(ISNUMBER(SEARCH(", "&amp;$B208&amp;", ", ", "&amp;INDEX('Form Responses'!$I$1:$Q$200,2,$A208)&amp;", ")),ISNUMBER(SEARCH(", "&amp;$B208&amp;", ", ", "&amp;INDEX('Form Responses'!$R$1:$R$200,2)&amp;", "))),1,""))</f>
        <v/>
      </c>
      <c r="E208">
        <f>IF(Wizards!$A$3="","",IF(OR(ISNUMBER(SEARCH(", "&amp;$B208&amp;", ", ", "&amp;INDEX('Form Responses'!$I$1:$Q$200,3,$A208)&amp;", ")),ISNUMBER(SEARCH(", "&amp;$B208&amp;", ", ", "&amp;INDEX('Form Responses'!$R$1:$R$200,3)&amp;", "))),1,""))</f>
        <v/>
      </c>
      <c r="F208">
        <f>IF(Wizards!$A$4="","",IF(OR(ISNUMBER(SEARCH(", "&amp;$B208&amp;", ", ", "&amp;INDEX('Form Responses'!$I$1:$Q$200,4,$A208)&amp;", ")),ISNUMBER(SEARCH(", "&amp;$B208&amp;", ", ", "&amp;INDEX('Form Responses'!$R$1:$R$200,4)&amp;", "))),1,""))</f>
        <v/>
      </c>
      <c r="G208">
        <f>IF(Wizards!$A$5="","",IF(OR(ISNUMBER(SEARCH(", "&amp;$B208&amp;", ", ", "&amp;INDEX('Form Responses'!$I$1:$Q$200,5,$A208)&amp;", ")),ISNUMBER(SEARCH(", "&amp;$B208&amp;", ", ", "&amp;INDEX('Form Responses'!$R$1:$R$200,5)&amp;", "))),1,""))</f>
        <v/>
      </c>
      <c r="H208">
        <f>IF(Wizards!$A$6="","",IF(OR(ISNUMBER(SEARCH(", "&amp;$B208&amp;", ", ", "&amp;INDEX('Form Responses'!$I$1:$Q$200,6,$A208)&amp;", ")),ISNUMBER(SEARCH(", "&amp;$B208&amp;", ", ", "&amp;INDEX('Form Responses'!$R$1:$R$200,6)&amp;", "))),1,""))</f>
        <v/>
      </c>
      <c r="I208">
        <f>IF(Wizards!$A$7="","",IF(OR(ISNUMBER(SEARCH(", "&amp;$B208&amp;", ", ", "&amp;INDEX('Form Responses'!$I$1:$Q$200,7,$A208)&amp;", ")),ISNUMBER(SEARCH(", "&amp;$B208&amp;", ", ", "&amp;INDEX('Form Responses'!$R$1:$R$200,7)&amp;", "))),1,""))</f>
        <v/>
      </c>
      <c r="J208">
        <f>IF(Wizards!$A$8="","",IF(OR(ISNUMBER(SEARCH(", "&amp;$B208&amp;", ", ", "&amp;INDEX('Form Responses'!$I$1:$Q$200,8,$A208)&amp;", ")),ISNUMBER(SEARCH(", "&amp;$B208&amp;", ", ", "&amp;INDEX('Form Responses'!$R$1:$R$200,8)&amp;", "))),1,""))</f>
        <v/>
      </c>
      <c r="K208">
        <f>IF(Wizards!$A$9="","",IF(OR(ISNUMBER(SEARCH(", "&amp;$B208&amp;", ", ", "&amp;INDEX('Form Responses'!$I$1:$Q$200,9,$A208)&amp;", ")),ISNUMBER(SEARCH(", "&amp;$B208&amp;", ", ", "&amp;INDEX('Form Responses'!$R$1:$R$200,9)&amp;", "))),1,""))</f>
        <v/>
      </c>
      <c r="L208">
        <f>IF(Wizards!$A$10="","",IF(OR(ISNUMBER(SEARCH(", "&amp;$B208&amp;", ", ", "&amp;INDEX('Form Responses'!$I$1:$Q$200,10,$A208)&amp;", ")),ISNUMBER(SEARCH(", "&amp;$B208&amp;", ", ", "&amp;INDEX('Form Responses'!$R$1:$R$200,10)&amp;", "))),1,""))</f>
        <v/>
      </c>
      <c r="M208">
        <f>IF(Wizards!$A$11="","",IF(OR(ISNUMBER(SEARCH(", "&amp;$B208&amp;", ", ", "&amp;INDEX('Form Responses'!$I$1:$Q$200,11,$A208)&amp;", ")),ISNUMBER(SEARCH(", "&amp;$B208&amp;", ", ", "&amp;INDEX('Form Responses'!$R$1:$R$200,11)&amp;", "))),1,""))</f>
        <v/>
      </c>
      <c r="N208">
        <f>IF(Wizards!$A$12="","",IF(OR(ISNUMBER(SEARCH(", "&amp;$B208&amp;", ", ", "&amp;INDEX('Form Responses'!$I$1:$Q$200,12,$A208)&amp;", ")),ISNUMBER(SEARCH(", "&amp;$B208&amp;", ", ", "&amp;INDEX('Form Responses'!$R$1:$R$200,12)&amp;", "))),1,""))</f>
        <v/>
      </c>
      <c r="O208">
        <f>IF(Wizards!$A$13="","",IF(OR(ISNUMBER(SEARCH(", "&amp;$B208&amp;", ", ", "&amp;INDEX('Form Responses'!$I$1:$Q$200,13,$A208)&amp;", ")),ISNUMBER(SEARCH(", "&amp;$B208&amp;", ", ", "&amp;INDEX('Form Responses'!$R$1:$R$200,13)&amp;", "))),1,""))</f>
        <v/>
      </c>
      <c r="P208">
        <f>IF(Wizards!$A$14="","",IF(OR(ISNUMBER(SEARCH(", "&amp;$B208&amp;", ", ", "&amp;INDEX('Form Responses'!$I$1:$Q$200,14,$A208)&amp;", ")),ISNUMBER(SEARCH(", "&amp;$B208&amp;", ", ", "&amp;INDEX('Form Responses'!$R$1:$R$200,14)&amp;", "))),1,""))</f>
        <v/>
      </c>
      <c r="Q208">
        <f>IF(Wizards!$A$15="","",IF(OR(ISNUMBER(SEARCH(", "&amp;$B208&amp;", ", ", "&amp;INDEX('Form Responses'!$I$1:$Q$200,15,$A208)&amp;", ")),ISNUMBER(SEARCH(", "&amp;$B208&amp;", ", ", "&amp;INDEX('Form Responses'!$R$1:$R$200,15)&amp;", "))),1,""))</f>
        <v/>
      </c>
      <c r="R208">
        <f>IF(Wizards!$A$16="","",IF(OR(ISNUMBER(SEARCH(", "&amp;$B208&amp;", ", ", "&amp;INDEX('Form Responses'!$I$1:$Q$200,16,$A208)&amp;", ")),ISNUMBER(SEARCH(", "&amp;$B208&amp;", ", ", "&amp;INDEX('Form Responses'!$R$1:$R$200,16)&amp;", "))),1,""))</f>
        <v/>
      </c>
      <c r="S208">
        <f>IF(Wizards!$A$17="","",IF(OR(ISNUMBER(SEARCH(", "&amp;$B208&amp;", ", ", "&amp;INDEX('Form Responses'!$I$1:$Q$200,17,$A208)&amp;", ")),ISNUMBER(SEARCH(", "&amp;$B208&amp;", ", ", "&amp;INDEX('Form Responses'!$R$1:$R$200,17)&amp;", "))),1,""))</f>
        <v/>
      </c>
      <c r="T208">
        <f>IF(Wizards!$A$18="","",IF(OR(ISNUMBER(SEARCH(", "&amp;$B208&amp;", ", ", "&amp;INDEX('Form Responses'!$I$1:$Q$200,18,$A208)&amp;", ")),ISNUMBER(SEARCH(", "&amp;$B208&amp;", ", ", "&amp;INDEX('Form Responses'!$R$1:$R$200,18)&amp;", "))),1,""))</f>
        <v/>
      </c>
      <c r="U208">
        <f>IF(Wizards!$A$19="","",IF(OR(ISNUMBER(SEARCH(", "&amp;$B208&amp;", ", ", "&amp;INDEX('Form Responses'!$I$1:$Q$200,19,$A208)&amp;", ")),ISNUMBER(SEARCH(", "&amp;$B208&amp;", ", ", "&amp;INDEX('Form Responses'!$R$1:$R$200,19)&amp;", "))),1,""))</f>
        <v/>
      </c>
      <c r="V208">
        <f>IF(Wizards!$A$20="","",IF(OR(ISNUMBER(SEARCH(", "&amp;$B208&amp;", ", ", "&amp;INDEX('Form Responses'!$I$1:$Q$200,20,$A208)&amp;", ")),ISNUMBER(SEARCH(", "&amp;$B208&amp;", ", ", "&amp;INDEX('Form Responses'!$R$1:$R$200,20)&amp;", "))),1,""))</f>
        <v/>
      </c>
      <c r="W208">
        <f>IF(Wizards!$A$21="","",IF(OR(ISNUMBER(SEARCH(", "&amp;$B208&amp;", ", ", "&amp;INDEX('Form Responses'!$I$1:$Q$200,21,$A208)&amp;", ")),ISNUMBER(SEARCH(", "&amp;$B208&amp;", ", ", "&amp;INDEX('Form Responses'!$R$1:$R$200,21)&amp;", "))),1,""))</f>
        <v/>
      </c>
      <c r="X208">
        <f>IF(Wizards!$A$22="","",IF(OR(ISNUMBER(SEARCH(", "&amp;$B208&amp;", ", ", "&amp;INDEX('Form Responses'!$I$1:$Q$200,22,$A208)&amp;", ")),ISNUMBER(SEARCH(", "&amp;$B208&amp;", ", ", "&amp;INDEX('Form Responses'!$R$1:$R$200,22)&amp;", "))),1,""))</f>
        <v/>
      </c>
      <c r="Y208">
        <f>IF(Wizards!$A$23="","",IF(OR(ISNUMBER(SEARCH(", "&amp;$B208&amp;", ", ", "&amp;INDEX('Form Responses'!$I$1:$Q$200,23,$A208)&amp;", ")),ISNUMBER(SEARCH(", "&amp;$B208&amp;", ", ", "&amp;INDEX('Form Responses'!$R$1:$R$200,23)&amp;", "))),1,""))</f>
        <v/>
      </c>
      <c r="Z208">
        <f>IF(Wizards!$A$24="","",IF(OR(ISNUMBER(SEARCH(", "&amp;$B208&amp;", ", ", "&amp;INDEX('Form Responses'!$I$1:$Q$200,24,$A208)&amp;", ")),ISNUMBER(SEARCH(", "&amp;$B208&amp;", ", ", "&amp;INDEX('Form Responses'!$R$1:$R$200,24)&amp;", "))),1,""))</f>
        <v/>
      </c>
      <c r="AA208">
        <f>IF(Wizards!$A$25="","",IF(OR(ISNUMBER(SEARCH(", "&amp;$B208&amp;", ", ", "&amp;INDEX('Form Responses'!$I$1:$Q$200,25,$A208)&amp;", ")),ISNUMBER(SEARCH(", "&amp;$B208&amp;", ", ", "&amp;INDEX('Form Responses'!$R$1:$R$200,25)&amp;", "))),1,""))</f>
        <v/>
      </c>
      <c r="AB208">
        <f>IF(D208=1,", "&amp;D$1,"")</f>
        <v/>
      </c>
      <c r="AC208">
        <f>IF(E208=1,", "&amp;E$1,"")</f>
        <v/>
      </c>
      <c r="AD208">
        <f>IF(F208=1,", "&amp;F$1,"")</f>
        <v/>
      </c>
      <c r="AE208">
        <f>IF(G208=1,", "&amp;G$1,"")</f>
        <v/>
      </c>
      <c r="AF208">
        <f>IF(H208=1,", "&amp;H$1,"")</f>
        <v/>
      </c>
      <c r="AG208">
        <f>IF(I208=1,", "&amp;I$1,"")</f>
        <v/>
      </c>
      <c r="AH208">
        <f>IF(J208=1,", "&amp;J$1,"")</f>
        <v/>
      </c>
      <c r="AI208">
        <f>IF(K208=1,", "&amp;K$1,"")</f>
        <v/>
      </c>
      <c r="AJ208">
        <f>IF(L208=1,", "&amp;L$1,"")</f>
        <v/>
      </c>
      <c r="AK208">
        <f>IF(M208=1,", "&amp;M$1,"")</f>
        <v/>
      </c>
      <c r="AL208">
        <f>IF(N208=1,", "&amp;N$1,"")</f>
        <v/>
      </c>
      <c r="AM208">
        <f>IF(O208=1,", "&amp;O$1,"")</f>
        <v/>
      </c>
      <c r="AN208">
        <f>IF(P208=1,", "&amp;P$1,"")</f>
        <v/>
      </c>
      <c r="AO208">
        <f>IF(Q208=1,", "&amp;Q$1,"")</f>
        <v/>
      </c>
      <c r="AP208">
        <f>IF(R208=1,", "&amp;R$1,"")</f>
        <v/>
      </c>
      <c r="AQ208">
        <f>IF(S208=1,", "&amp;S$1,"")</f>
        <v/>
      </c>
      <c r="AR208">
        <f>IF(T208=1,", "&amp;T$1,"")</f>
        <v/>
      </c>
      <c r="AS208">
        <f>IF(U208=1,", "&amp;U$1,"")</f>
        <v/>
      </c>
      <c r="AT208">
        <f>IF(V208=1,", "&amp;V$1,"")</f>
        <v/>
      </c>
      <c r="AU208">
        <f>IF(W208=1,", "&amp;W$1,"")</f>
        <v/>
      </c>
      <c r="AV208">
        <f>IF(X208=1,", "&amp;X$1,"")</f>
        <v/>
      </c>
      <c r="AW208">
        <f>IF(Y208=1,", "&amp;Y$1,"")</f>
        <v/>
      </c>
      <c r="AX208">
        <f>IF(Z208=1,", "&amp;Z$1,"")</f>
        <v/>
      </c>
      <c r="AY208">
        <f>IF(AA208=1,", "&amp;AA$1,"")</f>
        <v/>
      </c>
      <c r="AZ208">
        <f>MID($AB208&amp;$AC208&amp;$AD208&amp;$AE208&amp;$AF208&amp;$AG208&amp;$AH208&amp;$AI208&amp;$AJ208&amp;$AK208&amp;$AL208&amp;$AM208&amp;$AN208&amp;$AO208&amp;$AP208&amp;$AQ208&amp;$AR208&amp;$AS208&amp;$AT208&amp;$AU208&amp;$AV208&amp;$AW208&amp;$AX208&amp;$AY208,3,32767)</f>
        <v/>
      </c>
      <c r="BA208">
        <f>COUNT($D208:$AA208)</f>
        <v/>
      </c>
    </row>
    <row r="209">
      <c r="A209" t="n">
        <v>5</v>
      </c>
      <c r="B209" t="inlineStr">
        <is>
          <t>Contact Other Plane</t>
        </is>
      </c>
      <c r="C209" t="inlineStr">
        <is>
          <t>Divination</t>
        </is>
      </c>
      <c r="D209">
        <f>IF(Wizards!$A$2="","",IF(OR(ISNUMBER(SEARCH(", "&amp;$B209&amp;", ", ", "&amp;INDEX('Form Responses'!$I$1:$Q$200,2,$A209)&amp;", ")),ISNUMBER(SEARCH(", "&amp;$B209&amp;", ", ", "&amp;INDEX('Form Responses'!$R$1:$R$200,2)&amp;", "))),1,""))</f>
        <v/>
      </c>
      <c r="E209">
        <f>IF(Wizards!$A$3="","",IF(OR(ISNUMBER(SEARCH(", "&amp;$B209&amp;", ", ", "&amp;INDEX('Form Responses'!$I$1:$Q$200,3,$A209)&amp;", ")),ISNUMBER(SEARCH(", "&amp;$B209&amp;", ", ", "&amp;INDEX('Form Responses'!$R$1:$R$200,3)&amp;", "))),1,""))</f>
        <v/>
      </c>
      <c r="F209">
        <f>IF(Wizards!$A$4="","",IF(OR(ISNUMBER(SEARCH(", "&amp;$B209&amp;", ", ", "&amp;INDEX('Form Responses'!$I$1:$Q$200,4,$A209)&amp;", ")),ISNUMBER(SEARCH(", "&amp;$B209&amp;", ", ", "&amp;INDEX('Form Responses'!$R$1:$R$200,4)&amp;", "))),1,""))</f>
        <v/>
      </c>
      <c r="G209">
        <f>IF(Wizards!$A$5="","",IF(OR(ISNUMBER(SEARCH(", "&amp;$B209&amp;", ", ", "&amp;INDEX('Form Responses'!$I$1:$Q$200,5,$A209)&amp;", ")),ISNUMBER(SEARCH(", "&amp;$B209&amp;", ", ", "&amp;INDEX('Form Responses'!$R$1:$R$200,5)&amp;", "))),1,""))</f>
        <v/>
      </c>
      <c r="H209">
        <f>IF(Wizards!$A$6="","",IF(OR(ISNUMBER(SEARCH(", "&amp;$B209&amp;", ", ", "&amp;INDEX('Form Responses'!$I$1:$Q$200,6,$A209)&amp;", ")),ISNUMBER(SEARCH(", "&amp;$B209&amp;", ", ", "&amp;INDEX('Form Responses'!$R$1:$R$200,6)&amp;", "))),1,""))</f>
        <v/>
      </c>
      <c r="I209">
        <f>IF(Wizards!$A$7="","",IF(OR(ISNUMBER(SEARCH(", "&amp;$B209&amp;", ", ", "&amp;INDEX('Form Responses'!$I$1:$Q$200,7,$A209)&amp;", ")),ISNUMBER(SEARCH(", "&amp;$B209&amp;", ", ", "&amp;INDEX('Form Responses'!$R$1:$R$200,7)&amp;", "))),1,""))</f>
        <v/>
      </c>
      <c r="J209">
        <f>IF(Wizards!$A$8="","",IF(OR(ISNUMBER(SEARCH(", "&amp;$B209&amp;", ", ", "&amp;INDEX('Form Responses'!$I$1:$Q$200,8,$A209)&amp;", ")),ISNUMBER(SEARCH(", "&amp;$B209&amp;", ", ", "&amp;INDEX('Form Responses'!$R$1:$R$200,8)&amp;", "))),1,""))</f>
        <v/>
      </c>
      <c r="K209">
        <f>IF(Wizards!$A$9="","",IF(OR(ISNUMBER(SEARCH(", "&amp;$B209&amp;", ", ", "&amp;INDEX('Form Responses'!$I$1:$Q$200,9,$A209)&amp;", ")),ISNUMBER(SEARCH(", "&amp;$B209&amp;", ", ", "&amp;INDEX('Form Responses'!$R$1:$R$200,9)&amp;", "))),1,""))</f>
        <v/>
      </c>
      <c r="L209">
        <f>IF(Wizards!$A$10="","",IF(OR(ISNUMBER(SEARCH(", "&amp;$B209&amp;", ", ", "&amp;INDEX('Form Responses'!$I$1:$Q$200,10,$A209)&amp;", ")),ISNUMBER(SEARCH(", "&amp;$B209&amp;", ", ", "&amp;INDEX('Form Responses'!$R$1:$R$200,10)&amp;", "))),1,""))</f>
        <v/>
      </c>
      <c r="M209">
        <f>IF(Wizards!$A$11="","",IF(OR(ISNUMBER(SEARCH(", "&amp;$B209&amp;", ", ", "&amp;INDEX('Form Responses'!$I$1:$Q$200,11,$A209)&amp;", ")),ISNUMBER(SEARCH(", "&amp;$B209&amp;", ", ", "&amp;INDEX('Form Responses'!$R$1:$R$200,11)&amp;", "))),1,""))</f>
        <v/>
      </c>
      <c r="N209">
        <f>IF(Wizards!$A$12="","",IF(OR(ISNUMBER(SEARCH(", "&amp;$B209&amp;", ", ", "&amp;INDEX('Form Responses'!$I$1:$Q$200,12,$A209)&amp;", ")),ISNUMBER(SEARCH(", "&amp;$B209&amp;", ", ", "&amp;INDEX('Form Responses'!$R$1:$R$200,12)&amp;", "))),1,""))</f>
        <v/>
      </c>
      <c r="O209">
        <f>IF(Wizards!$A$13="","",IF(OR(ISNUMBER(SEARCH(", "&amp;$B209&amp;", ", ", "&amp;INDEX('Form Responses'!$I$1:$Q$200,13,$A209)&amp;", ")),ISNUMBER(SEARCH(", "&amp;$B209&amp;", ", ", "&amp;INDEX('Form Responses'!$R$1:$R$200,13)&amp;", "))),1,""))</f>
        <v/>
      </c>
      <c r="P209">
        <f>IF(Wizards!$A$14="","",IF(OR(ISNUMBER(SEARCH(", "&amp;$B209&amp;", ", ", "&amp;INDEX('Form Responses'!$I$1:$Q$200,14,$A209)&amp;", ")),ISNUMBER(SEARCH(", "&amp;$B209&amp;", ", ", "&amp;INDEX('Form Responses'!$R$1:$R$200,14)&amp;", "))),1,""))</f>
        <v/>
      </c>
      <c r="Q209">
        <f>IF(Wizards!$A$15="","",IF(OR(ISNUMBER(SEARCH(", "&amp;$B209&amp;", ", ", "&amp;INDEX('Form Responses'!$I$1:$Q$200,15,$A209)&amp;", ")),ISNUMBER(SEARCH(", "&amp;$B209&amp;", ", ", "&amp;INDEX('Form Responses'!$R$1:$R$200,15)&amp;", "))),1,""))</f>
        <v/>
      </c>
      <c r="R209">
        <f>IF(Wizards!$A$16="","",IF(OR(ISNUMBER(SEARCH(", "&amp;$B209&amp;", ", ", "&amp;INDEX('Form Responses'!$I$1:$Q$200,16,$A209)&amp;", ")),ISNUMBER(SEARCH(", "&amp;$B209&amp;", ", ", "&amp;INDEX('Form Responses'!$R$1:$R$200,16)&amp;", "))),1,""))</f>
        <v/>
      </c>
      <c r="S209">
        <f>IF(Wizards!$A$17="","",IF(OR(ISNUMBER(SEARCH(", "&amp;$B209&amp;", ", ", "&amp;INDEX('Form Responses'!$I$1:$Q$200,17,$A209)&amp;", ")),ISNUMBER(SEARCH(", "&amp;$B209&amp;", ", ", "&amp;INDEX('Form Responses'!$R$1:$R$200,17)&amp;", "))),1,""))</f>
        <v/>
      </c>
      <c r="T209">
        <f>IF(Wizards!$A$18="","",IF(OR(ISNUMBER(SEARCH(", "&amp;$B209&amp;", ", ", "&amp;INDEX('Form Responses'!$I$1:$Q$200,18,$A209)&amp;", ")),ISNUMBER(SEARCH(", "&amp;$B209&amp;", ", ", "&amp;INDEX('Form Responses'!$R$1:$R$200,18)&amp;", "))),1,""))</f>
        <v/>
      </c>
      <c r="U209">
        <f>IF(Wizards!$A$19="","",IF(OR(ISNUMBER(SEARCH(", "&amp;$B209&amp;", ", ", "&amp;INDEX('Form Responses'!$I$1:$Q$200,19,$A209)&amp;", ")),ISNUMBER(SEARCH(", "&amp;$B209&amp;", ", ", "&amp;INDEX('Form Responses'!$R$1:$R$200,19)&amp;", "))),1,""))</f>
        <v/>
      </c>
      <c r="V209">
        <f>IF(Wizards!$A$20="","",IF(OR(ISNUMBER(SEARCH(", "&amp;$B209&amp;", ", ", "&amp;INDEX('Form Responses'!$I$1:$Q$200,20,$A209)&amp;", ")),ISNUMBER(SEARCH(", "&amp;$B209&amp;", ", ", "&amp;INDEX('Form Responses'!$R$1:$R$200,20)&amp;", "))),1,""))</f>
        <v/>
      </c>
      <c r="W209">
        <f>IF(Wizards!$A$21="","",IF(OR(ISNUMBER(SEARCH(", "&amp;$B209&amp;", ", ", "&amp;INDEX('Form Responses'!$I$1:$Q$200,21,$A209)&amp;", ")),ISNUMBER(SEARCH(", "&amp;$B209&amp;", ", ", "&amp;INDEX('Form Responses'!$R$1:$R$200,21)&amp;", "))),1,""))</f>
        <v/>
      </c>
      <c r="X209">
        <f>IF(Wizards!$A$22="","",IF(OR(ISNUMBER(SEARCH(", "&amp;$B209&amp;", ", ", "&amp;INDEX('Form Responses'!$I$1:$Q$200,22,$A209)&amp;", ")),ISNUMBER(SEARCH(", "&amp;$B209&amp;", ", ", "&amp;INDEX('Form Responses'!$R$1:$R$200,22)&amp;", "))),1,""))</f>
        <v/>
      </c>
      <c r="Y209">
        <f>IF(Wizards!$A$23="","",IF(OR(ISNUMBER(SEARCH(", "&amp;$B209&amp;", ", ", "&amp;INDEX('Form Responses'!$I$1:$Q$200,23,$A209)&amp;", ")),ISNUMBER(SEARCH(", "&amp;$B209&amp;", ", ", "&amp;INDEX('Form Responses'!$R$1:$R$200,23)&amp;", "))),1,""))</f>
        <v/>
      </c>
      <c r="Z209">
        <f>IF(Wizards!$A$24="","",IF(OR(ISNUMBER(SEARCH(", "&amp;$B209&amp;", ", ", "&amp;INDEX('Form Responses'!$I$1:$Q$200,24,$A209)&amp;", ")),ISNUMBER(SEARCH(", "&amp;$B209&amp;", ", ", "&amp;INDEX('Form Responses'!$R$1:$R$200,24)&amp;", "))),1,""))</f>
        <v/>
      </c>
      <c r="AA209">
        <f>IF(Wizards!$A$25="","",IF(OR(ISNUMBER(SEARCH(", "&amp;$B209&amp;", ", ", "&amp;INDEX('Form Responses'!$I$1:$Q$200,25,$A209)&amp;", ")),ISNUMBER(SEARCH(", "&amp;$B209&amp;", ", ", "&amp;INDEX('Form Responses'!$R$1:$R$200,25)&amp;", "))),1,""))</f>
        <v/>
      </c>
      <c r="AB209">
        <f>IF(D209=1,", "&amp;D$1,"")</f>
        <v/>
      </c>
      <c r="AC209">
        <f>IF(E209=1,", "&amp;E$1,"")</f>
        <v/>
      </c>
      <c r="AD209">
        <f>IF(F209=1,", "&amp;F$1,"")</f>
        <v/>
      </c>
      <c r="AE209">
        <f>IF(G209=1,", "&amp;G$1,"")</f>
        <v/>
      </c>
      <c r="AF209">
        <f>IF(H209=1,", "&amp;H$1,"")</f>
        <v/>
      </c>
      <c r="AG209">
        <f>IF(I209=1,", "&amp;I$1,"")</f>
        <v/>
      </c>
      <c r="AH209">
        <f>IF(J209=1,", "&amp;J$1,"")</f>
        <v/>
      </c>
      <c r="AI209">
        <f>IF(K209=1,", "&amp;K$1,"")</f>
        <v/>
      </c>
      <c r="AJ209">
        <f>IF(L209=1,", "&amp;L$1,"")</f>
        <v/>
      </c>
      <c r="AK209">
        <f>IF(M209=1,", "&amp;M$1,"")</f>
        <v/>
      </c>
      <c r="AL209">
        <f>IF(N209=1,", "&amp;N$1,"")</f>
        <v/>
      </c>
      <c r="AM209">
        <f>IF(O209=1,", "&amp;O$1,"")</f>
        <v/>
      </c>
      <c r="AN209">
        <f>IF(P209=1,", "&amp;P$1,"")</f>
        <v/>
      </c>
      <c r="AO209">
        <f>IF(Q209=1,", "&amp;Q$1,"")</f>
        <v/>
      </c>
      <c r="AP209">
        <f>IF(R209=1,", "&amp;R$1,"")</f>
        <v/>
      </c>
      <c r="AQ209">
        <f>IF(S209=1,", "&amp;S$1,"")</f>
        <v/>
      </c>
      <c r="AR209">
        <f>IF(T209=1,", "&amp;T$1,"")</f>
        <v/>
      </c>
      <c r="AS209">
        <f>IF(U209=1,", "&amp;U$1,"")</f>
        <v/>
      </c>
      <c r="AT209">
        <f>IF(V209=1,", "&amp;V$1,"")</f>
        <v/>
      </c>
      <c r="AU209">
        <f>IF(W209=1,", "&amp;W$1,"")</f>
        <v/>
      </c>
      <c r="AV209">
        <f>IF(X209=1,", "&amp;X$1,"")</f>
        <v/>
      </c>
      <c r="AW209">
        <f>IF(Y209=1,", "&amp;Y$1,"")</f>
        <v/>
      </c>
      <c r="AX209">
        <f>IF(Z209=1,", "&amp;Z$1,"")</f>
        <v/>
      </c>
      <c r="AY209">
        <f>IF(AA209=1,", "&amp;AA$1,"")</f>
        <v/>
      </c>
      <c r="AZ209">
        <f>MID($AB209&amp;$AC209&amp;$AD209&amp;$AE209&amp;$AF209&amp;$AG209&amp;$AH209&amp;$AI209&amp;$AJ209&amp;$AK209&amp;$AL209&amp;$AM209&amp;$AN209&amp;$AO209&amp;$AP209&amp;$AQ209&amp;$AR209&amp;$AS209&amp;$AT209&amp;$AU209&amp;$AV209&amp;$AW209&amp;$AX209&amp;$AY209,3,32767)</f>
        <v/>
      </c>
      <c r="BA209">
        <f>COUNT($D209:$AA209)</f>
        <v/>
      </c>
    </row>
    <row r="210">
      <c r="A210" t="n">
        <v>5</v>
      </c>
      <c r="B210" t="inlineStr">
        <is>
          <t>Control Winds</t>
        </is>
      </c>
      <c r="C210" t="inlineStr">
        <is>
          <t>Transmutation</t>
        </is>
      </c>
      <c r="D210">
        <f>IF(Wizards!$A$2="","",IF(OR(ISNUMBER(SEARCH(", "&amp;$B210&amp;", ", ", "&amp;INDEX('Form Responses'!$I$1:$Q$200,2,$A210)&amp;", ")),ISNUMBER(SEARCH(", "&amp;$B210&amp;", ", ", "&amp;INDEX('Form Responses'!$R$1:$R$200,2)&amp;", "))),1,""))</f>
        <v/>
      </c>
      <c r="E210">
        <f>IF(Wizards!$A$3="","",IF(OR(ISNUMBER(SEARCH(", "&amp;$B210&amp;", ", ", "&amp;INDEX('Form Responses'!$I$1:$Q$200,3,$A210)&amp;", ")),ISNUMBER(SEARCH(", "&amp;$B210&amp;", ", ", "&amp;INDEX('Form Responses'!$R$1:$R$200,3)&amp;", "))),1,""))</f>
        <v/>
      </c>
      <c r="F210">
        <f>IF(Wizards!$A$4="","",IF(OR(ISNUMBER(SEARCH(", "&amp;$B210&amp;", ", ", "&amp;INDEX('Form Responses'!$I$1:$Q$200,4,$A210)&amp;", ")),ISNUMBER(SEARCH(", "&amp;$B210&amp;", ", ", "&amp;INDEX('Form Responses'!$R$1:$R$200,4)&amp;", "))),1,""))</f>
        <v/>
      </c>
      <c r="G210">
        <f>IF(Wizards!$A$5="","",IF(OR(ISNUMBER(SEARCH(", "&amp;$B210&amp;", ", ", "&amp;INDEX('Form Responses'!$I$1:$Q$200,5,$A210)&amp;", ")),ISNUMBER(SEARCH(", "&amp;$B210&amp;", ", ", "&amp;INDEX('Form Responses'!$R$1:$R$200,5)&amp;", "))),1,""))</f>
        <v/>
      </c>
      <c r="H210">
        <f>IF(Wizards!$A$6="","",IF(OR(ISNUMBER(SEARCH(", "&amp;$B210&amp;", ", ", "&amp;INDEX('Form Responses'!$I$1:$Q$200,6,$A210)&amp;", ")),ISNUMBER(SEARCH(", "&amp;$B210&amp;", ", ", "&amp;INDEX('Form Responses'!$R$1:$R$200,6)&amp;", "))),1,""))</f>
        <v/>
      </c>
      <c r="I210">
        <f>IF(Wizards!$A$7="","",IF(OR(ISNUMBER(SEARCH(", "&amp;$B210&amp;", ", ", "&amp;INDEX('Form Responses'!$I$1:$Q$200,7,$A210)&amp;", ")),ISNUMBER(SEARCH(", "&amp;$B210&amp;", ", ", "&amp;INDEX('Form Responses'!$R$1:$R$200,7)&amp;", "))),1,""))</f>
        <v/>
      </c>
      <c r="J210">
        <f>IF(Wizards!$A$8="","",IF(OR(ISNUMBER(SEARCH(", "&amp;$B210&amp;", ", ", "&amp;INDEX('Form Responses'!$I$1:$Q$200,8,$A210)&amp;", ")),ISNUMBER(SEARCH(", "&amp;$B210&amp;", ", ", "&amp;INDEX('Form Responses'!$R$1:$R$200,8)&amp;", "))),1,""))</f>
        <v/>
      </c>
      <c r="K210">
        <f>IF(Wizards!$A$9="","",IF(OR(ISNUMBER(SEARCH(", "&amp;$B210&amp;", ", ", "&amp;INDEX('Form Responses'!$I$1:$Q$200,9,$A210)&amp;", ")),ISNUMBER(SEARCH(", "&amp;$B210&amp;", ", ", "&amp;INDEX('Form Responses'!$R$1:$R$200,9)&amp;", "))),1,""))</f>
        <v/>
      </c>
      <c r="L210">
        <f>IF(Wizards!$A$10="","",IF(OR(ISNUMBER(SEARCH(", "&amp;$B210&amp;", ", ", "&amp;INDEX('Form Responses'!$I$1:$Q$200,10,$A210)&amp;", ")),ISNUMBER(SEARCH(", "&amp;$B210&amp;", ", ", "&amp;INDEX('Form Responses'!$R$1:$R$200,10)&amp;", "))),1,""))</f>
        <v/>
      </c>
      <c r="M210">
        <f>IF(Wizards!$A$11="","",IF(OR(ISNUMBER(SEARCH(", "&amp;$B210&amp;", ", ", "&amp;INDEX('Form Responses'!$I$1:$Q$200,11,$A210)&amp;", ")),ISNUMBER(SEARCH(", "&amp;$B210&amp;", ", ", "&amp;INDEX('Form Responses'!$R$1:$R$200,11)&amp;", "))),1,""))</f>
        <v/>
      </c>
      <c r="N210">
        <f>IF(Wizards!$A$12="","",IF(OR(ISNUMBER(SEARCH(", "&amp;$B210&amp;", ", ", "&amp;INDEX('Form Responses'!$I$1:$Q$200,12,$A210)&amp;", ")),ISNUMBER(SEARCH(", "&amp;$B210&amp;", ", ", "&amp;INDEX('Form Responses'!$R$1:$R$200,12)&amp;", "))),1,""))</f>
        <v/>
      </c>
      <c r="O210">
        <f>IF(Wizards!$A$13="","",IF(OR(ISNUMBER(SEARCH(", "&amp;$B210&amp;", ", ", "&amp;INDEX('Form Responses'!$I$1:$Q$200,13,$A210)&amp;", ")),ISNUMBER(SEARCH(", "&amp;$B210&amp;", ", ", "&amp;INDEX('Form Responses'!$R$1:$R$200,13)&amp;", "))),1,""))</f>
        <v/>
      </c>
      <c r="P210">
        <f>IF(Wizards!$A$14="","",IF(OR(ISNUMBER(SEARCH(", "&amp;$B210&amp;", ", ", "&amp;INDEX('Form Responses'!$I$1:$Q$200,14,$A210)&amp;", ")),ISNUMBER(SEARCH(", "&amp;$B210&amp;", ", ", "&amp;INDEX('Form Responses'!$R$1:$R$200,14)&amp;", "))),1,""))</f>
        <v/>
      </c>
      <c r="Q210">
        <f>IF(Wizards!$A$15="","",IF(OR(ISNUMBER(SEARCH(", "&amp;$B210&amp;", ", ", "&amp;INDEX('Form Responses'!$I$1:$Q$200,15,$A210)&amp;", ")),ISNUMBER(SEARCH(", "&amp;$B210&amp;", ", ", "&amp;INDEX('Form Responses'!$R$1:$R$200,15)&amp;", "))),1,""))</f>
        <v/>
      </c>
      <c r="R210">
        <f>IF(Wizards!$A$16="","",IF(OR(ISNUMBER(SEARCH(", "&amp;$B210&amp;", ", ", "&amp;INDEX('Form Responses'!$I$1:$Q$200,16,$A210)&amp;", ")),ISNUMBER(SEARCH(", "&amp;$B210&amp;", ", ", "&amp;INDEX('Form Responses'!$R$1:$R$200,16)&amp;", "))),1,""))</f>
        <v/>
      </c>
      <c r="S210">
        <f>IF(Wizards!$A$17="","",IF(OR(ISNUMBER(SEARCH(", "&amp;$B210&amp;", ", ", "&amp;INDEX('Form Responses'!$I$1:$Q$200,17,$A210)&amp;", ")),ISNUMBER(SEARCH(", "&amp;$B210&amp;", ", ", "&amp;INDEX('Form Responses'!$R$1:$R$200,17)&amp;", "))),1,""))</f>
        <v/>
      </c>
      <c r="T210">
        <f>IF(Wizards!$A$18="","",IF(OR(ISNUMBER(SEARCH(", "&amp;$B210&amp;", ", ", "&amp;INDEX('Form Responses'!$I$1:$Q$200,18,$A210)&amp;", ")),ISNUMBER(SEARCH(", "&amp;$B210&amp;", ", ", "&amp;INDEX('Form Responses'!$R$1:$R$200,18)&amp;", "))),1,""))</f>
        <v/>
      </c>
      <c r="U210">
        <f>IF(Wizards!$A$19="","",IF(OR(ISNUMBER(SEARCH(", "&amp;$B210&amp;", ", ", "&amp;INDEX('Form Responses'!$I$1:$Q$200,19,$A210)&amp;", ")),ISNUMBER(SEARCH(", "&amp;$B210&amp;", ", ", "&amp;INDEX('Form Responses'!$R$1:$R$200,19)&amp;", "))),1,""))</f>
        <v/>
      </c>
      <c r="V210">
        <f>IF(Wizards!$A$20="","",IF(OR(ISNUMBER(SEARCH(", "&amp;$B210&amp;", ", ", "&amp;INDEX('Form Responses'!$I$1:$Q$200,20,$A210)&amp;", ")),ISNUMBER(SEARCH(", "&amp;$B210&amp;", ", ", "&amp;INDEX('Form Responses'!$R$1:$R$200,20)&amp;", "))),1,""))</f>
        <v/>
      </c>
      <c r="W210">
        <f>IF(Wizards!$A$21="","",IF(OR(ISNUMBER(SEARCH(", "&amp;$B210&amp;", ", ", "&amp;INDEX('Form Responses'!$I$1:$Q$200,21,$A210)&amp;", ")),ISNUMBER(SEARCH(", "&amp;$B210&amp;", ", ", "&amp;INDEX('Form Responses'!$R$1:$R$200,21)&amp;", "))),1,""))</f>
        <v/>
      </c>
      <c r="X210">
        <f>IF(Wizards!$A$22="","",IF(OR(ISNUMBER(SEARCH(", "&amp;$B210&amp;", ", ", "&amp;INDEX('Form Responses'!$I$1:$Q$200,22,$A210)&amp;", ")),ISNUMBER(SEARCH(", "&amp;$B210&amp;", ", ", "&amp;INDEX('Form Responses'!$R$1:$R$200,22)&amp;", "))),1,""))</f>
        <v/>
      </c>
      <c r="Y210">
        <f>IF(Wizards!$A$23="","",IF(OR(ISNUMBER(SEARCH(", "&amp;$B210&amp;", ", ", "&amp;INDEX('Form Responses'!$I$1:$Q$200,23,$A210)&amp;", ")),ISNUMBER(SEARCH(", "&amp;$B210&amp;", ", ", "&amp;INDEX('Form Responses'!$R$1:$R$200,23)&amp;", "))),1,""))</f>
        <v/>
      </c>
      <c r="Z210">
        <f>IF(Wizards!$A$24="","",IF(OR(ISNUMBER(SEARCH(", "&amp;$B210&amp;", ", ", "&amp;INDEX('Form Responses'!$I$1:$Q$200,24,$A210)&amp;", ")),ISNUMBER(SEARCH(", "&amp;$B210&amp;", ", ", "&amp;INDEX('Form Responses'!$R$1:$R$200,24)&amp;", "))),1,""))</f>
        <v/>
      </c>
      <c r="AA210">
        <f>IF(Wizards!$A$25="","",IF(OR(ISNUMBER(SEARCH(", "&amp;$B210&amp;", ", ", "&amp;INDEX('Form Responses'!$I$1:$Q$200,25,$A210)&amp;", ")),ISNUMBER(SEARCH(", "&amp;$B210&amp;", ", ", "&amp;INDEX('Form Responses'!$R$1:$R$200,25)&amp;", "))),1,""))</f>
        <v/>
      </c>
      <c r="AB210">
        <f>IF(D210=1,", "&amp;D$1,"")</f>
        <v/>
      </c>
      <c r="AC210">
        <f>IF(E210=1,", "&amp;E$1,"")</f>
        <v/>
      </c>
      <c r="AD210">
        <f>IF(F210=1,", "&amp;F$1,"")</f>
        <v/>
      </c>
      <c r="AE210">
        <f>IF(G210=1,", "&amp;G$1,"")</f>
        <v/>
      </c>
      <c r="AF210">
        <f>IF(H210=1,", "&amp;H$1,"")</f>
        <v/>
      </c>
      <c r="AG210">
        <f>IF(I210=1,", "&amp;I$1,"")</f>
        <v/>
      </c>
      <c r="AH210">
        <f>IF(J210=1,", "&amp;J$1,"")</f>
        <v/>
      </c>
      <c r="AI210">
        <f>IF(K210=1,", "&amp;K$1,"")</f>
        <v/>
      </c>
      <c r="AJ210">
        <f>IF(L210=1,", "&amp;L$1,"")</f>
        <v/>
      </c>
      <c r="AK210">
        <f>IF(M210=1,", "&amp;M$1,"")</f>
        <v/>
      </c>
      <c r="AL210">
        <f>IF(N210=1,", "&amp;N$1,"")</f>
        <v/>
      </c>
      <c r="AM210">
        <f>IF(O210=1,", "&amp;O$1,"")</f>
        <v/>
      </c>
      <c r="AN210">
        <f>IF(P210=1,", "&amp;P$1,"")</f>
        <v/>
      </c>
      <c r="AO210">
        <f>IF(Q210=1,", "&amp;Q$1,"")</f>
        <v/>
      </c>
      <c r="AP210">
        <f>IF(R210=1,", "&amp;R$1,"")</f>
        <v/>
      </c>
      <c r="AQ210">
        <f>IF(S210=1,", "&amp;S$1,"")</f>
        <v/>
      </c>
      <c r="AR210">
        <f>IF(T210=1,", "&amp;T$1,"")</f>
        <v/>
      </c>
      <c r="AS210">
        <f>IF(U210=1,", "&amp;U$1,"")</f>
        <v/>
      </c>
      <c r="AT210">
        <f>IF(V210=1,", "&amp;V$1,"")</f>
        <v/>
      </c>
      <c r="AU210">
        <f>IF(W210=1,", "&amp;W$1,"")</f>
        <v/>
      </c>
      <c r="AV210">
        <f>IF(X210=1,", "&amp;X$1,"")</f>
        <v/>
      </c>
      <c r="AW210">
        <f>IF(Y210=1,", "&amp;Y$1,"")</f>
        <v/>
      </c>
      <c r="AX210">
        <f>IF(Z210=1,", "&amp;Z$1,"")</f>
        <v/>
      </c>
      <c r="AY210">
        <f>IF(AA210=1,", "&amp;AA$1,"")</f>
        <v/>
      </c>
      <c r="AZ210">
        <f>MID($AB210&amp;$AC210&amp;$AD210&amp;$AE210&amp;$AF210&amp;$AG210&amp;$AH210&amp;$AI210&amp;$AJ210&amp;$AK210&amp;$AL210&amp;$AM210&amp;$AN210&amp;$AO210&amp;$AP210&amp;$AQ210&amp;$AR210&amp;$AS210&amp;$AT210&amp;$AU210&amp;$AV210&amp;$AW210&amp;$AX210&amp;$AY210,3,32767)</f>
        <v/>
      </c>
      <c r="BA210">
        <f>COUNT($D210:$AA210)</f>
        <v/>
      </c>
    </row>
    <row r="211">
      <c r="A211" t="n">
        <v>5</v>
      </c>
      <c r="B211" t="inlineStr">
        <is>
          <t>Create Spelljamming Helm</t>
        </is>
      </c>
      <c r="C211" t="inlineStr">
        <is>
          <t>Transmutation</t>
        </is>
      </c>
      <c r="D211">
        <f>IF(Wizards!$A$2="","",IF(OR(ISNUMBER(SEARCH(", "&amp;$B211&amp;", ", ", "&amp;INDEX('Form Responses'!$I$1:$Q$200,2,$A211)&amp;", ")),ISNUMBER(SEARCH(", "&amp;$B211&amp;", ", ", "&amp;INDEX('Form Responses'!$R$1:$R$200,2)&amp;", "))),1,""))</f>
        <v/>
      </c>
      <c r="E211">
        <f>IF(Wizards!$A$3="","",IF(OR(ISNUMBER(SEARCH(", "&amp;$B211&amp;", ", ", "&amp;INDEX('Form Responses'!$I$1:$Q$200,3,$A211)&amp;", ")),ISNUMBER(SEARCH(", "&amp;$B211&amp;", ", ", "&amp;INDEX('Form Responses'!$R$1:$R$200,3)&amp;", "))),1,""))</f>
        <v/>
      </c>
      <c r="F211">
        <f>IF(Wizards!$A$4="","",IF(OR(ISNUMBER(SEARCH(", "&amp;$B211&amp;", ", ", "&amp;INDEX('Form Responses'!$I$1:$Q$200,4,$A211)&amp;", ")),ISNUMBER(SEARCH(", "&amp;$B211&amp;", ", ", "&amp;INDEX('Form Responses'!$R$1:$R$200,4)&amp;", "))),1,""))</f>
        <v/>
      </c>
      <c r="G211">
        <f>IF(Wizards!$A$5="","",IF(OR(ISNUMBER(SEARCH(", "&amp;$B211&amp;", ", ", "&amp;INDEX('Form Responses'!$I$1:$Q$200,5,$A211)&amp;", ")),ISNUMBER(SEARCH(", "&amp;$B211&amp;", ", ", "&amp;INDEX('Form Responses'!$R$1:$R$200,5)&amp;", "))),1,""))</f>
        <v/>
      </c>
      <c r="H211">
        <f>IF(Wizards!$A$6="","",IF(OR(ISNUMBER(SEARCH(", "&amp;$B211&amp;", ", ", "&amp;INDEX('Form Responses'!$I$1:$Q$200,6,$A211)&amp;", ")),ISNUMBER(SEARCH(", "&amp;$B211&amp;", ", ", "&amp;INDEX('Form Responses'!$R$1:$R$200,6)&amp;", "))),1,""))</f>
        <v/>
      </c>
      <c r="I211">
        <f>IF(Wizards!$A$7="","",IF(OR(ISNUMBER(SEARCH(", "&amp;$B211&amp;", ", ", "&amp;INDEX('Form Responses'!$I$1:$Q$200,7,$A211)&amp;", ")),ISNUMBER(SEARCH(", "&amp;$B211&amp;", ", ", "&amp;INDEX('Form Responses'!$R$1:$R$200,7)&amp;", "))),1,""))</f>
        <v/>
      </c>
      <c r="J211">
        <f>IF(Wizards!$A$8="","",IF(OR(ISNUMBER(SEARCH(", "&amp;$B211&amp;", ", ", "&amp;INDEX('Form Responses'!$I$1:$Q$200,8,$A211)&amp;", ")),ISNUMBER(SEARCH(", "&amp;$B211&amp;", ", ", "&amp;INDEX('Form Responses'!$R$1:$R$200,8)&amp;", "))),1,""))</f>
        <v/>
      </c>
      <c r="K211">
        <f>IF(Wizards!$A$9="","",IF(OR(ISNUMBER(SEARCH(", "&amp;$B211&amp;", ", ", "&amp;INDEX('Form Responses'!$I$1:$Q$200,9,$A211)&amp;", ")),ISNUMBER(SEARCH(", "&amp;$B211&amp;", ", ", "&amp;INDEX('Form Responses'!$R$1:$R$200,9)&amp;", "))),1,""))</f>
        <v/>
      </c>
      <c r="L211">
        <f>IF(Wizards!$A$10="","",IF(OR(ISNUMBER(SEARCH(", "&amp;$B211&amp;", ", ", "&amp;INDEX('Form Responses'!$I$1:$Q$200,10,$A211)&amp;", ")),ISNUMBER(SEARCH(", "&amp;$B211&amp;", ", ", "&amp;INDEX('Form Responses'!$R$1:$R$200,10)&amp;", "))),1,""))</f>
        <v/>
      </c>
      <c r="M211">
        <f>IF(Wizards!$A$11="","",IF(OR(ISNUMBER(SEARCH(", "&amp;$B211&amp;", ", ", "&amp;INDEX('Form Responses'!$I$1:$Q$200,11,$A211)&amp;", ")),ISNUMBER(SEARCH(", "&amp;$B211&amp;", ", ", "&amp;INDEX('Form Responses'!$R$1:$R$200,11)&amp;", "))),1,""))</f>
        <v/>
      </c>
      <c r="N211">
        <f>IF(Wizards!$A$12="","",IF(OR(ISNUMBER(SEARCH(", "&amp;$B211&amp;", ", ", "&amp;INDEX('Form Responses'!$I$1:$Q$200,12,$A211)&amp;", ")),ISNUMBER(SEARCH(", "&amp;$B211&amp;", ", ", "&amp;INDEX('Form Responses'!$R$1:$R$200,12)&amp;", "))),1,""))</f>
        <v/>
      </c>
      <c r="O211">
        <f>IF(Wizards!$A$13="","",IF(OR(ISNUMBER(SEARCH(", "&amp;$B211&amp;", ", ", "&amp;INDEX('Form Responses'!$I$1:$Q$200,13,$A211)&amp;", ")),ISNUMBER(SEARCH(", "&amp;$B211&amp;", ", ", "&amp;INDEX('Form Responses'!$R$1:$R$200,13)&amp;", "))),1,""))</f>
        <v/>
      </c>
      <c r="P211">
        <f>IF(Wizards!$A$14="","",IF(OR(ISNUMBER(SEARCH(", "&amp;$B211&amp;", ", ", "&amp;INDEX('Form Responses'!$I$1:$Q$200,14,$A211)&amp;", ")),ISNUMBER(SEARCH(", "&amp;$B211&amp;", ", ", "&amp;INDEX('Form Responses'!$R$1:$R$200,14)&amp;", "))),1,""))</f>
        <v/>
      </c>
      <c r="Q211">
        <f>IF(Wizards!$A$15="","",IF(OR(ISNUMBER(SEARCH(", "&amp;$B211&amp;", ", ", "&amp;INDEX('Form Responses'!$I$1:$Q$200,15,$A211)&amp;", ")),ISNUMBER(SEARCH(", "&amp;$B211&amp;", ", ", "&amp;INDEX('Form Responses'!$R$1:$R$200,15)&amp;", "))),1,""))</f>
        <v/>
      </c>
      <c r="R211">
        <f>IF(Wizards!$A$16="","",IF(OR(ISNUMBER(SEARCH(", "&amp;$B211&amp;", ", ", "&amp;INDEX('Form Responses'!$I$1:$Q$200,16,$A211)&amp;", ")),ISNUMBER(SEARCH(", "&amp;$B211&amp;", ", ", "&amp;INDEX('Form Responses'!$R$1:$R$200,16)&amp;", "))),1,""))</f>
        <v/>
      </c>
      <c r="S211">
        <f>IF(Wizards!$A$17="","",IF(OR(ISNUMBER(SEARCH(", "&amp;$B211&amp;", ", ", "&amp;INDEX('Form Responses'!$I$1:$Q$200,17,$A211)&amp;", ")),ISNUMBER(SEARCH(", "&amp;$B211&amp;", ", ", "&amp;INDEX('Form Responses'!$R$1:$R$200,17)&amp;", "))),1,""))</f>
        <v/>
      </c>
      <c r="T211">
        <f>IF(Wizards!$A$18="","",IF(OR(ISNUMBER(SEARCH(", "&amp;$B211&amp;", ", ", "&amp;INDEX('Form Responses'!$I$1:$Q$200,18,$A211)&amp;", ")),ISNUMBER(SEARCH(", "&amp;$B211&amp;", ", ", "&amp;INDEX('Form Responses'!$R$1:$R$200,18)&amp;", "))),1,""))</f>
        <v/>
      </c>
      <c r="U211">
        <f>IF(Wizards!$A$19="","",IF(OR(ISNUMBER(SEARCH(", "&amp;$B211&amp;", ", ", "&amp;INDEX('Form Responses'!$I$1:$Q$200,19,$A211)&amp;", ")),ISNUMBER(SEARCH(", "&amp;$B211&amp;", ", ", "&amp;INDEX('Form Responses'!$R$1:$R$200,19)&amp;", "))),1,""))</f>
        <v/>
      </c>
      <c r="V211">
        <f>IF(Wizards!$A$20="","",IF(OR(ISNUMBER(SEARCH(", "&amp;$B211&amp;", ", ", "&amp;INDEX('Form Responses'!$I$1:$Q$200,20,$A211)&amp;", ")),ISNUMBER(SEARCH(", "&amp;$B211&amp;", ", ", "&amp;INDEX('Form Responses'!$R$1:$R$200,20)&amp;", "))),1,""))</f>
        <v/>
      </c>
      <c r="W211">
        <f>IF(Wizards!$A$21="","",IF(OR(ISNUMBER(SEARCH(", "&amp;$B211&amp;", ", ", "&amp;INDEX('Form Responses'!$I$1:$Q$200,21,$A211)&amp;", ")),ISNUMBER(SEARCH(", "&amp;$B211&amp;", ", ", "&amp;INDEX('Form Responses'!$R$1:$R$200,21)&amp;", "))),1,""))</f>
        <v/>
      </c>
      <c r="X211">
        <f>IF(Wizards!$A$22="","",IF(OR(ISNUMBER(SEARCH(", "&amp;$B211&amp;", ", ", "&amp;INDEX('Form Responses'!$I$1:$Q$200,22,$A211)&amp;", ")),ISNUMBER(SEARCH(", "&amp;$B211&amp;", ", ", "&amp;INDEX('Form Responses'!$R$1:$R$200,22)&amp;", "))),1,""))</f>
        <v/>
      </c>
      <c r="Y211">
        <f>IF(Wizards!$A$23="","",IF(OR(ISNUMBER(SEARCH(", "&amp;$B211&amp;", ", ", "&amp;INDEX('Form Responses'!$I$1:$Q$200,23,$A211)&amp;", ")),ISNUMBER(SEARCH(", "&amp;$B211&amp;", ", ", "&amp;INDEX('Form Responses'!$R$1:$R$200,23)&amp;", "))),1,""))</f>
        <v/>
      </c>
      <c r="Z211">
        <f>IF(Wizards!$A$24="","",IF(OR(ISNUMBER(SEARCH(", "&amp;$B211&amp;", ", ", "&amp;INDEX('Form Responses'!$I$1:$Q$200,24,$A211)&amp;", ")),ISNUMBER(SEARCH(", "&amp;$B211&amp;", ", ", "&amp;INDEX('Form Responses'!$R$1:$R$200,24)&amp;", "))),1,""))</f>
        <v/>
      </c>
      <c r="AA211">
        <f>IF(Wizards!$A$25="","",IF(OR(ISNUMBER(SEARCH(", "&amp;$B211&amp;", ", ", "&amp;INDEX('Form Responses'!$I$1:$Q$200,25,$A211)&amp;", ")),ISNUMBER(SEARCH(", "&amp;$B211&amp;", ", ", "&amp;INDEX('Form Responses'!$R$1:$R$200,25)&amp;", "))),1,""))</f>
        <v/>
      </c>
      <c r="AB211">
        <f>IF(D211=1,", "&amp;D$1,"")</f>
        <v/>
      </c>
      <c r="AC211">
        <f>IF(E211=1,", "&amp;E$1,"")</f>
        <v/>
      </c>
      <c r="AD211">
        <f>IF(F211=1,", "&amp;F$1,"")</f>
        <v/>
      </c>
      <c r="AE211">
        <f>IF(G211=1,", "&amp;G$1,"")</f>
        <v/>
      </c>
      <c r="AF211">
        <f>IF(H211=1,", "&amp;H$1,"")</f>
        <v/>
      </c>
      <c r="AG211">
        <f>IF(I211=1,", "&amp;I$1,"")</f>
        <v/>
      </c>
      <c r="AH211">
        <f>IF(J211=1,", "&amp;J$1,"")</f>
        <v/>
      </c>
      <c r="AI211">
        <f>IF(K211=1,", "&amp;K$1,"")</f>
        <v/>
      </c>
      <c r="AJ211">
        <f>IF(L211=1,", "&amp;L$1,"")</f>
        <v/>
      </c>
      <c r="AK211">
        <f>IF(M211=1,", "&amp;M$1,"")</f>
        <v/>
      </c>
      <c r="AL211">
        <f>IF(N211=1,", "&amp;N$1,"")</f>
        <v/>
      </c>
      <c r="AM211">
        <f>IF(O211=1,", "&amp;O$1,"")</f>
        <v/>
      </c>
      <c r="AN211">
        <f>IF(P211=1,", "&amp;P$1,"")</f>
        <v/>
      </c>
      <c r="AO211">
        <f>IF(Q211=1,", "&amp;Q$1,"")</f>
        <v/>
      </c>
      <c r="AP211">
        <f>IF(R211=1,", "&amp;R$1,"")</f>
        <v/>
      </c>
      <c r="AQ211">
        <f>IF(S211=1,", "&amp;S$1,"")</f>
        <v/>
      </c>
      <c r="AR211">
        <f>IF(T211=1,", "&amp;T$1,"")</f>
        <v/>
      </c>
      <c r="AS211">
        <f>IF(U211=1,", "&amp;U$1,"")</f>
        <v/>
      </c>
      <c r="AT211">
        <f>IF(V211=1,", "&amp;V$1,"")</f>
        <v/>
      </c>
      <c r="AU211">
        <f>IF(W211=1,", "&amp;W$1,"")</f>
        <v/>
      </c>
      <c r="AV211">
        <f>IF(X211=1,", "&amp;X$1,"")</f>
        <v/>
      </c>
      <c r="AW211">
        <f>IF(Y211=1,", "&amp;Y$1,"")</f>
        <v/>
      </c>
      <c r="AX211">
        <f>IF(Z211=1,", "&amp;Z$1,"")</f>
        <v/>
      </c>
      <c r="AY211">
        <f>IF(AA211=1,", "&amp;AA$1,"")</f>
        <v/>
      </c>
      <c r="AZ211">
        <f>MID($AB211&amp;$AC211&amp;$AD211&amp;$AE211&amp;$AF211&amp;$AG211&amp;$AH211&amp;$AI211&amp;$AJ211&amp;$AK211&amp;$AL211&amp;$AM211&amp;$AN211&amp;$AO211&amp;$AP211&amp;$AQ211&amp;$AR211&amp;$AS211&amp;$AT211&amp;$AU211&amp;$AV211&amp;$AW211&amp;$AX211&amp;$AY211,3,32767)</f>
        <v/>
      </c>
      <c r="BA211">
        <f>COUNT($D211:$AA211)</f>
        <v/>
      </c>
    </row>
    <row r="212">
      <c r="A212" t="n">
        <v>5</v>
      </c>
      <c r="B212" t="inlineStr">
        <is>
          <t>Creation</t>
        </is>
      </c>
      <c r="C212" t="inlineStr">
        <is>
          <t>Illusion</t>
        </is>
      </c>
      <c r="D212">
        <f>IF(Wizards!$A$2="","",IF(OR(ISNUMBER(SEARCH(", "&amp;$B212&amp;", ", ", "&amp;INDEX('Form Responses'!$I$1:$Q$200,2,$A212)&amp;", ")),ISNUMBER(SEARCH(", "&amp;$B212&amp;", ", ", "&amp;INDEX('Form Responses'!$R$1:$R$200,2)&amp;", "))),1,""))</f>
        <v/>
      </c>
      <c r="E212">
        <f>IF(Wizards!$A$3="","",IF(OR(ISNUMBER(SEARCH(", "&amp;$B212&amp;", ", ", "&amp;INDEX('Form Responses'!$I$1:$Q$200,3,$A212)&amp;", ")),ISNUMBER(SEARCH(", "&amp;$B212&amp;", ", ", "&amp;INDEX('Form Responses'!$R$1:$R$200,3)&amp;", "))),1,""))</f>
        <v/>
      </c>
      <c r="F212">
        <f>IF(Wizards!$A$4="","",IF(OR(ISNUMBER(SEARCH(", "&amp;$B212&amp;", ", ", "&amp;INDEX('Form Responses'!$I$1:$Q$200,4,$A212)&amp;", ")),ISNUMBER(SEARCH(", "&amp;$B212&amp;", ", ", "&amp;INDEX('Form Responses'!$R$1:$R$200,4)&amp;", "))),1,""))</f>
        <v/>
      </c>
      <c r="G212">
        <f>IF(Wizards!$A$5="","",IF(OR(ISNUMBER(SEARCH(", "&amp;$B212&amp;", ", ", "&amp;INDEX('Form Responses'!$I$1:$Q$200,5,$A212)&amp;", ")),ISNUMBER(SEARCH(", "&amp;$B212&amp;", ", ", "&amp;INDEX('Form Responses'!$R$1:$R$200,5)&amp;", "))),1,""))</f>
        <v/>
      </c>
      <c r="H212">
        <f>IF(Wizards!$A$6="","",IF(OR(ISNUMBER(SEARCH(", "&amp;$B212&amp;", ", ", "&amp;INDEX('Form Responses'!$I$1:$Q$200,6,$A212)&amp;", ")),ISNUMBER(SEARCH(", "&amp;$B212&amp;", ", ", "&amp;INDEX('Form Responses'!$R$1:$R$200,6)&amp;", "))),1,""))</f>
        <v/>
      </c>
      <c r="I212">
        <f>IF(Wizards!$A$7="","",IF(OR(ISNUMBER(SEARCH(", "&amp;$B212&amp;", ", ", "&amp;INDEX('Form Responses'!$I$1:$Q$200,7,$A212)&amp;", ")),ISNUMBER(SEARCH(", "&amp;$B212&amp;", ", ", "&amp;INDEX('Form Responses'!$R$1:$R$200,7)&amp;", "))),1,""))</f>
        <v/>
      </c>
      <c r="J212">
        <f>IF(Wizards!$A$8="","",IF(OR(ISNUMBER(SEARCH(", "&amp;$B212&amp;", ", ", "&amp;INDEX('Form Responses'!$I$1:$Q$200,8,$A212)&amp;", ")),ISNUMBER(SEARCH(", "&amp;$B212&amp;", ", ", "&amp;INDEX('Form Responses'!$R$1:$R$200,8)&amp;", "))),1,""))</f>
        <v/>
      </c>
      <c r="K212">
        <f>IF(Wizards!$A$9="","",IF(OR(ISNUMBER(SEARCH(", "&amp;$B212&amp;", ", ", "&amp;INDEX('Form Responses'!$I$1:$Q$200,9,$A212)&amp;", ")),ISNUMBER(SEARCH(", "&amp;$B212&amp;", ", ", "&amp;INDEX('Form Responses'!$R$1:$R$200,9)&amp;", "))),1,""))</f>
        <v/>
      </c>
      <c r="L212">
        <f>IF(Wizards!$A$10="","",IF(OR(ISNUMBER(SEARCH(", "&amp;$B212&amp;", ", ", "&amp;INDEX('Form Responses'!$I$1:$Q$200,10,$A212)&amp;", ")),ISNUMBER(SEARCH(", "&amp;$B212&amp;", ", ", "&amp;INDEX('Form Responses'!$R$1:$R$200,10)&amp;", "))),1,""))</f>
        <v/>
      </c>
      <c r="M212">
        <f>IF(Wizards!$A$11="","",IF(OR(ISNUMBER(SEARCH(", "&amp;$B212&amp;", ", ", "&amp;INDEX('Form Responses'!$I$1:$Q$200,11,$A212)&amp;", ")),ISNUMBER(SEARCH(", "&amp;$B212&amp;", ", ", "&amp;INDEX('Form Responses'!$R$1:$R$200,11)&amp;", "))),1,""))</f>
        <v/>
      </c>
      <c r="N212">
        <f>IF(Wizards!$A$12="","",IF(OR(ISNUMBER(SEARCH(", "&amp;$B212&amp;", ", ", "&amp;INDEX('Form Responses'!$I$1:$Q$200,12,$A212)&amp;", ")),ISNUMBER(SEARCH(", "&amp;$B212&amp;", ", ", "&amp;INDEX('Form Responses'!$R$1:$R$200,12)&amp;", "))),1,""))</f>
        <v/>
      </c>
      <c r="O212">
        <f>IF(Wizards!$A$13="","",IF(OR(ISNUMBER(SEARCH(", "&amp;$B212&amp;", ", ", "&amp;INDEX('Form Responses'!$I$1:$Q$200,13,$A212)&amp;", ")),ISNUMBER(SEARCH(", "&amp;$B212&amp;", ", ", "&amp;INDEX('Form Responses'!$R$1:$R$200,13)&amp;", "))),1,""))</f>
        <v/>
      </c>
      <c r="P212">
        <f>IF(Wizards!$A$14="","",IF(OR(ISNUMBER(SEARCH(", "&amp;$B212&amp;", ", ", "&amp;INDEX('Form Responses'!$I$1:$Q$200,14,$A212)&amp;", ")),ISNUMBER(SEARCH(", "&amp;$B212&amp;", ", ", "&amp;INDEX('Form Responses'!$R$1:$R$200,14)&amp;", "))),1,""))</f>
        <v/>
      </c>
      <c r="Q212">
        <f>IF(Wizards!$A$15="","",IF(OR(ISNUMBER(SEARCH(", "&amp;$B212&amp;", ", ", "&amp;INDEX('Form Responses'!$I$1:$Q$200,15,$A212)&amp;", ")),ISNUMBER(SEARCH(", "&amp;$B212&amp;", ", ", "&amp;INDEX('Form Responses'!$R$1:$R$200,15)&amp;", "))),1,""))</f>
        <v/>
      </c>
      <c r="R212">
        <f>IF(Wizards!$A$16="","",IF(OR(ISNUMBER(SEARCH(", "&amp;$B212&amp;", ", ", "&amp;INDEX('Form Responses'!$I$1:$Q$200,16,$A212)&amp;", ")),ISNUMBER(SEARCH(", "&amp;$B212&amp;", ", ", "&amp;INDEX('Form Responses'!$R$1:$R$200,16)&amp;", "))),1,""))</f>
        <v/>
      </c>
      <c r="S212">
        <f>IF(Wizards!$A$17="","",IF(OR(ISNUMBER(SEARCH(", "&amp;$B212&amp;", ", ", "&amp;INDEX('Form Responses'!$I$1:$Q$200,17,$A212)&amp;", ")),ISNUMBER(SEARCH(", "&amp;$B212&amp;", ", ", "&amp;INDEX('Form Responses'!$R$1:$R$200,17)&amp;", "))),1,""))</f>
        <v/>
      </c>
      <c r="T212">
        <f>IF(Wizards!$A$18="","",IF(OR(ISNUMBER(SEARCH(", "&amp;$B212&amp;", ", ", "&amp;INDEX('Form Responses'!$I$1:$Q$200,18,$A212)&amp;", ")),ISNUMBER(SEARCH(", "&amp;$B212&amp;", ", ", "&amp;INDEX('Form Responses'!$R$1:$R$200,18)&amp;", "))),1,""))</f>
        <v/>
      </c>
      <c r="U212">
        <f>IF(Wizards!$A$19="","",IF(OR(ISNUMBER(SEARCH(", "&amp;$B212&amp;", ", ", "&amp;INDEX('Form Responses'!$I$1:$Q$200,19,$A212)&amp;", ")),ISNUMBER(SEARCH(", "&amp;$B212&amp;", ", ", "&amp;INDEX('Form Responses'!$R$1:$R$200,19)&amp;", "))),1,""))</f>
        <v/>
      </c>
      <c r="V212">
        <f>IF(Wizards!$A$20="","",IF(OR(ISNUMBER(SEARCH(", "&amp;$B212&amp;", ", ", "&amp;INDEX('Form Responses'!$I$1:$Q$200,20,$A212)&amp;", ")),ISNUMBER(SEARCH(", "&amp;$B212&amp;", ", ", "&amp;INDEX('Form Responses'!$R$1:$R$200,20)&amp;", "))),1,""))</f>
        <v/>
      </c>
      <c r="W212">
        <f>IF(Wizards!$A$21="","",IF(OR(ISNUMBER(SEARCH(", "&amp;$B212&amp;", ", ", "&amp;INDEX('Form Responses'!$I$1:$Q$200,21,$A212)&amp;", ")),ISNUMBER(SEARCH(", "&amp;$B212&amp;", ", ", "&amp;INDEX('Form Responses'!$R$1:$R$200,21)&amp;", "))),1,""))</f>
        <v/>
      </c>
      <c r="X212">
        <f>IF(Wizards!$A$22="","",IF(OR(ISNUMBER(SEARCH(", "&amp;$B212&amp;", ", ", "&amp;INDEX('Form Responses'!$I$1:$Q$200,22,$A212)&amp;", ")),ISNUMBER(SEARCH(", "&amp;$B212&amp;", ", ", "&amp;INDEX('Form Responses'!$R$1:$R$200,22)&amp;", "))),1,""))</f>
        <v/>
      </c>
      <c r="Y212">
        <f>IF(Wizards!$A$23="","",IF(OR(ISNUMBER(SEARCH(", "&amp;$B212&amp;", ", ", "&amp;INDEX('Form Responses'!$I$1:$Q$200,23,$A212)&amp;", ")),ISNUMBER(SEARCH(", "&amp;$B212&amp;", ", ", "&amp;INDEX('Form Responses'!$R$1:$R$200,23)&amp;", "))),1,""))</f>
        <v/>
      </c>
      <c r="Z212">
        <f>IF(Wizards!$A$24="","",IF(OR(ISNUMBER(SEARCH(", "&amp;$B212&amp;", ", ", "&amp;INDEX('Form Responses'!$I$1:$Q$200,24,$A212)&amp;", ")),ISNUMBER(SEARCH(", "&amp;$B212&amp;", ", ", "&amp;INDEX('Form Responses'!$R$1:$R$200,24)&amp;", "))),1,""))</f>
        <v/>
      </c>
      <c r="AA212">
        <f>IF(Wizards!$A$25="","",IF(OR(ISNUMBER(SEARCH(", "&amp;$B212&amp;", ", ", "&amp;INDEX('Form Responses'!$I$1:$Q$200,25,$A212)&amp;", ")),ISNUMBER(SEARCH(", "&amp;$B212&amp;", ", ", "&amp;INDEX('Form Responses'!$R$1:$R$200,25)&amp;", "))),1,""))</f>
        <v/>
      </c>
      <c r="AB212">
        <f>IF(D212=1,", "&amp;D$1,"")</f>
        <v/>
      </c>
      <c r="AC212">
        <f>IF(E212=1,", "&amp;E$1,"")</f>
        <v/>
      </c>
      <c r="AD212">
        <f>IF(F212=1,", "&amp;F$1,"")</f>
        <v/>
      </c>
      <c r="AE212">
        <f>IF(G212=1,", "&amp;G$1,"")</f>
        <v/>
      </c>
      <c r="AF212">
        <f>IF(H212=1,", "&amp;H$1,"")</f>
        <v/>
      </c>
      <c r="AG212">
        <f>IF(I212=1,", "&amp;I$1,"")</f>
        <v/>
      </c>
      <c r="AH212">
        <f>IF(J212=1,", "&amp;J$1,"")</f>
        <v/>
      </c>
      <c r="AI212">
        <f>IF(K212=1,", "&amp;K$1,"")</f>
        <v/>
      </c>
      <c r="AJ212">
        <f>IF(L212=1,", "&amp;L$1,"")</f>
        <v/>
      </c>
      <c r="AK212">
        <f>IF(M212=1,", "&amp;M$1,"")</f>
        <v/>
      </c>
      <c r="AL212">
        <f>IF(N212=1,", "&amp;N$1,"")</f>
        <v/>
      </c>
      <c r="AM212">
        <f>IF(O212=1,", "&amp;O$1,"")</f>
        <v/>
      </c>
      <c r="AN212">
        <f>IF(P212=1,", "&amp;P$1,"")</f>
        <v/>
      </c>
      <c r="AO212">
        <f>IF(Q212=1,", "&amp;Q$1,"")</f>
        <v/>
      </c>
      <c r="AP212">
        <f>IF(R212=1,", "&amp;R$1,"")</f>
        <v/>
      </c>
      <c r="AQ212">
        <f>IF(S212=1,", "&amp;S$1,"")</f>
        <v/>
      </c>
      <c r="AR212">
        <f>IF(T212=1,", "&amp;T$1,"")</f>
        <v/>
      </c>
      <c r="AS212">
        <f>IF(U212=1,", "&amp;U$1,"")</f>
        <v/>
      </c>
      <c r="AT212">
        <f>IF(V212=1,", "&amp;V$1,"")</f>
        <v/>
      </c>
      <c r="AU212">
        <f>IF(W212=1,", "&amp;W$1,"")</f>
        <v/>
      </c>
      <c r="AV212">
        <f>IF(X212=1,", "&amp;X$1,"")</f>
        <v/>
      </c>
      <c r="AW212">
        <f>IF(Y212=1,", "&amp;Y$1,"")</f>
        <v/>
      </c>
      <c r="AX212">
        <f>IF(Z212=1,", "&amp;Z$1,"")</f>
        <v/>
      </c>
      <c r="AY212">
        <f>IF(AA212=1,", "&amp;AA$1,"")</f>
        <v/>
      </c>
      <c r="AZ212">
        <f>MID($AB212&amp;$AC212&amp;$AD212&amp;$AE212&amp;$AF212&amp;$AG212&amp;$AH212&amp;$AI212&amp;$AJ212&amp;$AK212&amp;$AL212&amp;$AM212&amp;$AN212&amp;$AO212&amp;$AP212&amp;$AQ212&amp;$AR212&amp;$AS212&amp;$AT212&amp;$AU212&amp;$AV212&amp;$AW212&amp;$AX212&amp;$AY212,3,32767)</f>
        <v/>
      </c>
      <c r="BA212">
        <f>COUNT($D212:$AA212)</f>
        <v/>
      </c>
    </row>
    <row r="213">
      <c r="A213" t="n">
        <v>5</v>
      </c>
      <c r="B213" t="inlineStr">
        <is>
          <t>Danse Macabre</t>
        </is>
      </c>
      <c r="C213" t="inlineStr">
        <is>
          <t>Necromancy</t>
        </is>
      </c>
      <c r="D213">
        <f>IF(Wizards!$A$2="","",IF(OR(ISNUMBER(SEARCH(", "&amp;$B213&amp;", ", ", "&amp;INDEX('Form Responses'!$I$1:$Q$200,2,$A213)&amp;", ")),ISNUMBER(SEARCH(", "&amp;$B213&amp;", ", ", "&amp;INDEX('Form Responses'!$R$1:$R$200,2)&amp;", "))),1,""))</f>
        <v/>
      </c>
      <c r="E213">
        <f>IF(Wizards!$A$3="","",IF(OR(ISNUMBER(SEARCH(", "&amp;$B213&amp;", ", ", "&amp;INDEX('Form Responses'!$I$1:$Q$200,3,$A213)&amp;", ")),ISNUMBER(SEARCH(", "&amp;$B213&amp;", ", ", "&amp;INDEX('Form Responses'!$R$1:$R$200,3)&amp;", "))),1,""))</f>
        <v/>
      </c>
      <c r="F213">
        <f>IF(Wizards!$A$4="","",IF(OR(ISNUMBER(SEARCH(", "&amp;$B213&amp;", ", ", "&amp;INDEX('Form Responses'!$I$1:$Q$200,4,$A213)&amp;", ")),ISNUMBER(SEARCH(", "&amp;$B213&amp;", ", ", "&amp;INDEX('Form Responses'!$R$1:$R$200,4)&amp;", "))),1,""))</f>
        <v/>
      </c>
      <c r="G213">
        <f>IF(Wizards!$A$5="","",IF(OR(ISNUMBER(SEARCH(", "&amp;$B213&amp;", ", ", "&amp;INDEX('Form Responses'!$I$1:$Q$200,5,$A213)&amp;", ")),ISNUMBER(SEARCH(", "&amp;$B213&amp;", ", ", "&amp;INDEX('Form Responses'!$R$1:$R$200,5)&amp;", "))),1,""))</f>
        <v/>
      </c>
      <c r="H213">
        <f>IF(Wizards!$A$6="","",IF(OR(ISNUMBER(SEARCH(", "&amp;$B213&amp;", ", ", "&amp;INDEX('Form Responses'!$I$1:$Q$200,6,$A213)&amp;", ")),ISNUMBER(SEARCH(", "&amp;$B213&amp;", ", ", "&amp;INDEX('Form Responses'!$R$1:$R$200,6)&amp;", "))),1,""))</f>
        <v/>
      </c>
      <c r="I213">
        <f>IF(Wizards!$A$7="","",IF(OR(ISNUMBER(SEARCH(", "&amp;$B213&amp;", ", ", "&amp;INDEX('Form Responses'!$I$1:$Q$200,7,$A213)&amp;", ")),ISNUMBER(SEARCH(", "&amp;$B213&amp;", ", ", "&amp;INDEX('Form Responses'!$R$1:$R$200,7)&amp;", "))),1,""))</f>
        <v/>
      </c>
      <c r="J213">
        <f>IF(Wizards!$A$8="","",IF(OR(ISNUMBER(SEARCH(", "&amp;$B213&amp;", ", ", "&amp;INDEX('Form Responses'!$I$1:$Q$200,8,$A213)&amp;", ")),ISNUMBER(SEARCH(", "&amp;$B213&amp;", ", ", "&amp;INDEX('Form Responses'!$R$1:$R$200,8)&amp;", "))),1,""))</f>
        <v/>
      </c>
      <c r="K213">
        <f>IF(Wizards!$A$9="","",IF(OR(ISNUMBER(SEARCH(", "&amp;$B213&amp;", ", ", "&amp;INDEX('Form Responses'!$I$1:$Q$200,9,$A213)&amp;", ")),ISNUMBER(SEARCH(", "&amp;$B213&amp;", ", ", "&amp;INDEX('Form Responses'!$R$1:$R$200,9)&amp;", "))),1,""))</f>
        <v/>
      </c>
      <c r="L213">
        <f>IF(Wizards!$A$10="","",IF(OR(ISNUMBER(SEARCH(", "&amp;$B213&amp;", ", ", "&amp;INDEX('Form Responses'!$I$1:$Q$200,10,$A213)&amp;", ")),ISNUMBER(SEARCH(", "&amp;$B213&amp;", ", ", "&amp;INDEX('Form Responses'!$R$1:$R$200,10)&amp;", "))),1,""))</f>
        <v/>
      </c>
      <c r="M213">
        <f>IF(Wizards!$A$11="","",IF(OR(ISNUMBER(SEARCH(", "&amp;$B213&amp;", ", ", "&amp;INDEX('Form Responses'!$I$1:$Q$200,11,$A213)&amp;", ")),ISNUMBER(SEARCH(", "&amp;$B213&amp;", ", ", "&amp;INDEX('Form Responses'!$R$1:$R$200,11)&amp;", "))),1,""))</f>
        <v/>
      </c>
      <c r="N213">
        <f>IF(Wizards!$A$12="","",IF(OR(ISNUMBER(SEARCH(", "&amp;$B213&amp;", ", ", "&amp;INDEX('Form Responses'!$I$1:$Q$200,12,$A213)&amp;", ")),ISNUMBER(SEARCH(", "&amp;$B213&amp;", ", ", "&amp;INDEX('Form Responses'!$R$1:$R$200,12)&amp;", "))),1,""))</f>
        <v/>
      </c>
      <c r="O213">
        <f>IF(Wizards!$A$13="","",IF(OR(ISNUMBER(SEARCH(", "&amp;$B213&amp;", ", ", "&amp;INDEX('Form Responses'!$I$1:$Q$200,13,$A213)&amp;", ")),ISNUMBER(SEARCH(", "&amp;$B213&amp;", ", ", "&amp;INDEX('Form Responses'!$R$1:$R$200,13)&amp;", "))),1,""))</f>
        <v/>
      </c>
      <c r="P213">
        <f>IF(Wizards!$A$14="","",IF(OR(ISNUMBER(SEARCH(", "&amp;$B213&amp;", ", ", "&amp;INDEX('Form Responses'!$I$1:$Q$200,14,$A213)&amp;", ")),ISNUMBER(SEARCH(", "&amp;$B213&amp;", ", ", "&amp;INDEX('Form Responses'!$R$1:$R$200,14)&amp;", "))),1,""))</f>
        <v/>
      </c>
      <c r="Q213">
        <f>IF(Wizards!$A$15="","",IF(OR(ISNUMBER(SEARCH(", "&amp;$B213&amp;", ", ", "&amp;INDEX('Form Responses'!$I$1:$Q$200,15,$A213)&amp;", ")),ISNUMBER(SEARCH(", "&amp;$B213&amp;", ", ", "&amp;INDEX('Form Responses'!$R$1:$R$200,15)&amp;", "))),1,""))</f>
        <v/>
      </c>
      <c r="R213">
        <f>IF(Wizards!$A$16="","",IF(OR(ISNUMBER(SEARCH(", "&amp;$B213&amp;", ", ", "&amp;INDEX('Form Responses'!$I$1:$Q$200,16,$A213)&amp;", ")),ISNUMBER(SEARCH(", "&amp;$B213&amp;", ", ", "&amp;INDEX('Form Responses'!$R$1:$R$200,16)&amp;", "))),1,""))</f>
        <v/>
      </c>
      <c r="S213">
        <f>IF(Wizards!$A$17="","",IF(OR(ISNUMBER(SEARCH(", "&amp;$B213&amp;", ", ", "&amp;INDEX('Form Responses'!$I$1:$Q$200,17,$A213)&amp;", ")),ISNUMBER(SEARCH(", "&amp;$B213&amp;", ", ", "&amp;INDEX('Form Responses'!$R$1:$R$200,17)&amp;", "))),1,""))</f>
        <v/>
      </c>
      <c r="T213">
        <f>IF(Wizards!$A$18="","",IF(OR(ISNUMBER(SEARCH(", "&amp;$B213&amp;", ", ", "&amp;INDEX('Form Responses'!$I$1:$Q$200,18,$A213)&amp;", ")),ISNUMBER(SEARCH(", "&amp;$B213&amp;", ", ", "&amp;INDEX('Form Responses'!$R$1:$R$200,18)&amp;", "))),1,""))</f>
        <v/>
      </c>
      <c r="U213">
        <f>IF(Wizards!$A$19="","",IF(OR(ISNUMBER(SEARCH(", "&amp;$B213&amp;", ", ", "&amp;INDEX('Form Responses'!$I$1:$Q$200,19,$A213)&amp;", ")),ISNUMBER(SEARCH(", "&amp;$B213&amp;", ", ", "&amp;INDEX('Form Responses'!$R$1:$R$200,19)&amp;", "))),1,""))</f>
        <v/>
      </c>
      <c r="V213">
        <f>IF(Wizards!$A$20="","",IF(OR(ISNUMBER(SEARCH(", "&amp;$B213&amp;", ", ", "&amp;INDEX('Form Responses'!$I$1:$Q$200,20,$A213)&amp;", ")),ISNUMBER(SEARCH(", "&amp;$B213&amp;", ", ", "&amp;INDEX('Form Responses'!$R$1:$R$200,20)&amp;", "))),1,""))</f>
        <v/>
      </c>
      <c r="W213">
        <f>IF(Wizards!$A$21="","",IF(OR(ISNUMBER(SEARCH(", "&amp;$B213&amp;", ", ", "&amp;INDEX('Form Responses'!$I$1:$Q$200,21,$A213)&amp;", ")),ISNUMBER(SEARCH(", "&amp;$B213&amp;", ", ", "&amp;INDEX('Form Responses'!$R$1:$R$200,21)&amp;", "))),1,""))</f>
        <v/>
      </c>
      <c r="X213">
        <f>IF(Wizards!$A$22="","",IF(OR(ISNUMBER(SEARCH(", "&amp;$B213&amp;", ", ", "&amp;INDEX('Form Responses'!$I$1:$Q$200,22,$A213)&amp;", ")),ISNUMBER(SEARCH(", "&amp;$B213&amp;", ", ", "&amp;INDEX('Form Responses'!$R$1:$R$200,22)&amp;", "))),1,""))</f>
        <v/>
      </c>
      <c r="Y213">
        <f>IF(Wizards!$A$23="","",IF(OR(ISNUMBER(SEARCH(", "&amp;$B213&amp;", ", ", "&amp;INDEX('Form Responses'!$I$1:$Q$200,23,$A213)&amp;", ")),ISNUMBER(SEARCH(", "&amp;$B213&amp;", ", ", "&amp;INDEX('Form Responses'!$R$1:$R$200,23)&amp;", "))),1,""))</f>
        <v/>
      </c>
      <c r="Z213">
        <f>IF(Wizards!$A$24="","",IF(OR(ISNUMBER(SEARCH(", "&amp;$B213&amp;", ", ", "&amp;INDEX('Form Responses'!$I$1:$Q$200,24,$A213)&amp;", ")),ISNUMBER(SEARCH(", "&amp;$B213&amp;", ", ", "&amp;INDEX('Form Responses'!$R$1:$R$200,24)&amp;", "))),1,""))</f>
        <v/>
      </c>
      <c r="AA213">
        <f>IF(Wizards!$A$25="","",IF(OR(ISNUMBER(SEARCH(", "&amp;$B213&amp;", ", ", "&amp;INDEX('Form Responses'!$I$1:$Q$200,25,$A213)&amp;", ")),ISNUMBER(SEARCH(", "&amp;$B213&amp;", ", ", "&amp;INDEX('Form Responses'!$R$1:$R$200,25)&amp;", "))),1,""))</f>
        <v/>
      </c>
      <c r="AB213">
        <f>IF(D213=1,", "&amp;D$1,"")</f>
        <v/>
      </c>
      <c r="AC213">
        <f>IF(E213=1,", "&amp;E$1,"")</f>
        <v/>
      </c>
      <c r="AD213">
        <f>IF(F213=1,", "&amp;F$1,"")</f>
        <v/>
      </c>
      <c r="AE213">
        <f>IF(G213=1,", "&amp;G$1,"")</f>
        <v/>
      </c>
      <c r="AF213">
        <f>IF(H213=1,", "&amp;H$1,"")</f>
        <v/>
      </c>
      <c r="AG213">
        <f>IF(I213=1,", "&amp;I$1,"")</f>
        <v/>
      </c>
      <c r="AH213">
        <f>IF(J213=1,", "&amp;J$1,"")</f>
        <v/>
      </c>
      <c r="AI213">
        <f>IF(K213=1,", "&amp;K$1,"")</f>
        <v/>
      </c>
      <c r="AJ213">
        <f>IF(L213=1,", "&amp;L$1,"")</f>
        <v/>
      </c>
      <c r="AK213">
        <f>IF(M213=1,", "&amp;M$1,"")</f>
        <v/>
      </c>
      <c r="AL213">
        <f>IF(N213=1,", "&amp;N$1,"")</f>
        <v/>
      </c>
      <c r="AM213">
        <f>IF(O213=1,", "&amp;O$1,"")</f>
        <v/>
      </c>
      <c r="AN213">
        <f>IF(P213=1,", "&amp;P$1,"")</f>
        <v/>
      </c>
      <c r="AO213">
        <f>IF(Q213=1,", "&amp;Q$1,"")</f>
        <v/>
      </c>
      <c r="AP213">
        <f>IF(R213=1,", "&amp;R$1,"")</f>
        <v/>
      </c>
      <c r="AQ213">
        <f>IF(S213=1,", "&amp;S$1,"")</f>
        <v/>
      </c>
      <c r="AR213">
        <f>IF(T213=1,", "&amp;T$1,"")</f>
        <v/>
      </c>
      <c r="AS213">
        <f>IF(U213=1,", "&amp;U$1,"")</f>
        <v/>
      </c>
      <c r="AT213">
        <f>IF(V213=1,", "&amp;V$1,"")</f>
        <v/>
      </c>
      <c r="AU213">
        <f>IF(W213=1,", "&amp;W$1,"")</f>
        <v/>
      </c>
      <c r="AV213">
        <f>IF(X213=1,", "&amp;X$1,"")</f>
        <v/>
      </c>
      <c r="AW213">
        <f>IF(Y213=1,", "&amp;Y$1,"")</f>
        <v/>
      </c>
      <c r="AX213">
        <f>IF(Z213=1,", "&amp;Z$1,"")</f>
        <v/>
      </c>
      <c r="AY213">
        <f>IF(AA213=1,", "&amp;AA$1,"")</f>
        <v/>
      </c>
      <c r="AZ213">
        <f>MID($AB213&amp;$AC213&amp;$AD213&amp;$AE213&amp;$AF213&amp;$AG213&amp;$AH213&amp;$AI213&amp;$AJ213&amp;$AK213&amp;$AL213&amp;$AM213&amp;$AN213&amp;$AO213&amp;$AP213&amp;$AQ213&amp;$AR213&amp;$AS213&amp;$AT213&amp;$AU213&amp;$AV213&amp;$AW213&amp;$AX213&amp;$AY213,3,32767)</f>
        <v/>
      </c>
      <c r="BA213">
        <f>COUNT($D213:$AA213)</f>
        <v/>
      </c>
    </row>
    <row r="214">
      <c r="A214" t="n">
        <v>5</v>
      </c>
      <c r="B214" t="inlineStr">
        <is>
          <t>Dawn</t>
        </is>
      </c>
      <c r="C214" t="inlineStr">
        <is>
          <t>Evocation</t>
        </is>
      </c>
      <c r="D214">
        <f>IF(Wizards!$A$2="","",IF(OR(ISNUMBER(SEARCH(", "&amp;$B214&amp;", ", ", "&amp;INDEX('Form Responses'!$I$1:$Q$200,2,$A214)&amp;", ")),ISNUMBER(SEARCH(", "&amp;$B214&amp;", ", ", "&amp;INDEX('Form Responses'!$R$1:$R$200,2)&amp;", "))),1,""))</f>
        <v/>
      </c>
      <c r="E214">
        <f>IF(Wizards!$A$3="","",IF(OR(ISNUMBER(SEARCH(", "&amp;$B214&amp;", ", ", "&amp;INDEX('Form Responses'!$I$1:$Q$200,3,$A214)&amp;", ")),ISNUMBER(SEARCH(", "&amp;$B214&amp;", ", ", "&amp;INDEX('Form Responses'!$R$1:$R$200,3)&amp;", "))),1,""))</f>
        <v/>
      </c>
      <c r="F214">
        <f>IF(Wizards!$A$4="","",IF(OR(ISNUMBER(SEARCH(", "&amp;$B214&amp;", ", ", "&amp;INDEX('Form Responses'!$I$1:$Q$200,4,$A214)&amp;", ")),ISNUMBER(SEARCH(", "&amp;$B214&amp;", ", ", "&amp;INDEX('Form Responses'!$R$1:$R$200,4)&amp;", "))),1,""))</f>
        <v/>
      </c>
      <c r="G214">
        <f>IF(Wizards!$A$5="","",IF(OR(ISNUMBER(SEARCH(", "&amp;$B214&amp;", ", ", "&amp;INDEX('Form Responses'!$I$1:$Q$200,5,$A214)&amp;", ")),ISNUMBER(SEARCH(", "&amp;$B214&amp;", ", ", "&amp;INDEX('Form Responses'!$R$1:$R$200,5)&amp;", "))),1,""))</f>
        <v/>
      </c>
      <c r="H214">
        <f>IF(Wizards!$A$6="","",IF(OR(ISNUMBER(SEARCH(", "&amp;$B214&amp;", ", ", "&amp;INDEX('Form Responses'!$I$1:$Q$200,6,$A214)&amp;", ")),ISNUMBER(SEARCH(", "&amp;$B214&amp;", ", ", "&amp;INDEX('Form Responses'!$R$1:$R$200,6)&amp;", "))),1,""))</f>
        <v/>
      </c>
      <c r="I214">
        <f>IF(Wizards!$A$7="","",IF(OR(ISNUMBER(SEARCH(", "&amp;$B214&amp;", ", ", "&amp;INDEX('Form Responses'!$I$1:$Q$200,7,$A214)&amp;", ")),ISNUMBER(SEARCH(", "&amp;$B214&amp;", ", ", "&amp;INDEX('Form Responses'!$R$1:$R$200,7)&amp;", "))),1,""))</f>
        <v/>
      </c>
      <c r="J214">
        <f>IF(Wizards!$A$8="","",IF(OR(ISNUMBER(SEARCH(", "&amp;$B214&amp;", ", ", "&amp;INDEX('Form Responses'!$I$1:$Q$200,8,$A214)&amp;", ")),ISNUMBER(SEARCH(", "&amp;$B214&amp;", ", ", "&amp;INDEX('Form Responses'!$R$1:$R$200,8)&amp;", "))),1,""))</f>
        <v/>
      </c>
      <c r="K214">
        <f>IF(Wizards!$A$9="","",IF(OR(ISNUMBER(SEARCH(", "&amp;$B214&amp;", ", ", "&amp;INDEX('Form Responses'!$I$1:$Q$200,9,$A214)&amp;", ")),ISNUMBER(SEARCH(", "&amp;$B214&amp;", ", ", "&amp;INDEX('Form Responses'!$R$1:$R$200,9)&amp;", "))),1,""))</f>
        <v/>
      </c>
      <c r="L214">
        <f>IF(Wizards!$A$10="","",IF(OR(ISNUMBER(SEARCH(", "&amp;$B214&amp;", ", ", "&amp;INDEX('Form Responses'!$I$1:$Q$200,10,$A214)&amp;", ")),ISNUMBER(SEARCH(", "&amp;$B214&amp;", ", ", "&amp;INDEX('Form Responses'!$R$1:$R$200,10)&amp;", "))),1,""))</f>
        <v/>
      </c>
      <c r="M214">
        <f>IF(Wizards!$A$11="","",IF(OR(ISNUMBER(SEARCH(", "&amp;$B214&amp;", ", ", "&amp;INDEX('Form Responses'!$I$1:$Q$200,11,$A214)&amp;", ")),ISNUMBER(SEARCH(", "&amp;$B214&amp;", ", ", "&amp;INDEX('Form Responses'!$R$1:$R$200,11)&amp;", "))),1,""))</f>
        <v/>
      </c>
      <c r="N214">
        <f>IF(Wizards!$A$12="","",IF(OR(ISNUMBER(SEARCH(", "&amp;$B214&amp;", ", ", "&amp;INDEX('Form Responses'!$I$1:$Q$200,12,$A214)&amp;", ")),ISNUMBER(SEARCH(", "&amp;$B214&amp;", ", ", "&amp;INDEX('Form Responses'!$R$1:$R$200,12)&amp;", "))),1,""))</f>
        <v/>
      </c>
      <c r="O214">
        <f>IF(Wizards!$A$13="","",IF(OR(ISNUMBER(SEARCH(", "&amp;$B214&amp;", ", ", "&amp;INDEX('Form Responses'!$I$1:$Q$200,13,$A214)&amp;", ")),ISNUMBER(SEARCH(", "&amp;$B214&amp;", ", ", "&amp;INDEX('Form Responses'!$R$1:$R$200,13)&amp;", "))),1,""))</f>
        <v/>
      </c>
      <c r="P214">
        <f>IF(Wizards!$A$14="","",IF(OR(ISNUMBER(SEARCH(", "&amp;$B214&amp;", ", ", "&amp;INDEX('Form Responses'!$I$1:$Q$200,14,$A214)&amp;", ")),ISNUMBER(SEARCH(", "&amp;$B214&amp;", ", ", "&amp;INDEX('Form Responses'!$R$1:$R$200,14)&amp;", "))),1,""))</f>
        <v/>
      </c>
      <c r="Q214">
        <f>IF(Wizards!$A$15="","",IF(OR(ISNUMBER(SEARCH(", "&amp;$B214&amp;", ", ", "&amp;INDEX('Form Responses'!$I$1:$Q$200,15,$A214)&amp;", ")),ISNUMBER(SEARCH(", "&amp;$B214&amp;", ", ", "&amp;INDEX('Form Responses'!$R$1:$R$200,15)&amp;", "))),1,""))</f>
        <v/>
      </c>
      <c r="R214">
        <f>IF(Wizards!$A$16="","",IF(OR(ISNUMBER(SEARCH(", "&amp;$B214&amp;", ", ", "&amp;INDEX('Form Responses'!$I$1:$Q$200,16,$A214)&amp;", ")),ISNUMBER(SEARCH(", "&amp;$B214&amp;", ", ", "&amp;INDEX('Form Responses'!$R$1:$R$200,16)&amp;", "))),1,""))</f>
        <v/>
      </c>
      <c r="S214">
        <f>IF(Wizards!$A$17="","",IF(OR(ISNUMBER(SEARCH(", "&amp;$B214&amp;", ", ", "&amp;INDEX('Form Responses'!$I$1:$Q$200,17,$A214)&amp;", ")),ISNUMBER(SEARCH(", "&amp;$B214&amp;", ", ", "&amp;INDEX('Form Responses'!$R$1:$R$200,17)&amp;", "))),1,""))</f>
        <v/>
      </c>
      <c r="T214">
        <f>IF(Wizards!$A$18="","",IF(OR(ISNUMBER(SEARCH(", "&amp;$B214&amp;", ", ", "&amp;INDEX('Form Responses'!$I$1:$Q$200,18,$A214)&amp;", ")),ISNUMBER(SEARCH(", "&amp;$B214&amp;", ", ", "&amp;INDEX('Form Responses'!$R$1:$R$200,18)&amp;", "))),1,""))</f>
        <v/>
      </c>
      <c r="U214">
        <f>IF(Wizards!$A$19="","",IF(OR(ISNUMBER(SEARCH(", "&amp;$B214&amp;", ", ", "&amp;INDEX('Form Responses'!$I$1:$Q$200,19,$A214)&amp;", ")),ISNUMBER(SEARCH(", "&amp;$B214&amp;", ", ", "&amp;INDEX('Form Responses'!$R$1:$R$200,19)&amp;", "))),1,""))</f>
        <v/>
      </c>
      <c r="V214">
        <f>IF(Wizards!$A$20="","",IF(OR(ISNUMBER(SEARCH(", "&amp;$B214&amp;", ", ", "&amp;INDEX('Form Responses'!$I$1:$Q$200,20,$A214)&amp;", ")),ISNUMBER(SEARCH(", "&amp;$B214&amp;", ", ", "&amp;INDEX('Form Responses'!$R$1:$R$200,20)&amp;", "))),1,""))</f>
        <v/>
      </c>
      <c r="W214">
        <f>IF(Wizards!$A$21="","",IF(OR(ISNUMBER(SEARCH(", "&amp;$B214&amp;", ", ", "&amp;INDEX('Form Responses'!$I$1:$Q$200,21,$A214)&amp;", ")),ISNUMBER(SEARCH(", "&amp;$B214&amp;", ", ", "&amp;INDEX('Form Responses'!$R$1:$R$200,21)&amp;", "))),1,""))</f>
        <v/>
      </c>
      <c r="X214">
        <f>IF(Wizards!$A$22="","",IF(OR(ISNUMBER(SEARCH(", "&amp;$B214&amp;", ", ", "&amp;INDEX('Form Responses'!$I$1:$Q$200,22,$A214)&amp;", ")),ISNUMBER(SEARCH(", "&amp;$B214&amp;", ", ", "&amp;INDEX('Form Responses'!$R$1:$R$200,22)&amp;", "))),1,""))</f>
        <v/>
      </c>
      <c r="Y214">
        <f>IF(Wizards!$A$23="","",IF(OR(ISNUMBER(SEARCH(", "&amp;$B214&amp;", ", ", "&amp;INDEX('Form Responses'!$I$1:$Q$200,23,$A214)&amp;", ")),ISNUMBER(SEARCH(", "&amp;$B214&amp;", ", ", "&amp;INDEX('Form Responses'!$R$1:$R$200,23)&amp;", "))),1,""))</f>
        <v/>
      </c>
      <c r="Z214">
        <f>IF(Wizards!$A$24="","",IF(OR(ISNUMBER(SEARCH(", "&amp;$B214&amp;", ", ", "&amp;INDEX('Form Responses'!$I$1:$Q$200,24,$A214)&amp;", ")),ISNUMBER(SEARCH(", "&amp;$B214&amp;", ", ", "&amp;INDEX('Form Responses'!$R$1:$R$200,24)&amp;", "))),1,""))</f>
        <v/>
      </c>
      <c r="AA214">
        <f>IF(Wizards!$A$25="","",IF(OR(ISNUMBER(SEARCH(", "&amp;$B214&amp;", ", ", "&amp;INDEX('Form Responses'!$I$1:$Q$200,25,$A214)&amp;", ")),ISNUMBER(SEARCH(", "&amp;$B214&amp;", ", ", "&amp;INDEX('Form Responses'!$R$1:$R$200,25)&amp;", "))),1,""))</f>
        <v/>
      </c>
      <c r="AB214">
        <f>IF(D214=1,", "&amp;D$1,"")</f>
        <v/>
      </c>
      <c r="AC214">
        <f>IF(E214=1,", "&amp;E$1,"")</f>
        <v/>
      </c>
      <c r="AD214">
        <f>IF(F214=1,", "&amp;F$1,"")</f>
        <v/>
      </c>
      <c r="AE214">
        <f>IF(G214=1,", "&amp;G$1,"")</f>
        <v/>
      </c>
      <c r="AF214">
        <f>IF(H214=1,", "&amp;H$1,"")</f>
        <v/>
      </c>
      <c r="AG214">
        <f>IF(I214=1,", "&amp;I$1,"")</f>
        <v/>
      </c>
      <c r="AH214">
        <f>IF(J214=1,", "&amp;J$1,"")</f>
        <v/>
      </c>
      <c r="AI214">
        <f>IF(K214=1,", "&amp;K$1,"")</f>
        <v/>
      </c>
      <c r="AJ214">
        <f>IF(L214=1,", "&amp;L$1,"")</f>
        <v/>
      </c>
      <c r="AK214">
        <f>IF(M214=1,", "&amp;M$1,"")</f>
        <v/>
      </c>
      <c r="AL214">
        <f>IF(N214=1,", "&amp;N$1,"")</f>
        <v/>
      </c>
      <c r="AM214">
        <f>IF(O214=1,", "&amp;O$1,"")</f>
        <v/>
      </c>
      <c r="AN214">
        <f>IF(P214=1,", "&amp;P$1,"")</f>
        <v/>
      </c>
      <c r="AO214">
        <f>IF(Q214=1,", "&amp;Q$1,"")</f>
        <v/>
      </c>
      <c r="AP214">
        <f>IF(R214=1,", "&amp;R$1,"")</f>
        <v/>
      </c>
      <c r="AQ214">
        <f>IF(S214=1,", "&amp;S$1,"")</f>
        <v/>
      </c>
      <c r="AR214">
        <f>IF(T214=1,", "&amp;T$1,"")</f>
        <v/>
      </c>
      <c r="AS214">
        <f>IF(U214=1,", "&amp;U$1,"")</f>
        <v/>
      </c>
      <c r="AT214">
        <f>IF(V214=1,", "&amp;V$1,"")</f>
        <v/>
      </c>
      <c r="AU214">
        <f>IF(W214=1,", "&amp;W$1,"")</f>
        <v/>
      </c>
      <c r="AV214">
        <f>IF(X214=1,", "&amp;X$1,"")</f>
        <v/>
      </c>
      <c r="AW214">
        <f>IF(Y214=1,", "&amp;Y$1,"")</f>
        <v/>
      </c>
      <c r="AX214">
        <f>IF(Z214=1,", "&amp;Z$1,"")</f>
        <v/>
      </c>
      <c r="AY214">
        <f>IF(AA214=1,", "&amp;AA$1,"")</f>
        <v/>
      </c>
      <c r="AZ214">
        <f>MID($AB214&amp;$AC214&amp;$AD214&amp;$AE214&amp;$AF214&amp;$AG214&amp;$AH214&amp;$AI214&amp;$AJ214&amp;$AK214&amp;$AL214&amp;$AM214&amp;$AN214&amp;$AO214&amp;$AP214&amp;$AQ214&amp;$AR214&amp;$AS214&amp;$AT214&amp;$AU214&amp;$AV214&amp;$AW214&amp;$AX214&amp;$AY214,3,32767)</f>
        <v/>
      </c>
      <c r="BA214">
        <f>COUNT($D214:$AA214)</f>
        <v/>
      </c>
    </row>
    <row r="215">
      <c r="A215" t="n">
        <v>5</v>
      </c>
      <c r="B215" t="inlineStr">
        <is>
          <t>Dominate Person</t>
        </is>
      </c>
      <c r="C215" t="inlineStr">
        <is>
          <t>Enchantment</t>
        </is>
      </c>
      <c r="D215">
        <f>IF(Wizards!$A$2="","",IF(OR(ISNUMBER(SEARCH(", "&amp;$B215&amp;", ", ", "&amp;INDEX('Form Responses'!$I$1:$Q$200,2,$A215)&amp;", ")),ISNUMBER(SEARCH(", "&amp;$B215&amp;", ", ", "&amp;INDEX('Form Responses'!$R$1:$R$200,2)&amp;", "))),1,""))</f>
        <v/>
      </c>
      <c r="E215">
        <f>IF(Wizards!$A$3="","",IF(OR(ISNUMBER(SEARCH(", "&amp;$B215&amp;", ", ", "&amp;INDEX('Form Responses'!$I$1:$Q$200,3,$A215)&amp;", ")),ISNUMBER(SEARCH(", "&amp;$B215&amp;", ", ", "&amp;INDEX('Form Responses'!$R$1:$R$200,3)&amp;", "))),1,""))</f>
        <v/>
      </c>
      <c r="F215">
        <f>IF(Wizards!$A$4="","",IF(OR(ISNUMBER(SEARCH(", "&amp;$B215&amp;", ", ", "&amp;INDEX('Form Responses'!$I$1:$Q$200,4,$A215)&amp;", ")),ISNUMBER(SEARCH(", "&amp;$B215&amp;", ", ", "&amp;INDEX('Form Responses'!$R$1:$R$200,4)&amp;", "))),1,""))</f>
        <v/>
      </c>
      <c r="G215">
        <f>IF(Wizards!$A$5="","",IF(OR(ISNUMBER(SEARCH(", "&amp;$B215&amp;", ", ", "&amp;INDEX('Form Responses'!$I$1:$Q$200,5,$A215)&amp;", ")),ISNUMBER(SEARCH(", "&amp;$B215&amp;", ", ", "&amp;INDEX('Form Responses'!$R$1:$R$200,5)&amp;", "))),1,""))</f>
        <v/>
      </c>
      <c r="H215">
        <f>IF(Wizards!$A$6="","",IF(OR(ISNUMBER(SEARCH(", "&amp;$B215&amp;", ", ", "&amp;INDEX('Form Responses'!$I$1:$Q$200,6,$A215)&amp;", ")),ISNUMBER(SEARCH(", "&amp;$B215&amp;", ", ", "&amp;INDEX('Form Responses'!$R$1:$R$200,6)&amp;", "))),1,""))</f>
        <v/>
      </c>
      <c r="I215">
        <f>IF(Wizards!$A$7="","",IF(OR(ISNUMBER(SEARCH(", "&amp;$B215&amp;", ", ", "&amp;INDEX('Form Responses'!$I$1:$Q$200,7,$A215)&amp;", ")),ISNUMBER(SEARCH(", "&amp;$B215&amp;", ", ", "&amp;INDEX('Form Responses'!$R$1:$R$200,7)&amp;", "))),1,""))</f>
        <v/>
      </c>
      <c r="J215">
        <f>IF(Wizards!$A$8="","",IF(OR(ISNUMBER(SEARCH(", "&amp;$B215&amp;", ", ", "&amp;INDEX('Form Responses'!$I$1:$Q$200,8,$A215)&amp;", ")),ISNUMBER(SEARCH(", "&amp;$B215&amp;", ", ", "&amp;INDEX('Form Responses'!$R$1:$R$200,8)&amp;", "))),1,""))</f>
        <v/>
      </c>
      <c r="K215">
        <f>IF(Wizards!$A$9="","",IF(OR(ISNUMBER(SEARCH(", "&amp;$B215&amp;", ", ", "&amp;INDEX('Form Responses'!$I$1:$Q$200,9,$A215)&amp;", ")),ISNUMBER(SEARCH(", "&amp;$B215&amp;", ", ", "&amp;INDEX('Form Responses'!$R$1:$R$200,9)&amp;", "))),1,""))</f>
        <v/>
      </c>
      <c r="L215">
        <f>IF(Wizards!$A$10="","",IF(OR(ISNUMBER(SEARCH(", "&amp;$B215&amp;", ", ", "&amp;INDEX('Form Responses'!$I$1:$Q$200,10,$A215)&amp;", ")),ISNUMBER(SEARCH(", "&amp;$B215&amp;", ", ", "&amp;INDEX('Form Responses'!$R$1:$R$200,10)&amp;", "))),1,""))</f>
        <v/>
      </c>
      <c r="M215">
        <f>IF(Wizards!$A$11="","",IF(OR(ISNUMBER(SEARCH(", "&amp;$B215&amp;", ", ", "&amp;INDEX('Form Responses'!$I$1:$Q$200,11,$A215)&amp;", ")),ISNUMBER(SEARCH(", "&amp;$B215&amp;", ", ", "&amp;INDEX('Form Responses'!$R$1:$R$200,11)&amp;", "))),1,""))</f>
        <v/>
      </c>
      <c r="N215">
        <f>IF(Wizards!$A$12="","",IF(OR(ISNUMBER(SEARCH(", "&amp;$B215&amp;", ", ", "&amp;INDEX('Form Responses'!$I$1:$Q$200,12,$A215)&amp;", ")),ISNUMBER(SEARCH(", "&amp;$B215&amp;", ", ", "&amp;INDEX('Form Responses'!$R$1:$R$200,12)&amp;", "))),1,""))</f>
        <v/>
      </c>
      <c r="O215">
        <f>IF(Wizards!$A$13="","",IF(OR(ISNUMBER(SEARCH(", "&amp;$B215&amp;", ", ", "&amp;INDEX('Form Responses'!$I$1:$Q$200,13,$A215)&amp;", ")),ISNUMBER(SEARCH(", "&amp;$B215&amp;", ", ", "&amp;INDEX('Form Responses'!$R$1:$R$200,13)&amp;", "))),1,""))</f>
        <v/>
      </c>
      <c r="P215">
        <f>IF(Wizards!$A$14="","",IF(OR(ISNUMBER(SEARCH(", "&amp;$B215&amp;", ", ", "&amp;INDEX('Form Responses'!$I$1:$Q$200,14,$A215)&amp;", ")),ISNUMBER(SEARCH(", "&amp;$B215&amp;", ", ", "&amp;INDEX('Form Responses'!$R$1:$R$200,14)&amp;", "))),1,""))</f>
        <v/>
      </c>
      <c r="Q215">
        <f>IF(Wizards!$A$15="","",IF(OR(ISNUMBER(SEARCH(", "&amp;$B215&amp;", ", ", "&amp;INDEX('Form Responses'!$I$1:$Q$200,15,$A215)&amp;", ")),ISNUMBER(SEARCH(", "&amp;$B215&amp;", ", ", "&amp;INDEX('Form Responses'!$R$1:$R$200,15)&amp;", "))),1,""))</f>
        <v/>
      </c>
      <c r="R215">
        <f>IF(Wizards!$A$16="","",IF(OR(ISNUMBER(SEARCH(", "&amp;$B215&amp;", ", ", "&amp;INDEX('Form Responses'!$I$1:$Q$200,16,$A215)&amp;", ")),ISNUMBER(SEARCH(", "&amp;$B215&amp;", ", ", "&amp;INDEX('Form Responses'!$R$1:$R$200,16)&amp;", "))),1,""))</f>
        <v/>
      </c>
      <c r="S215">
        <f>IF(Wizards!$A$17="","",IF(OR(ISNUMBER(SEARCH(", "&amp;$B215&amp;", ", ", "&amp;INDEX('Form Responses'!$I$1:$Q$200,17,$A215)&amp;", ")),ISNUMBER(SEARCH(", "&amp;$B215&amp;", ", ", "&amp;INDEX('Form Responses'!$R$1:$R$200,17)&amp;", "))),1,""))</f>
        <v/>
      </c>
      <c r="T215">
        <f>IF(Wizards!$A$18="","",IF(OR(ISNUMBER(SEARCH(", "&amp;$B215&amp;", ", ", "&amp;INDEX('Form Responses'!$I$1:$Q$200,18,$A215)&amp;", ")),ISNUMBER(SEARCH(", "&amp;$B215&amp;", ", ", "&amp;INDEX('Form Responses'!$R$1:$R$200,18)&amp;", "))),1,""))</f>
        <v/>
      </c>
      <c r="U215">
        <f>IF(Wizards!$A$19="","",IF(OR(ISNUMBER(SEARCH(", "&amp;$B215&amp;", ", ", "&amp;INDEX('Form Responses'!$I$1:$Q$200,19,$A215)&amp;", ")),ISNUMBER(SEARCH(", "&amp;$B215&amp;", ", ", "&amp;INDEX('Form Responses'!$R$1:$R$200,19)&amp;", "))),1,""))</f>
        <v/>
      </c>
      <c r="V215">
        <f>IF(Wizards!$A$20="","",IF(OR(ISNUMBER(SEARCH(", "&amp;$B215&amp;", ", ", "&amp;INDEX('Form Responses'!$I$1:$Q$200,20,$A215)&amp;", ")),ISNUMBER(SEARCH(", "&amp;$B215&amp;", ", ", "&amp;INDEX('Form Responses'!$R$1:$R$200,20)&amp;", "))),1,""))</f>
        <v/>
      </c>
      <c r="W215">
        <f>IF(Wizards!$A$21="","",IF(OR(ISNUMBER(SEARCH(", "&amp;$B215&amp;", ", ", "&amp;INDEX('Form Responses'!$I$1:$Q$200,21,$A215)&amp;", ")),ISNUMBER(SEARCH(", "&amp;$B215&amp;", ", ", "&amp;INDEX('Form Responses'!$R$1:$R$200,21)&amp;", "))),1,""))</f>
        <v/>
      </c>
      <c r="X215">
        <f>IF(Wizards!$A$22="","",IF(OR(ISNUMBER(SEARCH(", "&amp;$B215&amp;", ", ", "&amp;INDEX('Form Responses'!$I$1:$Q$200,22,$A215)&amp;", ")),ISNUMBER(SEARCH(", "&amp;$B215&amp;", ", ", "&amp;INDEX('Form Responses'!$R$1:$R$200,22)&amp;", "))),1,""))</f>
        <v/>
      </c>
      <c r="Y215">
        <f>IF(Wizards!$A$23="","",IF(OR(ISNUMBER(SEARCH(", "&amp;$B215&amp;", ", ", "&amp;INDEX('Form Responses'!$I$1:$Q$200,23,$A215)&amp;", ")),ISNUMBER(SEARCH(", "&amp;$B215&amp;", ", ", "&amp;INDEX('Form Responses'!$R$1:$R$200,23)&amp;", "))),1,""))</f>
        <v/>
      </c>
      <c r="Z215">
        <f>IF(Wizards!$A$24="","",IF(OR(ISNUMBER(SEARCH(", "&amp;$B215&amp;", ", ", "&amp;INDEX('Form Responses'!$I$1:$Q$200,24,$A215)&amp;", ")),ISNUMBER(SEARCH(", "&amp;$B215&amp;", ", ", "&amp;INDEX('Form Responses'!$R$1:$R$200,24)&amp;", "))),1,""))</f>
        <v/>
      </c>
      <c r="AA215">
        <f>IF(Wizards!$A$25="","",IF(OR(ISNUMBER(SEARCH(", "&amp;$B215&amp;", ", ", "&amp;INDEX('Form Responses'!$I$1:$Q$200,25,$A215)&amp;", ")),ISNUMBER(SEARCH(", "&amp;$B215&amp;", ", ", "&amp;INDEX('Form Responses'!$R$1:$R$200,25)&amp;", "))),1,""))</f>
        <v/>
      </c>
      <c r="AB215">
        <f>IF(D215=1,", "&amp;D$1,"")</f>
        <v/>
      </c>
      <c r="AC215">
        <f>IF(E215=1,", "&amp;E$1,"")</f>
        <v/>
      </c>
      <c r="AD215">
        <f>IF(F215=1,", "&amp;F$1,"")</f>
        <v/>
      </c>
      <c r="AE215">
        <f>IF(G215=1,", "&amp;G$1,"")</f>
        <v/>
      </c>
      <c r="AF215">
        <f>IF(H215=1,", "&amp;H$1,"")</f>
        <v/>
      </c>
      <c r="AG215">
        <f>IF(I215=1,", "&amp;I$1,"")</f>
        <v/>
      </c>
      <c r="AH215">
        <f>IF(J215=1,", "&amp;J$1,"")</f>
        <v/>
      </c>
      <c r="AI215">
        <f>IF(K215=1,", "&amp;K$1,"")</f>
        <v/>
      </c>
      <c r="AJ215">
        <f>IF(L215=1,", "&amp;L$1,"")</f>
        <v/>
      </c>
      <c r="AK215">
        <f>IF(M215=1,", "&amp;M$1,"")</f>
        <v/>
      </c>
      <c r="AL215">
        <f>IF(N215=1,", "&amp;N$1,"")</f>
        <v/>
      </c>
      <c r="AM215">
        <f>IF(O215=1,", "&amp;O$1,"")</f>
        <v/>
      </c>
      <c r="AN215">
        <f>IF(P215=1,", "&amp;P$1,"")</f>
        <v/>
      </c>
      <c r="AO215">
        <f>IF(Q215=1,", "&amp;Q$1,"")</f>
        <v/>
      </c>
      <c r="AP215">
        <f>IF(R215=1,", "&amp;R$1,"")</f>
        <v/>
      </c>
      <c r="AQ215">
        <f>IF(S215=1,", "&amp;S$1,"")</f>
        <v/>
      </c>
      <c r="AR215">
        <f>IF(T215=1,", "&amp;T$1,"")</f>
        <v/>
      </c>
      <c r="AS215">
        <f>IF(U215=1,", "&amp;U$1,"")</f>
        <v/>
      </c>
      <c r="AT215">
        <f>IF(V215=1,", "&amp;V$1,"")</f>
        <v/>
      </c>
      <c r="AU215">
        <f>IF(W215=1,", "&amp;W$1,"")</f>
        <v/>
      </c>
      <c r="AV215">
        <f>IF(X215=1,", "&amp;X$1,"")</f>
        <v/>
      </c>
      <c r="AW215">
        <f>IF(Y215=1,", "&amp;Y$1,"")</f>
        <v/>
      </c>
      <c r="AX215">
        <f>IF(Z215=1,", "&amp;Z$1,"")</f>
        <v/>
      </c>
      <c r="AY215">
        <f>IF(AA215=1,", "&amp;AA$1,"")</f>
        <v/>
      </c>
      <c r="AZ215">
        <f>MID($AB215&amp;$AC215&amp;$AD215&amp;$AE215&amp;$AF215&amp;$AG215&amp;$AH215&amp;$AI215&amp;$AJ215&amp;$AK215&amp;$AL215&amp;$AM215&amp;$AN215&amp;$AO215&amp;$AP215&amp;$AQ215&amp;$AR215&amp;$AS215&amp;$AT215&amp;$AU215&amp;$AV215&amp;$AW215&amp;$AX215&amp;$AY215,3,32767)</f>
        <v/>
      </c>
      <c r="BA215">
        <f>COUNT($D215:$AA215)</f>
        <v/>
      </c>
    </row>
    <row r="216">
      <c r="A216" t="n">
        <v>5</v>
      </c>
      <c r="B216" t="inlineStr">
        <is>
          <t>Dream</t>
        </is>
      </c>
      <c r="C216" t="inlineStr">
        <is>
          <t>Illusion</t>
        </is>
      </c>
      <c r="D216">
        <f>IF(Wizards!$A$2="","",IF(OR(ISNUMBER(SEARCH(", "&amp;$B216&amp;", ", ", "&amp;INDEX('Form Responses'!$I$1:$Q$200,2,$A216)&amp;", ")),ISNUMBER(SEARCH(", "&amp;$B216&amp;", ", ", "&amp;INDEX('Form Responses'!$R$1:$R$200,2)&amp;", "))),1,""))</f>
        <v/>
      </c>
      <c r="E216">
        <f>IF(Wizards!$A$3="","",IF(OR(ISNUMBER(SEARCH(", "&amp;$B216&amp;", ", ", "&amp;INDEX('Form Responses'!$I$1:$Q$200,3,$A216)&amp;", ")),ISNUMBER(SEARCH(", "&amp;$B216&amp;", ", ", "&amp;INDEX('Form Responses'!$R$1:$R$200,3)&amp;", "))),1,""))</f>
        <v/>
      </c>
      <c r="F216">
        <f>IF(Wizards!$A$4="","",IF(OR(ISNUMBER(SEARCH(", "&amp;$B216&amp;", ", ", "&amp;INDEX('Form Responses'!$I$1:$Q$200,4,$A216)&amp;", ")),ISNUMBER(SEARCH(", "&amp;$B216&amp;", ", ", "&amp;INDEX('Form Responses'!$R$1:$R$200,4)&amp;", "))),1,""))</f>
        <v/>
      </c>
      <c r="G216">
        <f>IF(Wizards!$A$5="","",IF(OR(ISNUMBER(SEARCH(", "&amp;$B216&amp;", ", ", "&amp;INDEX('Form Responses'!$I$1:$Q$200,5,$A216)&amp;", ")),ISNUMBER(SEARCH(", "&amp;$B216&amp;", ", ", "&amp;INDEX('Form Responses'!$R$1:$R$200,5)&amp;", "))),1,""))</f>
        <v/>
      </c>
      <c r="H216">
        <f>IF(Wizards!$A$6="","",IF(OR(ISNUMBER(SEARCH(", "&amp;$B216&amp;", ", ", "&amp;INDEX('Form Responses'!$I$1:$Q$200,6,$A216)&amp;", ")),ISNUMBER(SEARCH(", "&amp;$B216&amp;", ", ", "&amp;INDEX('Form Responses'!$R$1:$R$200,6)&amp;", "))),1,""))</f>
        <v/>
      </c>
      <c r="I216">
        <f>IF(Wizards!$A$7="","",IF(OR(ISNUMBER(SEARCH(", "&amp;$B216&amp;", ", ", "&amp;INDEX('Form Responses'!$I$1:$Q$200,7,$A216)&amp;", ")),ISNUMBER(SEARCH(", "&amp;$B216&amp;", ", ", "&amp;INDEX('Form Responses'!$R$1:$R$200,7)&amp;", "))),1,""))</f>
        <v/>
      </c>
      <c r="J216">
        <f>IF(Wizards!$A$8="","",IF(OR(ISNUMBER(SEARCH(", "&amp;$B216&amp;", ", ", "&amp;INDEX('Form Responses'!$I$1:$Q$200,8,$A216)&amp;", ")),ISNUMBER(SEARCH(", "&amp;$B216&amp;", ", ", "&amp;INDEX('Form Responses'!$R$1:$R$200,8)&amp;", "))),1,""))</f>
        <v/>
      </c>
      <c r="K216">
        <f>IF(Wizards!$A$9="","",IF(OR(ISNUMBER(SEARCH(", "&amp;$B216&amp;", ", ", "&amp;INDEX('Form Responses'!$I$1:$Q$200,9,$A216)&amp;", ")),ISNUMBER(SEARCH(", "&amp;$B216&amp;", ", ", "&amp;INDEX('Form Responses'!$R$1:$R$200,9)&amp;", "))),1,""))</f>
        <v/>
      </c>
      <c r="L216">
        <f>IF(Wizards!$A$10="","",IF(OR(ISNUMBER(SEARCH(", "&amp;$B216&amp;", ", ", "&amp;INDEX('Form Responses'!$I$1:$Q$200,10,$A216)&amp;", ")),ISNUMBER(SEARCH(", "&amp;$B216&amp;", ", ", "&amp;INDEX('Form Responses'!$R$1:$R$200,10)&amp;", "))),1,""))</f>
        <v/>
      </c>
      <c r="M216">
        <f>IF(Wizards!$A$11="","",IF(OR(ISNUMBER(SEARCH(", "&amp;$B216&amp;", ", ", "&amp;INDEX('Form Responses'!$I$1:$Q$200,11,$A216)&amp;", ")),ISNUMBER(SEARCH(", "&amp;$B216&amp;", ", ", "&amp;INDEX('Form Responses'!$R$1:$R$200,11)&amp;", "))),1,""))</f>
        <v/>
      </c>
      <c r="N216">
        <f>IF(Wizards!$A$12="","",IF(OR(ISNUMBER(SEARCH(", "&amp;$B216&amp;", ", ", "&amp;INDEX('Form Responses'!$I$1:$Q$200,12,$A216)&amp;", ")),ISNUMBER(SEARCH(", "&amp;$B216&amp;", ", ", "&amp;INDEX('Form Responses'!$R$1:$R$200,12)&amp;", "))),1,""))</f>
        <v/>
      </c>
      <c r="O216">
        <f>IF(Wizards!$A$13="","",IF(OR(ISNUMBER(SEARCH(", "&amp;$B216&amp;", ", ", "&amp;INDEX('Form Responses'!$I$1:$Q$200,13,$A216)&amp;", ")),ISNUMBER(SEARCH(", "&amp;$B216&amp;", ", ", "&amp;INDEX('Form Responses'!$R$1:$R$200,13)&amp;", "))),1,""))</f>
        <v/>
      </c>
      <c r="P216">
        <f>IF(Wizards!$A$14="","",IF(OR(ISNUMBER(SEARCH(", "&amp;$B216&amp;", ", ", "&amp;INDEX('Form Responses'!$I$1:$Q$200,14,$A216)&amp;", ")),ISNUMBER(SEARCH(", "&amp;$B216&amp;", ", ", "&amp;INDEX('Form Responses'!$R$1:$R$200,14)&amp;", "))),1,""))</f>
        <v/>
      </c>
      <c r="Q216">
        <f>IF(Wizards!$A$15="","",IF(OR(ISNUMBER(SEARCH(", "&amp;$B216&amp;", ", ", "&amp;INDEX('Form Responses'!$I$1:$Q$200,15,$A216)&amp;", ")),ISNUMBER(SEARCH(", "&amp;$B216&amp;", ", ", "&amp;INDEX('Form Responses'!$R$1:$R$200,15)&amp;", "))),1,""))</f>
        <v/>
      </c>
      <c r="R216">
        <f>IF(Wizards!$A$16="","",IF(OR(ISNUMBER(SEARCH(", "&amp;$B216&amp;", ", ", "&amp;INDEX('Form Responses'!$I$1:$Q$200,16,$A216)&amp;", ")),ISNUMBER(SEARCH(", "&amp;$B216&amp;", ", ", "&amp;INDEX('Form Responses'!$R$1:$R$200,16)&amp;", "))),1,""))</f>
        <v/>
      </c>
      <c r="S216">
        <f>IF(Wizards!$A$17="","",IF(OR(ISNUMBER(SEARCH(", "&amp;$B216&amp;", ", ", "&amp;INDEX('Form Responses'!$I$1:$Q$200,17,$A216)&amp;", ")),ISNUMBER(SEARCH(", "&amp;$B216&amp;", ", ", "&amp;INDEX('Form Responses'!$R$1:$R$200,17)&amp;", "))),1,""))</f>
        <v/>
      </c>
      <c r="T216">
        <f>IF(Wizards!$A$18="","",IF(OR(ISNUMBER(SEARCH(", "&amp;$B216&amp;", ", ", "&amp;INDEX('Form Responses'!$I$1:$Q$200,18,$A216)&amp;", ")),ISNUMBER(SEARCH(", "&amp;$B216&amp;", ", ", "&amp;INDEX('Form Responses'!$R$1:$R$200,18)&amp;", "))),1,""))</f>
        <v/>
      </c>
      <c r="U216">
        <f>IF(Wizards!$A$19="","",IF(OR(ISNUMBER(SEARCH(", "&amp;$B216&amp;", ", ", "&amp;INDEX('Form Responses'!$I$1:$Q$200,19,$A216)&amp;", ")),ISNUMBER(SEARCH(", "&amp;$B216&amp;", ", ", "&amp;INDEX('Form Responses'!$R$1:$R$200,19)&amp;", "))),1,""))</f>
        <v/>
      </c>
      <c r="V216">
        <f>IF(Wizards!$A$20="","",IF(OR(ISNUMBER(SEARCH(", "&amp;$B216&amp;", ", ", "&amp;INDEX('Form Responses'!$I$1:$Q$200,20,$A216)&amp;", ")),ISNUMBER(SEARCH(", "&amp;$B216&amp;", ", ", "&amp;INDEX('Form Responses'!$R$1:$R$200,20)&amp;", "))),1,""))</f>
        <v/>
      </c>
      <c r="W216">
        <f>IF(Wizards!$A$21="","",IF(OR(ISNUMBER(SEARCH(", "&amp;$B216&amp;", ", ", "&amp;INDEX('Form Responses'!$I$1:$Q$200,21,$A216)&amp;", ")),ISNUMBER(SEARCH(", "&amp;$B216&amp;", ", ", "&amp;INDEX('Form Responses'!$R$1:$R$200,21)&amp;", "))),1,""))</f>
        <v/>
      </c>
      <c r="X216">
        <f>IF(Wizards!$A$22="","",IF(OR(ISNUMBER(SEARCH(", "&amp;$B216&amp;", ", ", "&amp;INDEX('Form Responses'!$I$1:$Q$200,22,$A216)&amp;", ")),ISNUMBER(SEARCH(", "&amp;$B216&amp;", ", ", "&amp;INDEX('Form Responses'!$R$1:$R$200,22)&amp;", "))),1,""))</f>
        <v/>
      </c>
      <c r="Y216">
        <f>IF(Wizards!$A$23="","",IF(OR(ISNUMBER(SEARCH(", "&amp;$B216&amp;", ", ", "&amp;INDEX('Form Responses'!$I$1:$Q$200,23,$A216)&amp;", ")),ISNUMBER(SEARCH(", "&amp;$B216&amp;", ", ", "&amp;INDEX('Form Responses'!$R$1:$R$200,23)&amp;", "))),1,""))</f>
        <v/>
      </c>
      <c r="Z216">
        <f>IF(Wizards!$A$24="","",IF(OR(ISNUMBER(SEARCH(", "&amp;$B216&amp;", ", ", "&amp;INDEX('Form Responses'!$I$1:$Q$200,24,$A216)&amp;", ")),ISNUMBER(SEARCH(", "&amp;$B216&amp;", ", ", "&amp;INDEX('Form Responses'!$R$1:$R$200,24)&amp;", "))),1,""))</f>
        <v/>
      </c>
      <c r="AA216">
        <f>IF(Wizards!$A$25="","",IF(OR(ISNUMBER(SEARCH(", "&amp;$B216&amp;", ", ", "&amp;INDEX('Form Responses'!$I$1:$Q$200,25,$A216)&amp;", ")),ISNUMBER(SEARCH(", "&amp;$B216&amp;", ", ", "&amp;INDEX('Form Responses'!$R$1:$R$200,25)&amp;", "))),1,""))</f>
        <v/>
      </c>
      <c r="AB216">
        <f>IF(D216=1,", "&amp;D$1,"")</f>
        <v/>
      </c>
      <c r="AC216">
        <f>IF(E216=1,", "&amp;E$1,"")</f>
        <v/>
      </c>
      <c r="AD216">
        <f>IF(F216=1,", "&amp;F$1,"")</f>
        <v/>
      </c>
      <c r="AE216">
        <f>IF(G216=1,", "&amp;G$1,"")</f>
        <v/>
      </c>
      <c r="AF216">
        <f>IF(H216=1,", "&amp;H$1,"")</f>
        <v/>
      </c>
      <c r="AG216">
        <f>IF(I216=1,", "&amp;I$1,"")</f>
        <v/>
      </c>
      <c r="AH216">
        <f>IF(J216=1,", "&amp;J$1,"")</f>
        <v/>
      </c>
      <c r="AI216">
        <f>IF(K216=1,", "&amp;K$1,"")</f>
        <v/>
      </c>
      <c r="AJ216">
        <f>IF(L216=1,", "&amp;L$1,"")</f>
        <v/>
      </c>
      <c r="AK216">
        <f>IF(M216=1,", "&amp;M$1,"")</f>
        <v/>
      </c>
      <c r="AL216">
        <f>IF(N216=1,", "&amp;N$1,"")</f>
        <v/>
      </c>
      <c r="AM216">
        <f>IF(O216=1,", "&amp;O$1,"")</f>
        <v/>
      </c>
      <c r="AN216">
        <f>IF(P216=1,", "&amp;P$1,"")</f>
        <v/>
      </c>
      <c r="AO216">
        <f>IF(Q216=1,", "&amp;Q$1,"")</f>
        <v/>
      </c>
      <c r="AP216">
        <f>IF(R216=1,", "&amp;R$1,"")</f>
        <v/>
      </c>
      <c r="AQ216">
        <f>IF(S216=1,", "&amp;S$1,"")</f>
        <v/>
      </c>
      <c r="AR216">
        <f>IF(T216=1,", "&amp;T$1,"")</f>
        <v/>
      </c>
      <c r="AS216">
        <f>IF(U216=1,", "&amp;U$1,"")</f>
        <v/>
      </c>
      <c r="AT216">
        <f>IF(V216=1,", "&amp;V$1,"")</f>
        <v/>
      </c>
      <c r="AU216">
        <f>IF(W216=1,", "&amp;W$1,"")</f>
        <v/>
      </c>
      <c r="AV216">
        <f>IF(X216=1,", "&amp;X$1,"")</f>
        <v/>
      </c>
      <c r="AW216">
        <f>IF(Y216=1,", "&amp;Y$1,"")</f>
        <v/>
      </c>
      <c r="AX216">
        <f>IF(Z216=1,", "&amp;Z$1,"")</f>
        <v/>
      </c>
      <c r="AY216">
        <f>IF(AA216=1,", "&amp;AA$1,"")</f>
        <v/>
      </c>
      <c r="AZ216">
        <f>MID($AB216&amp;$AC216&amp;$AD216&amp;$AE216&amp;$AF216&amp;$AG216&amp;$AH216&amp;$AI216&amp;$AJ216&amp;$AK216&amp;$AL216&amp;$AM216&amp;$AN216&amp;$AO216&amp;$AP216&amp;$AQ216&amp;$AR216&amp;$AS216&amp;$AT216&amp;$AU216&amp;$AV216&amp;$AW216&amp;$AX216&amp;$AY216,3,32767)</f>
        <v/>
      </c>
      <c r="BA216">
        <f>COUNT($D216:$AA216)</f>
        <v/>
      </c>
    </row>
    <row r="217">
      <c r="A217" t="n">
        <v>5</v>
      </c>
      <c r="B217" t="inlineStr">
        <is>
          <t>Enervation</t>
        </is>
      </c>
      <c r="C217" t="inlineStr">
        <is>
          <t>Necromancy</t>
        </is>
      </c>
      <c r="D217">
        <f>IF(Wizards!$A$2="","",IF(OR(ISNUMBER(SEARCH(", "&amp;$B217&amp;", ", ", "&amp;INDEX('Form Responses'!$I$1:$Q$200,2,$A217)&amp;", ")),ISNUMBER(SEARCH(", "&amp;$B217&amp;", ", ", "&amp;INDEX('Form Responses'!$R$1:$R$200,2)&amp;", "))),1,""))</f>
        <v/>
      </c>
      <c r="E217">
        <f>IF(Wizards!$A$3="","",IF(OR(ISNUMBER(SEARCH(", "&amp;$B217&amp;", ", ", "&amp;INDEX('Form Responses'!$I$1:$Q$200,3,$A217)&amp;", ")),ISNUMBER(SEARCH(", "&amp;$B217&amp;", ", ", "&amp;INDEX('Form Responses'!$R$1:$R$200,3)&amp;", "))),1,""))</f>
        <v/>
      </c>
      <c r="F217">
        <f>IF(Wizards!$A$4="","",IF(OR(ISNUMBER(SEARCH(", "&amp;$B217&amp;", ", ", "&amp;INDEX('Form Responses'!$I$1:$Q$200,4,$A217)&amp;", ")),ISNUMBER(SEARCH(", "&amp;$B217&amp;", ", ", "&amp;INDEX('Form Responses'!$R$1:$R$200,4)&amp;", "))),1,""))</f>
        <v/>
      </c>
      <c r="G217">
        <f>IF(Wizards!$A$5="","",IF(OR(ISNUMBER(SEARCH(", "&amp;$B217&amp;", ", ", "&amp;INDEX('Form Responses'!$I$1:$Q$200,5,$A217)&amp;", ")),ISNUMBER(SEARCH(", "&amp;$B217&amp;", ", ", "&amp;INDEX('Form Responses'!$R$1:$R$200,5)&amp;", "))),1,""))</f>
        <v/>
      </c>
      <c r="H217">
        <f>IF(Wizards!$A$6="","",IF(OR(ISNUMBER(SEARCH(", "&amp;$B217&amp;", ", ", "&amp;INDEX('Form Responses'!$I$1:$Q$200,6,$A217)&amp;", ")),ISNUMBER(SEARCH(", "&amp;$B217&amp;", ", ", "&amp;INDEX('Form Responses'!$R$1:$R$200,6)&amp;", "))),1,""))</f>
        <v/>
      </c>
      <c r="I217">
        <f>IF(Wizards!$A$7="","",IF(OR(ISNUMBER(SEARCH(", "&amp;$B217&amp;", ", ", "&amp;INDEX('Form Responses'!$I$1:$Q$200,7,$A217)&amp;", ")),ISNUMBER(SEARCH(", "&amp;$B217&amp;", ", ", "&amp;INDEX('Form Responses'!$R$1:$R$200,7)&amp;", "))),1,""))</f>
        <v/>
      </c>
      <c r="J217">
        <f>IF(Wizards!$A$8="","",IF(OR(ISNUMBER(SEARCH(", "&amp;$B217&amp;", ", ", "&amp;INDEX('Form Responses'!$I$1:$Q$200,8,$A217)&amp;", ")),ISNUMBER(SEARCH(", "&amp;$B217&amp;", ", ", "&amp;INDEX('Form Responses'!$R$1:$R$200,8)&amp;", "))),1,""))</f>
        <v/>
      </c>
      <c r="K217">
        <f>IF(Wizards!$A$9="","",IF(OR(ISNUMBER(SEARCH(", "&amp;$B217&amp;", ", ", "&amp;INDEX('Form Responses'!$I$1:$Q$200,9,$A217)&amp;", ")),ISNUMBER(SEARCH(", "&amp;$B217&amp;", ", ", "&amp;INDEX('Form Responses'!$R$1:$R$200,9)&amp;", "))),1,""))</f>
        <v/>
      </c>
      <c r="L217">
        <f>IF(Wizards!$A$10="","",IF(OR(ISNUMBER(SEARCH(", "&amp;$B217&amp;", ", ", "&amp;INDEX('Form Responses'!$I$1:$Q$200,10,$A217)&amp;", ")),ISNUMBER(SEARCH(", "&amp;$B217&amp;", ", ", "&amp;INDEX('Form Responses'!$R$1:$R$200,10)&amp;", "))),1,""))</f>
        <v/>
      </c>
      <c r="M217">
        <f>IF(Wizards!$A$11="","",IF(OR(ISNUMBER(SEARCH(", "&amp;$B217&amp;", ", ", "&amp;INDEX('Form Responses'!$I$1:$Q$200,11,$A217)&amp;", ")),ISNUMBER(SEARCH(", "&amp;$B217&amp;", ", ", "&amp;INDEX('Form Responses'!$R$1:$R$200,11)&amp;", "))),1,""))</f>
        <v/>
      </c>
      <c r="N217">
        <f>IF(Wizards!$A$12="","",IF(OR(ISNUMBER(SEARCH(", "&amp;$B217&amp;", ", ", "&amp;INDEX('Form Responses'!$I$1:$Q$200,12,$A217)&amp;", ")),ISNUMBER(SEARCH(", "&amp;$B217&amp;", ", ", "&amp;INDEX('Form Responses'!$R$1:$R$200,12)&amp;", "))),1,""))</f>
        <v/>
      </c>
      <c r="O217">
        <f>IF(Wizards!$A$13="","",IF(OR(ISNUMBER(SEARCH(", "&amp;$B217&amp;", ", ", "&amp;INDEX('Form Responses'!$I$1:$Q$200,13,$A217)&amp;", ")),ISNUMBER(SEARCH(", "&amp;$B217&amp;", ", ", "&amp;INDEX('Form Responses'!$R$1:$R$200,13)&amp;", "))),1,""))</f>
        <v/>
      </c>
      <c r="P217">
        <f>IF(Wizards!$A$14="","",IF(OR(ISNUMBER(SEARCH(", "&amp;$B217&amp;", ", ", "&amp;INDEX('Form Responses'!$I$1:$Q$200,14,$A217)&amp;", ")),ISNUMBER(SEARCH(", "&amp;$B217&amp;", ", ", "&amp;INDEX('Form Responses'!$R$1:$R$200,14)&amp;", "))),1,""))</f>
        <v/>
      </c>
      <c r="Q217">
        <f>IF(Wizards!$A$15="","",IF(OR(ISNUMBER(SEARCH(", "&amp;$B217&amp;", ", ", "&amp;INDEX('Form Responses'!$I$1:$Q$200,15,$A217)&amp;", ")),ISNUMBER(SEARCH(", "&amp;$B217&amp;", ", ", "&amp;INDEX('Form Responses'!$R$1:$R$200,15)&amp;", "))),1,""))</f>
        <v/>
      </c>
      <c r="R217">
        <f>IF(Wizards!$A$16="","",IF(OR(ISNUMBER(SEARCH(", "&amp;$B217&amp;", ", ", "&amp;INDEX('Form Responses'!$I$1:$Q$200,16,$A217)&amp;", ")),ISNUMBER(SEARCH(", "&amp;$B217&amp;", ", ", "&amp;INDEX('Form Responses'!$R$1:$R$200,16)&amp;", "))),1,""))</f>
        <v/>
      </c>
      <c r="S217">
        <f>IF(Wizards!$A$17="","",IF(OR(ISNUMBER(SEARCH(", "&amp;$B217&amp;", ", ", "&amp;INDEX('Form Responses'!$I$1:$Q$200,17,$A217)&amp;", ")),ISNUMBER(SEARCH(", "&amp;$B217&amp;", ", ", "&amp;INDEX('Form Responses'!$R$1:$R$200,17)&amp;", "))),1,""))</f>
        <v/>
      </c>
      <c r="T217">
        <f>IF(Wizards!$A$18="","",IF(OR(ISNUMBER(SEARCH(", "&amp;$B217&amp;", ", ", "&amp;INDEX('Form Responses'!$I$1:$Q$200,18,$A217)&amp;", ")),ISNUMBER(SEARCH(", "&amp;$B217&amp;", ", ", "&amp;INDEX('Form Responses'!$R$1:$R$200,18)&amp;", "))),1,""))</f>
        <v/>
      </c>
      <c r="U217">
        <f>IF(Wizards!$A$19="","",IF(OR(ISNUMBER(SEARCH(", "&amp;$B217&amp;", ", ", "&amp;INDEX('Form Responses'!$I$1:$Q$200,19,$A217)&amp;", ")),ISNUMBER(SEARCH(", "&amp;$B217&amp;", ", ", "&amp;INDEX('Form Responses'!$R$1:$R$200,19)&amp;", "))),1,""))</f>
        <v/>
      </c>
      <c r="V217">
        <f>IF(Wizards!$A$20="","",IF(OR(ISNUMBER(SEARCH(", "&amp;$B217&amp;", ", ", "&amp;INDEX('Form Responses'!$I$1:$Q$200,20,$A217)&amp;", ")),ISNUMBER(SEARCH(", "&amp;$B217&amp;", ", ", "&amp;INDEX('Form Responses'!$R$1:$R$200,20)&amp;", "))),1,""))</f>
        <v/>
      </c>
      <c r="W217">
        <f>IF(Wizards!$A$21="","",IF(OR(ISNUMBER(SEARCH(", "&amp;$B217&amp;", ", ", "&amp;INDEX('Form Responses'!$I$1:$Q$200,21,$A217)&amp;", ")),ISNUMBER(SEARCH(", "&amp;$B217&amp;", ", ", "&amp;INDEX('Form Responses'!$R$1:$R$200,21)&amp;", "))),1,""))</f>
        <v/>
      </c>
      <c r="X217">
        <f>IF(Wizards!$A$22="","",IF(OR(ISNUMBER(SEARCH(", "&amp;$B217&amp;", ", ", "&amp;INDEX('Form Responses'!$I$1:$Q$200,22,$A217)&amp;", ")),ISNUMBER(SEARCH(", "&amp;$B217&amp;", ", ", "&amp;INDEX('Form Responses'!$R$1:$R$200,22)&amp;", "))),1,""))</f>
        <v/>
      </c>
      <c r="Y217">
        <f>IF(Wizards!$A$23="","",IF(OR(ISNUMBER(SEARCH(", "&amp;$B217&amp;", ", ", "&amp;INDEX('Form Responses'!$I$1:$Q$200,23,$A217)&amp;", ")),ISNUMBER(SEARCH(", "&amp;$B217&amp;", ", ", "&amp;INDEX('Form Responses'!$R$1:$R$200,23)&amp;", "))),1,""))</f>
        <v/>
      </c>
      <c r="Z217">
        <f>IF(Wizards!$A$24="","",IF(OR(ISNUMBER(SEARCH(", "&amp;$B217&amp;", ", ", "&amp;INDEX('Form Responses'!$I$1:$Q$200,24,$A217)&amp;", ")),ISNUMBER(SEARCH(", "&amp;$B217&amp;", ", ", "&amp;INDEX('Form Responses'!$R$1:$R$200,24)&amp;", "))),1,""))</f>
        <v/>
      </c>
      <c r="AA217">
        <f>IF(Wizards!$A$25="","",IF(OR(ISNUMBER(SEARCH(", "&amp;$B217&amp;", ", ", "&amp;INDEX('Form Responses'!$I$1:$Q$200,25,$A217)&amp;", ")),ISNUMBER(SEARCH(", "&amp;$B217&amp;", ", ", "&amp;INDEX('Form Responses'!$R$1:$R$200,25)&amp;", "))),1,""))</f>
        <v/>
      </c>
      <c r="AB217">
        <f>IF(D217=1,", "&amp;D$1,"")</f>
        <v/>
      </c>
      <c r="AC217">
        <f>IF(E217=1,", "&amp;E$1,"")</f>
        <v/>
      </c>
      <c r="AD217">
        <f>IF(F217=1,", "&amp;F$1,"")</f>
        <v/>
      </c>
      <c r="AE217">
        <f>IF(G217=1,", "&amp;G$1,"")</f>
        <v/>
      </c>
      <c r="AF217">
        <f>IF(H217=1,", "&amp;H$1,"")</f>
        <v/>
      </c>
      <c r="AG217">
        <f>IF(I217=1,", "&amp;I$1,"")</f>
        <v/>
      </c>
      <c r="AH217">
        <f>IF(J217=1,", "&amp;J$1,"")</f>
        <v/>
      </c>
      <c r="AI217">
        <f>IF(K217=1,", "&amp;K$1,"")</f>
        <v/>
      </c>
      <c r="AJ217">
        <f>IF(L217=1,", "&amp;L$1,"")</f>
        <v/>
      </c>
      <c r="AK217">
        <f>IF(M217=1,", "&amp;M$1,"")</f>
        <v/>
      </c>
      <c r="AL217">
        <f>IF(N217=1,", "&amp;N$1,"")</f>
        <v/>
      </c>
      <c r="AM217">
        <f>IF(O217=1,", "&amp;O$1,"")</f>
        <v/>
      </c>
      <c r="AN217">
        <f>IF(P217=1,", "&amp;P$1,"")</f>
        <v/>
      </c>
      <c r="AO217">
        <f>IF(Q217=1,", "&amp;Q$1,"")</f>
        <v/>
      </c>
      <c r="AP217">
        <f>IF(R217=1,", "&amp;R$1,"")</f>
        <v/>
      </c>
      <c r="AQ217">
        <f>IF(S217=1,", "&amp;S$1,"")</f>
        <v/>
      </c>
      <c r="AR217">
        <f>IF(T217=1,", "&amp;T$1,"")</f>
        <v/>
      </c>
      <c r="AS217">
        <f>IF(U217=1,", "&amp;U$1,"")</f>
        <v/>
      </c>
      <c r="AT217">
        <f>IF(V217=1,", "&amp;V$1,"")</f>
        <v/>
      </c>
      <c r="AU217">
        <f>IF(W217=1,", "&amp;W$1,"")</f>
        <v/>
      </c>
      <c r="AV217">
        <f>IF(X217=1,", "&amp;X$1,"")</f>
        <v/>
      </c>
      <c r="AW217">
        <f>IF(Y217=1,", "&amp;Y$1,"")</f>
        <v/>
      </c>
      <c r="AX217">
        <f>IF(Z217=1,", "&amp;Z$1,"")</f>
        <v/>
      </c>
      <c r="AY217">
        <f>IF(AA217=1,", "&amp;AA$1,"")</f>
        <v/>
      </c>
      <c r="AZ217">
        <f>MID($AB217&amp;$AC217&amp;$AD217&amp;$AE217&amp;$AF217&amp;$AG217&amp;$AH217&amp;$AI217&amp;$AJ217&amp;$AK217&amp;$AL217&amp;$AM217&amp;$AN217&amp;$AO217&amp;$AP217&amp;$AQ217&amp;$AR217&amp;$AS217&amp;$AT217&amp;$AU217&amp;$AV217&amp;$AW217&amp;$AX217&amp;$AY217,3,32767)</f>
        <v/>
      </c>
      <c r="BA217">
        <f>COUNT($D217:$AA217)</f>
        <v/>
      </c>
    </row>
    <row r="218">
      <c r="A218" t="n">
        <v>5</v>
      </c>
      <c r="B218" t="inlineStr">
        <is>
          <t>Far Step</t>
        </is>
      </c>
      <c r="C218" t="inlineStr">
        <is>
          <t>Conjuration</t>
        </is>
      </c>
      <c r="D218">
        <f>IF(Wizards!$A$2="","",IF(OR(ISNUMBER(SEARCH(", "&amp;$B218&amp;", ", ", "&amp;INDEX('Form Responses'!$I$1:$Q$200,2,$A218)&amp;", ")),ISNUMBER(SEARCH(", "&amp;$B218&amp;", ", ", "&amp;INDEX('Form Responses'!$R$1:$R$200,2)&amp;", "))),1,""))</f>
        <v/>
      </c>
      <c r="E218">
        <f>IF(Wizards!$A$3="","",IF(OR(ISNUMBER(SEARCH(", "&amp;$B218&amp;", ", ", "&amp;INDEX('Form Responses'!$I$1:$Q$200,3,$A218)&amp;", ")),ISNUMBER(SEARCH(", "&amp;$B218&amp;", ", ", "&amp;INDEX('Form Responses'!$R$1:$R$200,3)&amp;", "))),1,""))</f>
        <v/>
      </c>
      <c r="F218">
        <f>IF(Wizards!$A$4="","",IF(OR(ISNUMBER(SEARCH(", "&amp;$B218&amp;", ", ", "&amp;INDEX('Form Responses'!$I$1:$Q$200,4,$A218)&amp;", ")),ISNUMBER(SEARCH(", "&amp;$B218&amp;", ", ", "&amp;INDEX('Form Responses'!$R$1:$R$200,4)&amp;", "))),1,""))</f>
        <v/>
      </c>
      <c r="G218">
        <f>IF(Wizards!$A$5="","",IF(OR(ISNUMBER(SEARCH(", "&amp;$B218&amp;", ", ", "&amp;INDEX('Form Responses'!$I$1:$Q$200,5,$A218)&amp;", ")),ISNUMBER(SEARCH(", "&amp;$B218&amp;", ", ", "&amp;INDEX('Form Responses'!$R$1:$R$200,5)&amp;", "))),1,""))</f>
        <v/>
      </c>
      <c r="H218">
        <f>IF(Wizards!$A$6="","",IF(OR(ISNUMBER(SEARCH(", "&amp;$B218&amp;", ", ", "&amp;INDEX('Form Responses'!$I$1:$Q$200,6,$A218)&amp;", ")),ISNUMBER(SEARCH(", "&amp;$B218&amp;", ", ", "&amp;INDEX('Form Responses'!$R$1:$R$200,6)&amp;", "))),1,""))</f>
        <v/>
      </c>
      <c r="I218">
        <f>IF(Wizards!$A$7="","",IF(OR(ISNUMBER(SEARCH(", "&amp;$B218&amp;", ", ", "&amp;INDEX('Form Responses'!$I$1:$Q$200,7,$A218)&amp;", ")),ISNUMBER(SEARCH(", "&amp;$B218&amp;", ", ", "&amp;INDEX('Form Responses'!$R$1:$R$200,7)&amp;", "))),1,""))</f>
        <v/>
      </c>
      <c r="J218">
        <f>IF(Wizards!$A$8="","",IF(OR(ISNUMBER(SEARCH(", "&amp;$B218&amp;", ", ", "&amp;INDEX('Form Responses'!$I$1:$Q$200,8,$A218)&amp;", ")),ISNUMBER(SEARCH(", "&amp;$B218&amp;", ", ", "&amp;INDEX('Form Responses'!$R$1:$R$200,8)&amp;", "))),1,""))</f>
        <v/>
      </c>
      <c r="K218">
        <f>IF(Wizards!$A$9="","",IF(OR(ISNUMBER(SEARCH(", "&amp;$B218&amp;", ", ", "&amp;INDEX('Form Responses'!$I$1:$Q$200,9,$A218)&amp;", ")),ISNUMBER(SEARCH(", "&amp;$B218&amp;", ", ", "&amp;INDEX('Form Responses'!$R$1:$R$200,9)&amp;", "))),1,""))</f>
        <v/>
      </c>
      <c r="L218">
        <f>IF(Wizards!$A$10="","",IF(OR(ISNUMBER(SEARCH(", "&amp;$B218&amp;", ", ", "&amp;INDEX('Form Responses'!$I$1:$Q$200,10,$A218)&amp;", ")),ISNUMBER(SEARCH(", "&amp;$B218&amp;", ", ", "&amp;INDEX('Form Responses'!$R$1:$R$200,10)&amp;", "))),1,""))</f>
        <v/>
      </c>
      <c r="M218">
        <f>IF(Wizards!$A$11="","",IF(OR(ISNUMBER(SEARCH(", "&amp;$B218&amp;", ", ", "&amp;INDEX('Form Responses'!$I$1:$Q$200,11,$A218)&amp;", ")),ISNUMBER(SEARCH(", "&amp;$B218&amp;", ", ", "&amp;INDEX('Form Responses'!$R$1:$R$200,11)&amp;", "))),1,""))</f>
        <v/>
      </c>
      <c r="N218">
        <f>IF(Wizards!$A$12="","",IF(OR(ISNUMBER(SEARCH(", "&amp;$B218&amp;", ", ", "&amp;INDEX('Form Responses'!$I$1:$Q$200,12,$A218)&amp;", ")),ISNUMBER(SEARCH(", "&amp;$B218&amp;", ", ", "&amp;INDEX('Form Responses'!$R$1:$R$200,12)&amp;", "))),1,""))</f>
        <v/>
      </c>
      <c r="O218">
        <f>IF(Wizards!$A$13="","",IF(OR(ISNUMBER(SEARCH(", "&amp;$B218&amp;", ", ", "&amp;INDEX('Form Responses'!$I$1:$Q$200,13,$A218)&amp;", ")),ISNUMBER(SEARCH(", "&amp;$B218&amp;", ", ", "&amp;INDEX('Form Responses'!$R$1:$R$200,13)&amp;", "))),1,""))</f>
        <v/>
      </c>
      <c r="P218">
        <f>IF(Wizards!$A$14="","",IF(OR(ISNUMBER(SEARCH(", "&amp;$B218&amp;", ", ", "&amp;INDEX('Form Responses'!$I$1:$Q$200,14,$A218)&amp;", ")),ISNUMBER(SEARCH(", "&amp;$B218&amp;", ", ", "&amp;INDEX('Form Responses'!$R$1:$R$200,14)&amp;", "))),1,""))</f>
        <v/>
      </c>
      <c r="Q218">
        <f>IF(Wizards!$A$15="","",IF(OR(ISNUMBER(SEARCH(", "&amp;$B218&amp;", ", ", "&amp;INDEX('Form Responses'!$I$1:$Q$200,15,$A218)&amp;", ")),ISNUMBER(SEARCH(", "&amp;$B218&amp;", ", ", "&amp;INDEX('Form Responses'!$R$1:$R$200,15)&amp;", "))),1,""))</f>
        <v/>
      </c>
      <c r="R218">
        <f>IF(Wizards!$A$16="","",IF(OR(ISNUMBER(SEARCH(", "&amp;$B218&amp;", ", ", "&amp;INDEX('Form Responses'!$I$1:$Q$200,16,$A218)&amp;", ")),ISNUMBER(SEARCH(", "&amp;$B218&amp;", ", ", "&amp;INDEX('Form Responses'!$R$1:$R$200,16)&amp;", "))),1,""))</f>
        <v/>
      </c>
      <c r="S218">
        <f>IF(Wizards!$A$17="","",IF(OR(ISNUMBER(SEARCH(", "&amp;$B218&amp;", ", ", "&amp;INDEX('Form Responses'!$I$1:$Q$200,17,$A218)&amp;", ")),ISNUMBER(SEARCH(", "&amp;$B218&amp;", ", ", "&amp;INDEX('Form Responses'!$R$1:$R$200,17)&amp;", "))),1,""))</f>
        <v/>
      </c>
      <c r="T218">
        <f>IF(Wizards!$A$18="","",IF(OR(ISNUMBER(SEARCH(", "&amp;$B218&amp;", ", ", "&amp;INDEX('Form Responses'!$I$1:$Q$200,18,$A218)&amp;", ")),ISNUMBER(SEARCH(", "&amp;$B218&amp;", ", ", "&amp;INDEX('Form Responses'!$R$1:$R$200,18)&amp;", "))),1,""))</f>
        <v/>
      </c>
      <c r="U218">
        <f>IF(Wizards!$A$19="","",IF(OR(ISNUMBER(SEARCH(", "&amp;$B218&amp;", ", ", "&amp;INDEX('Form Responses'!$I$1:$Q$200,19,$A218)&amp;", ")),ISNUMBER(SEARCH(", "&amp;$B218&amp;", ", ", "&amp;INDEX('Form Responses'!$R$1:$R$200,19)&amp;", "))),1,""))</f>
        <v/>
      </c>
      <c r="V218">
        <f>IF(Wizards!$A$20="","",IF(OR(ISNUMBER(SEARCH(", "&amp;$B218&amp;", ", ", "&amp;INDEX('Form Responses'!$I$1:$Q$200,20,$A218)&amp;", ")),ISNUMBER(SEARCH(", "&amp;$B218&amp;", ", ", "&amp;INDEX('Form Responses'!$R$1:$R$200,20)&amp;", "))),1,""))</f>
        <v/>
      </c>
      <c r="W218">
        <f>IF(Wizards!$A$21="","",IF(OR(ISNUMBER(SEARCH(", "&amp;$B218&amp;", ", ", "&amp;INDEX('Form Responses'!$I$1:$Q$200,21,$A218)&amp;", ")),ISNUMBER(SEARCH(", "&amp;$B218&amp;", ", ", "&amp;INDEX('Form Responses'!$R$1:$R$200,21)&amp;", "))),1,""))</f>
        <v/>
      </c>
      <c r="X218">
        <f>IF(Wizards!$A$22="","",IF(OR(ISNUMBER(SEARCH(", "&amp;$B218&amp;", ", ", "&amp;INDEX('Form Responses'!$I$1:$Q$200,22,$A218)&amp;", ")),ISNUMBER(SEARCH(", "&amp;$B218&amp;", ", ", "&amp;INDEX('Form Responses'!$R$1:$R$200,22)&amp;", "))),1,""))</f>
        <v/>
      </c>
      <c r="Y218">
        <f>IF(Wizards!$A$23="","",IF(OR(ISNUMBER(SEARCH(", "&amp;$B218&amp;", ", ", "&amp;INDEX('Form Responses'!$I$1:$Q$200,23,$A218)&amp;", ")),ISNUMBER(SEARCH(", "&amp;$B218&amp;", ", ", "&amp;INDEX('Form Responses'!$R$1:$R$200,23)&amp;", "))),1,""))</f>
        <v/>
      </c>
      <c r="Z218">
        <f>IF(Wizards!$A$24="","",IF(OR(ISNUMBER(SEARCH(", "&amp;$B218&amp;", ", ", "&amp;INDEX('Form Responses'!$I$1:$Q$200,24,$A218)&amp;", ")),ISNUMBER(SEARCH(", "&amp;$B218&amp;", ", ", "&amp;INDEX('Form Responses'!$R$1:$R$200,24)&amp;", "))),1,""))</f>
        <v/>
      </c>
      <c r="AA218">
        <f>IF(Wizards!$A$25="","",IF(OR(ISNUMBER(SEARCH(", "&amp;$B218&amp;", ", ", "&amp;INDEX('Form Responses'!$I$1:$Q$200,25,$A218)&amp;", ")),ISNUMBER(SEARCH(", "&amp;$B218&amp;", ", ", "&amp;INDEX('Form Responses'!$R$1:$R$200,25)&amp;", "))),1,""))</f>
        <v/>
      </c>
      <c r="AB218">
        <f>IF(D218=1,", "&amp;D$1,"")</f>
        <v/>
      </c>
      <c r="AC218">
        <f>IF(E218=1,", "&amp;E$1,"")</f>
        <v/>
      </c>
      <c r="AD218">
        <f>IF(F218=1,", "&amp;F$1,"")</f>
        <v/>
      </c>
      <c r="AE218">
        <f>IF(G218=1,", "&amp;G$1,"")</f>
        <v/>
      </c>
      <c r="AF218">
        <f>IF(H218=1,", "&amp;H$1,"")</f>
        <v/>
      </c>
      <c r="AG218">
        <f>IF(I218=1,", "&amp;I$1,"")</f>
        <v/>
      </c>
      <c r="AH218">
        <f>IF(J218=1,", "&amp;J$1,"")</f>
        <v/>
      </c>
      <c r="AI218">
        <f>IF(K218=1,", "&amp;K$1,"")</f>
        <v/>
      </c>
      <c r="AJ218">
        <f>IF(L218=1,", "&amp;L$1,"")</f>
        <v/>
      </c>
      <c r="AK218">
        <f>IF(M218=1,", "&amp;M$1,"")</f>
        <v/>
      </c>
      <c r="AL218">
        <f>IF(N218=1,", "&amp;N$1,"")</f>
        <v/>
      </c>
      <c r="AM218">
        <f>IF(O218=1,", "&amp;O$1,"")</f>
        <v/>
      </c>
      <c r="AN218">
        <f>IF(P218=1,", "&amp;P$1,"")</f>
        <v/>
      </c>
      <c r="AO218">
        <f>IF(Q218=1,", "&amp;Q$1,"")</f>
        <v/>
      </c>
      <c r="AP218">
        <f>IF(R218=1,", "&amp;R$1,"")</f>
        <v/>
      </c>
      <c r="AQ218">
        <f>IF(S218=1,", "&amp;S$1,"")</f>
        <v/>
      </c>
      <c r="AR218">
        <f>IF(T218=1,", "&amp;T$1,"")</f>
        <v/>
      </c>
      <c r="AS218">
        <f>IF(U218=1,", "&amp;U$1,"")</f>
        <v/>
      </c>
      <c r="AT218">
        <f>IF(V218=1,", "&amp;V$1,"")</f>
        <v/>
      </c>
      <c r="AU218">
        <f>IF(W218=1,", "&amp;W$1,"")</f>
        <v/>
      </c>
      <c r="AV218">
        <f>IF(X218=1,", "&amp;X$1,"")</f>
        <v/>
      </c>
      <c r="AW218">
        <f>IF(Y218=1,", "&amp;Y$1,"")</f>
        <v/>
      </c>
      <c r="AX218">
        <f>IF(Z218=1,", "&amp;Z$1,"")</f>
        <v/>
      </c>
      <c r="AY218">
        <f>IF(AA218=1,", "&amp;AA$1,"")</f>
        <v/>
      </c>
      <c r="AZ218">
        <f>MID($AB218&amp;$AC218&amp;$AD218&amp;$AE218&amp;$AF218&amp;$AG218&amp;$AH218&amp;$AI218&amp;$AJ218&amp;$AK218&amp;$AL218&amp;$AM218&amp;$AN218&amp;$AO218&amp;$AP218&amp;$AQ218&amp;$AR218&amp;$AS218&amp;$AT218&amp;$AU218&amp;$AV218&amp;$AW218&amp;$AX218&amp;$AY218,3,32767)</f>
        <v/>
      </c>
      <c r="BA218">
        <f>COUNT($D218:$AA218)</f>
        <v/>
      </c>
    </row>
    <row r="219">
      <c r="A219" t="n">
        <v>5</v>
      </c>
      <c r="B219" t="inlineStr">
        <is>
          <t>Geas</t>
        </is>
      </c>
      <c r="C219" t="inlineStr">
        <is>
          <t>Enchantment</t>
        </is>
      </c>
      <c r="D219">
        <f>IF(Wizards!$A$2="","",IF(OR(ISNUMBER(SEARCH(", "&amp;$B219&amp;", ", ", "&amp;INDEX('Form Responses'!$I$1:$Q$200,2,$A219)&amp;", ")),ISNUMBER(SEARCH(", "&amp;$B219&amp;", ", ", "&amp;INDEX('Form Responses'!$R$1:$R$200,2)&amp;", "))),1,""))</f>
        <v/>
      </c>
      <c r="E219">
        <f>IF(Wizards!$A$3="","",IF(OR(ISNUMBER(SEARCH(", "&amp;$B219&amp;", ", ", "&amp;INDEX('Form Responses'!$I$1:$Q$200,3,$A219)&amp;", ")),ISNUMBER(SEARCH(", "&amp;$B219&amp;", ", ", "&amp;INDEX('Form Responses'!$R$1:$R$200,3)&amp;", "))),1,""))</f>
        <v/>
      </c>
      <c r="F219">
        <f>IF(Wizards!$A$4="","",IF(OR(ISNUMBER(SEARCH(", "&amp;$B219&amp;", ", ", "&amp;INDEX('Form Responses'!$I$1:$Q$200,4,$A219)&amp;", ")),ISNUMBER(SEARCH(", "&amp;$B219&amp;", ", ", "&amp;INDEX('Form Responses'!$R$1:$R$200,4)&amp;", "))),1,""))</f>
        <v/>
      </c>
      <c r="G219">
        <f>IF(Wizards!$A$5="","",IF(OR(ISNUMBER(SEARCH(", "&amp;$B219&amp;", ", ", "&amp;INDEX('Form Responses'!$I$1:$Q$200,5,$A219)&amp;", ")),ISNUMBER(SEARCH(", "&amp;$B219&amp;", ", ", "&amp;INDEX('Form Responses'!$R$1:$R$200,5)&amp;", "))),1,""))</f>
        <v/>
      </c>
      <c r="H219">
        <f>IF(Wizards!$A$6="","",IF(OR(ISNUMBER(SEARCH(", "&amp;$B219&amp;", ", ", "&amp;INDEX('Form Responses'!$I$1:$Q$200,6,$A219)&amp;", ")),ISNUMBER(SEARCH(", "&amp;$B219&amp;", ", ", "&amp;INDEX('Form Responses'!$R$1:$R$200,6)&amp;", "))),1,""))</f>
        <v/>
      </c>
      <c r="I219">
        <f>IF(Wizards!$A$7="","",IF(OR(ISNUMBER(SEARCH(", "&amp;$B219&amp;", ", ", "&amp;INDEX('Form Responses'!$I$1:$Q$200,7,$A219)&amp;", ")),ISNUMBER(SEARCH(", "&amp;$B219&amp;", ", ", "&amp;INDEX('Form Responses'!$R$1:$R$200,7)&amp;", "))),1,""))</f>
        <v/>
      </c>
      <c r="J219">
        <f>IF(Wizards!$A$8="","",IF(OR(ISNUMBER(SEARCH(", "&amp;$B219&amp;", ", ", "&amp;INDEX('Form Responses'!$I$1:$Q$200,8,$A219)&amp;", ")),ISNUMBER(SEARCH(", "&amp;$B219&amp;", ", ", "&amp;INDEX('Form Responses'!$R$1:$R$200,8)&amp;", "))),1,""))</f>
        <v/>
      </c>
      <c r="K219">
        <f>IF(Wizards!$A$9="","",IF(OR(ISNUMBER(SEARCH(", "&amp;$B219&amp;", ", ", "&amp;INDEX('Form Responses'!$I$1:$Q$200,9,$A219)&amp;", ")),ISNUMBER(SEARCH(", "&amp;$B219&amp;", ", ", "&amp;INDEX('Form Responses'!$R$1:$R$200,9)&amp;", "))),1,""))</f>
        <v/>
      </c>
      <c r="L219">
        <f>IF(Wizards!$A$10="","",IF(OR(ISNUMBER(SEARCH(", "&amp;$B219&amp;", ", ", "&amp;INDEX('Form Responses'!$I$1:$Q$200,10,$A219)&amp;", ")),ISNUMBER(SEARCH(", "&amp;$B219&amp;", ", ", "&amp;INDEX('Form Responses'!$R$1:$R$200,10)&amp;", "))),1,""))</f>
        <v/>
      </c>
      <c r="M219">
        <f>IF(Wizards!$A$11="","",IF(OR(ISNUMBER(SEARCH(", "&amp;$B219&amp;", ", ", "&amp;INDEX('Form Responses'!$I$1:$Q$200,11,$A219)&amp;", ")),ISNUMBER(SEARCH(", "&amp;$B219&amp;", ", ", "&amp;INDEX('Form Responses'!$R$1:$R$200,11)&amp;", "))),1,""))</f>
        <v/>
      </c>
      <c r="N219">
        <f>IF(Wizards!$A$12="","",IF(OR(ISNUMBER(SEARCH(", "&amp;$B219&amp;", ", ", "&amp;INDEX('Form Responses'!$I$1:$Q$200,12,$A219)&amp;", ")),ISNUMBER(SEARCH(", "&amp;$B219&amp;", ", ", "&amp;INDEX('Form Responses'!$R$1:$R$200,12)&amp;", "))),1,""))</f>
        <v/>
      </c>
      <c r="O219">
        <f>IF(Wizards!$A$13="","",IF(OR(ISNUMBER(SEARCH(", "&amp;$B219&amp;", ", ", "&amp;INDEX('Form Responses'!$I$1:$Q$200,13,$A219)&amp;", ")),ISNUMBER(SEARCH(", "&amp;$B219&amp;", ", ", "&amp;INDEX('Form Responses'!$R$1:$R$200,13)&amp;", "))),1,""))</f>
        <v/>
      </c>
      <c r="P219">
        <f>IF(Wizards!$A$14="","",IF(OR(ISNUMBER(SEARCH(", "&amp;$B219&amp;", ", ", "&amp;INDEX('Form Responses'!$I$1:$Q$200,14,$A219)&amp;", ")),ISNUMBER(SEARCH(", "&amp;$B219&amp;", ", ", "&amp;INDEX('Form Responses'!$R$1:$R$200,14)&amp;", "))),1,""))</f>
        <v/>
      </c>
      <c r="Q219">
        <f>IF(Wizards!$A$15="","",IF(OR(ISNUMBER(SEARCH(", "&amp;$B219&amp;", ", ", "&amp;INDEX('Form Responses'!$I$1:$Q$200,15,$A219)&amp;", ")),ISNUMBER(SEARCH(", "&amp;$B219&amp;", ", ", "&amp;INDEX('Form Responses'!$R$1:$R$200,15)&amp;", "))),1,""))</f>
        <v/>
      </c>
      <c r="R219">
        <f>IF(Wizards!$A$16="","",IF(OR(ISNUMBER(SEARCH(", "&amp;$B219&amp;", ", ", "&amp;INDEX('Form Responses'!$I$1:$Q$200,16,$A219)&amp;", ")),ISNUMBER(SEARCH(", "&amp;$B219&amp;", ", ", "&amp;INDEX('Form Responses'!$R$1:$R$200,16)&amp;", "))),1,""))</f>
        <v/>
      </c>
      <c r="S219">
        <f>IF(Wizards!$A$17="","",IF(OR(ISNUMBER(SEARCH(", "&amp;$B219&amp;", ", ", "&amp;INDEX('Form Responses'!$I$1:$Q$200,17,$A219)&amp;", ")),ISNUMBER(SEARCH(", "&amp;$B219&amp;", ", ", "&amp;INDEX('Form Responses'!$R$1:$R$200,17)&amp;", "))),1,""))</f>
        <v/>
      </c>
      <c r="T219">
        <f>IF(Wizards!$A$18="","",IF(OR(ISNUMBER(SEARCH(", "&amp;$B219&amp;", ", ", "&amp;INDEX('Form Responses'!$I$1:$Q$200,18,$A219)&amp;", ")),ISNUMBER(SEARCH(", "&amp;$B219&amp;", ", ", "&amp;INDEX('Form Responses'!$R$1:$R$200,18)&amp;", "))),1,""))</f>
        <v/>
      </c>
      <c r="U219">
        <f>IF(Wizards!$A$19="","",IF(OR(ISNUMBER(SEARCH(", "&amp;$B219&amp;", ", ", "&amp;INDEX('Form Responses'!$I$1:$Q$200,19,$A219)&amp;", ")),ISNUMBER(SEARCH(", "&amp;$B219&amp;", ", ", "&amp;INDEX('Form Responses'!$R$1:$R$200,19)&amp;", "))),1,""))</f>
        <v/>
      </c>
      <c r="V219">
        <f>IF(Wizards!$A$20="","",IF(OR(ISNUMBER(SEARCH(", "&amp;$B219&amp;", ", ", "&amp;INDEX('Form Responses'!$I$1:$Q$200,20,$A219)&amp;", ")),ISNUMBER(SEARCH(", "&amp;$B219&amp;", ", ", "&amp;INDEX('Form Responses'!$R$1:$R$200,20)&amp;", "))),1,""))</f>
        <v/>
      </c>
      <c r="W219">
        <f>IF(Wizards!$A$21="","",IF(OR(ISNUMBER(SEARCH(", "&amp;$B219&amp;", ", ", "&amp;INDEX('Form Responses'!$I$1:$Q$200,21,$A219)&amp;", ")),ISNUMBER(SEARCH(", "&amp;$B219&amp;", ", ", "&amp;INDEX('Form Responses'!$R$1:$R$200,21)&amp;", "))),1,""))</f>
        <v/>
      </c>
      <c r="X219">
        <f>IF(Wizards!$A$22="","",IF(OR(ISNUMBER(SEARCH(", "&amp;$B219&amp;", ", ", "&amp;INDEX('Form Responses'!$I$1:$Q$200,22,$A219)&amp;", ")),ISNUMBER(SEARCH(", "&amp;$B219&amp;", ", ", "&amp;INDEX('Form Responses'!$R$1:$R$200,22)&amp;", "))),1,""))</f>
        <v/>
      </c>
      <c r="Y219">
        <f>IF(Wizards!$A$23="","",IF(OR(ISNUMBER(SEARCH(", "&amp;$B219&amp;", ", ", "&amp;INDEX('Form Responses'!$I$1:$Q$200,23,$A219)&amp;", ")),ISNUMBER(SEARCH(", "&amp;$B219&amp;", ", ", "&amp;INDEX('Form Responses'!$R$1:$R$200,23)&amp;", "))),1,""))</f>
        <v/>
      </c>
      <c r="Z219">
        <f>IF(Wizards!$A$24="","",IF(OR(ISNUMBER(SEARCH(", "&amp;$B219&amp;", ", ", "&amp;INDEX('Form Responses'!$I$1:$Q$200,24,$A219)&amp;", ")),ISNUMBER(SEARCH(", "&amp;$B219&amp;", ", ", "&amp;INDEX('Form Responses'!$R$1:$R$200,24)&amp;", "))),1,""))</f>
        <v/>
      </c>
      <c r="AA219">
        <f>IF(Wizards!$A$25="","",IF(OR(ISNUMBER(SEARCH(", "&amp;$B219&amp;", ", ", "&amp;INDEX('Form Responses'!$I$1:$Q$200,25,$A219)&amp;", ")),ISNUMBER(SEARCH(", "&amp;$B219&amp;", ", ", "&amp;INDEX('Form Responses'!$R$1:$R$200,25)&amp;", "))),1,""))</f>
        <v/>
      </c>
      <c r="AB219">
        <f>IF(D219=1,", "&amp;D$1,"")</f>
        <v/>
      </c>
      <c r="AC219">
        <f>IF(E219=1,", "&amp;E$1,"")</f>
        <v/>
      </c>
      <c r="AD219">
        <f>IF(F219=1,", "&amp;F$1,"")</f>
        <v/>
      </c>
      <c r="AE219">
        <f>IF(G219=1,", "&amp;G$1,"")</f>
        <v/>
      </c>
      <c r="AF219">
        <f>IF(H219=1,", "&amp;H$1,"")</f>
        <v/>
      </c>
      <c r="AG219">
        <f>IF(I219=1,", "&amp;I$1,"")</f>
        <v/>
      </c>
      <c r="AH219">
        <f>IF(J219=1,", "&amp;J$1,"")</f>
        <v/>
      </c>
      <c r="AI219">
        <f>IF(K219=1,", "&amp;K$1,"")</f>
        <v/>
      </c>
      <c r="AJ219">
        <f>IF(L219=1,", "&amp;L$1,"")</f>
        <v/>
      </c>
      <c r="AK219">
        <f>IF(M219=1,", "&amp;M$1,"")</f>
        <v/>
      </c>
      <c r="AL219">
        <f>IF(N219=1,", "&amp;N$1,"")</f>
        <v/>
      </c>
      <c r="AM219">
        <f>IF(O219=1,", "&amp;O$1,"")</f>
        <v/>
      </c>
      <c r="AN219">
        <f>IF(P219=1,", "&amp;P$1,"")</f>
        <v/>
      </c>
      <c r="AO219">
        <f>IF(Q219=1,", "&amp;Q$1,"")</f>
        <v/>
      </c>
      <c r="AP219">
        <f>IF(R219=1,", "&amp;R$1,"")</f>
        <v/>
      </c>
      <c r="AQ219">
        <f>IF(S219=1,", "&amp;S$1,"")</f>
        <v/>
      </c>
      <c r="AR219">
        <f>IF(T219=1,", "&amp;T$1,"")</f>
        <v/>
      </c>
      <c r="AS219">
        <f>IF(U219=1,", "&amp;U$1,"")</f>
        <v/>
      </c>
      <c r="AT219">
        <f>IF(V219=1,", "&amp;V$1,"")</f>
        <v/>
      </c>
      <c r="AU219">
        <f>IF(W219=1,", "&amp;W$1,"")</f>
        <v/>
      </c>
      <c r="AV219">
        <f>IF(X219=1,", "&amp;X$1,"")</f>
        <v/>
      </c>
      <c r="AW219">
        <f>IF(Y219=1,", "&amp;Y$1,"")</f>
        <v/>
      </c>
      <c r="AX219">
        <f>IF(Z219=1,", "&amp;Z$1,"")</f>
        <v/>
      </c>
      <c r="AY219">
        <f>IF(AA219=1,", "&amp;AA$1,"")</f>
        <v/>
      </c>
      <c r="AZ219">
        <f>MID($AB219&amp;$AC219&amp;$AD219&amp;$AE219&amp;$AF219&amp;$AG219&amp;$AH219&amp;$AI219&amp;$AJ219&amp;$AK219&amp;$AL219&amp;$AM219&amp;$AN219&amp;$AO219&amp;$AP219&amp;$AQ219&amp;$AR219&amp;$AS219&amp;$AT219&amp;$AU219&amp;$AV219&amp;$AW219&amp;$AX219&amp;$AY219,3,32767)</f>
        <v/>
      </c>
      <c r="BA219">
        <f>COUNT($D219:$AA219)</f>
        <v/>
      </c>
    </row>
    <row r="220">
      <c r="A220" t="n">
        <v>5</v>
      </c>
      <c r="B220" t="inlineStr">
        <is>
          <t>Grave Ground</t>
        </is>
      </c>
      <c r="C220" t="inlineStr">
        <is>
          <t>Necromancy</t>
        </is>
      </c>
      <c r="D220">
        <f>IF(Wizards!$A$2="","",IF(OR(ISNUMBER(SEARCH(", "&amp;$B220&amp;", ", ", "&amp;INDEX('Form Responses'!$I$1:$Q$200,2,$A220)&amp;", ")),ISNUMBER(SEARCH(", "&amp;$B220&amp;", ", ", "&amp;INDEX('Form Responses'!$R$1:$R$200,2)&amp;", "))),1,""))</f>
        <v/>
      </c>
      <c r="E220">
        <f>IF(Wizards!$A$3="","",IF(OR(ISNUMBER(SEARCH(", "&amp;$B220&amp;", ", ", "&amp;INDEX('Form Responses'!$I$1:$Q$200,3,$A220)&amp;", ")),ISNUMBER(SEARCH(", "&amp;$B220&amp;", ", ", "&amp;INDEX('Form Responses'!$R$1:$R$200,3)&amp;", "))),1,""))</f>
        <v/>
      </c>
      <c r="F220">
        <f>IF(Wizards!$A$4="","",IF(OR(ISNUMBER(SEARCH(", "&amp;$B220&amp;", ", ", "&amp;INDEX('Form Responses'!$I$1:$Q$200,4,$A220)&amp;", ")),ISNUMBER(SEARCH(", "&amp;$B220&amp;", ", ", "&amp;INDEX('Form Responses'!$R$1:$R$200,4)&amp;", "))),1,""))</f>
        <v/>
      </c>
      <c r="G220">
        <f>IF(Wizards!$A$5="","",IF(OR(ISNUMBER(SEARCH(", "&amp;$B220&amp;", ", ", "&amp;INDEX('Form Responses'!$I$1:$Q$200,5,$A220)&amp;", ")),ISNUMBER(SEARCH(", "&amp;$B220&amp;", ", ", "&amp;INDEX('Form Responses'!$R$1:$R$200,5)&amp;", "))),1,""))</f>
        <v/>
      </c>
      <c r="H220">
        <f>IF(Wizards!$A$6="","",IF(OR(ISNUMBER(SEARCH(", "&amp;$B220&amp;", ", ", "&amp;INDEX('Form Responses'!$I$1:$Q$200,6,$A220)&amp;", ")),ISNUMBER(SEARCH(", "&amp;$B220&amp;", ", ", "&amp;INDEX('Form Responses'!$R$1:$R$200,6)&amp;", "))),1,""))</f>
        <v/>
      </c>
      <c r="I220">
        <f>IF(Wizards!$A$7="","",IF(OR(ISNUMBER(SEARCH(", "&amp;$B220&amp;", ", ", "&amp;INDEX('Form Responses'!$I$1:$Q$200,7,$A220)&amp;", ")),ISNUMBER(SEARCH(", "&amp;$B220&amp;", ", ", "&amp;INDEX('Form Responses'!$R$1:$R$200,7)&amp;", "))),1,""))</f>
        <v/>
      </c>
      <c r="J220">
        <f>IF(Wizards!$A$8="","",IF(OR(ISNUMBER(SEARCH(", "&amp;$B220&amp;", ", ", "&amp;INDEX('Form Responses'!$I$1:$Q$200,8,$A220)&amp;", ")),ISNUMBER(SEARCH(", "&amp;$B220&amp;", ", ", "&amp;INDEX('Form Responses'!$R$1:$R$200,8)&amp;", "))),1,""))</f>
        <v/>
      </c>
      <c r="K220">
        <f>IF(Wizards!$A$9="","",IF(OR(ISNUMBER(SEARCH(", "&amp;$B220&amp;", ", ", "&amp;INDEX('Form Responses'!$I$1:$Q$200,9,$A220)&amp;", ")),ISNUMBER(SEARCH(", "&amp;$B220&amp;", ", ", "&amp;INDEX('Form Responses'!$R$1:$R$200,9)&amp;", "))),1,""))</f>
        <v/>
      </c>
      <c r="L220">
        <f>IF(Wizards!$A$10="","",IF(OR(ISNUMBER(SEARCH(", "&amp;$B220&amp;", ", ", "&amp;INDEX('Form Responses'!$I$1:$Q$200,10,$A220)&amp;", ")),ISNUMBER(SEARCH(", "&amp;$B220&amp;", ", ", "&amp;INDEX('Form Responses'!$R$1:$R$200,10)&amp;", "))),1,""))</f>
        <v/>
      </c>
      <c r="M220">
        <f>IF(Wizards!$A$11="","",IF(OR(ISNUMBER(SEARCH(", "&amp;$B220&amp;", ", ", "&amp;INDEX('Form Responses'!$I$1:$Q$200,11,$A220)&amp;", ")),ISNUMBER(SEARCH(", "&amp;$B220&amp;", ", ", "&amp;INDEX('Form Responses'!$R$1:$R$200,11)&amp;", "))),1,""))</f>
        <v/>
      </c>
      <c r="N220">
        <f>IF(Wizards!$A$12="","",IF(OR(ISNUMBER(SEARCH(", "&amp;$B220&amp;", ", ", "&amp;INDEX('Form Responses'!$I$1:$Q$200,12,$A220)&amp;", ")),ISNUMBER(SEARCH(", "&amp;$B220&amp;", ", ", "&amp;INDEX('Form Responses'!$R$1:$R$200,12)&amp;", "))),1,""))</f>
        <v/>
      </c>
      <c r="O220">
        <f>IF(Wizards!$A$13="","",IF(OR(ISNUMBER(SEARCH(", "&amp;$B220&amp;", ", ", "&amp;INDEX('Form Responses'!$I$1:$Q$200,13,$A220)&amp;", ")),ISNUMBER(SEARCH(", "&amp;$B220&amp;", ", ", "&amp;INDEX('Form Responses'!$R$1:$R$200,13)&amp;", "))),1,""))</f>
        <v/>
      </c>
      <c r="P220">
        <f>IF(Wizards!$A$14="","",IF(OR(ISNUMBER(SEARCH(", "&amp;$B220&amp;", ", ", "&amp;INDEX('Form Responses'!$I$1:$Q$200,14,$A220)&amp;", ")),ISNUMBER(SEARCH(", "&amp;$B220&amp;", ", ", "&amp;INDEX('Form Responses'!$R$1:$R$200,14)&amp;", "))),1,""))</f>
        <v/>
      </c>
      <c r="Q220">
        <f>IF(Wizards!$A$15="","",IF(OR(ISNUMBER(SEARCH(", "&amp;$B220&amp;", ", ", "&amp;INDEX('Form Responses'!$I$1:$Q$200,15,$A220)&amp;", ")),ISNUMBER(SEARCH(", "&amp;$B220&amp;", ", ", "&amp;INDEX('Form Responses'!$R$1:$R$200,15)&amp;", "))),1,""))</f>
        <v/>
      </c>
      <c r="R220">
        <f>IF(Wizards!$A$16="","",IF(OR(ISNUMBER(SEARCH(", "&amp;$B220&amp;", ", ", "&amp;INDEX('Form Responses'!$I$1:$Q$200,16,$A220)&amp;", ")),ISNUMBER(SEARCH(", "&amp;$B220&amp;", ", ", "&amp;INDEX('Form Responses'!$R$1:$R$200,16)&amp;", "))),1,""))</f>
        <v/>
      </c>
      <c r="S220">
        <f>IF(Wizards!$A$17="","",IF(OR(ISNUMBER(SEARCH(", "&amp;$B220&amp;", ", ", "&amp;INDEX('Form Responses'!$I$1:$Q$200,17,$A220)&amp;", ")),ISNUMBER(SEARCH(", "&amp;$B220&amp;", ", ", "&amp;INDEX('Form Responses'!$R$1:$R$200,17)&amp;", "))),1,""))</f>
        <v/>
      </c>
      <c r="T220">
        <f>IF(Wizards!$A$18="","",IF(OR(ISNUMBER(SEARCH(", "&amp;$B220&amp;", ", ", "&amp;INDEX('Form Responses'!$I$1:$Q$200,18,$A220)&amp;", ")),ISNUMBER(SEARCH(", "&amp;$B220&amp;", ", ", "&amp;INDEX('Form Responses'!$R$1:$R$200,18)&amp;", "))),1,""))</f>
        <v/>
      </c>
      <c r="U220">
        <f>IF(Wizards!$A$19="","",IF(OR(ISNUMBER(SEARCH(", "&amp;$B220&amp;", ", ", "&amp;INDEX('Form Responses'!$I$1:$Q$200,19,$A220)&amp;", ")),ISNUMBER(SEARCH(", "&amp;$B220&amp;", ", ", "&amp;INDEX('Form Responses'!$R$1:$R$200,19)&amp;", "))),1,""))</f>
        <v/>
      </c>
      <c r="V220">
        <f>IF(Wizards!$A$20="","",IF(OR(ISNUMBER(SEARCH(", "&amp;$B220&amp;", ", ", "&amp;INDEX('Form Responses'!$I$1:$Q$200,20,$A220)&amp;", ")),ISNUMBER(SEARCH(", "&amp;$B220&amp;", ", ", "&amp;INDEX('Form Responses'!$R$1:$R$200,20)&amp;", "))),1,""))</f>
        <v/>
      </c>
      <c r="W220">
        <f>IF(Wizards!$A$21="","",IF(OR(ISNUMBER(SEARCH(", "&amp;$B220&amp;", ", ", "&amp;INDEX('Form Responses'!$I$1:$Q$200,21,$A220)&amp;", ")),ISNUMBER(SEARCH(", "&amp;$B220&amp;", ", ", "&amp;INDEX('Form Responses'!$R$1:$R$200,21)&amp;", "))),1,""))</f>
        <v/>
      </c>
      <c r="X220">
        <f>IF(Wizards!$A$22="","",IF(OR(ISNUMBER(SEARCH(", "&amp;$B220&amp;", ", ", "&amp;INDEX('Form Responses'!$I$1:$Q$200,22,$A220)&amp;", ")),ISNUMBER(SEARCH(", "&amp;$B220&amp;", ", ", "&amp;INDEX('Form Responses'!$R$1:$R$200,22)&amp;", "))),1,""))</f>
        <v/>
      </c>
      <c r="Y220">
        <f>IF(Wizards!$A$23="","",IF(OR(ISNUMBER(SEARCH(", "&amp;$B220&amp;", ", ", "&amp;INDEX('Form Responses'!$I$1:$Q$200,23,$A220)&amp;", ")),ISNUMBER(SEARCH(", "&amp;$B220&amp;", ", ", "&amp;INDEX('Form Responses'!$R$1:$R$200,23)&amp;", "))),1,""))</f>
        <v/>
      </c>
      <c r="Z220">
        <f>IF(Wizards!$A$24="","",IF(OR(ISNUMBER(SEARCH(", "&amp;$B220&amp;", ", ", "&amp;INDEX('Form Responses'!$I$1:$Q$200,24,$A220)&amp;", ")),ISNUMBER(SEARCH(", "&amp;$B220&amp;", ", ", "&amp;INDEX('Form Responses'!$R$1:$R$200,24)&amp;", "))),1,""))</f>
        <v/>
      </c>
      <c r="AA220">
        <f>IF(Wizards!$A$25="","",IF(OR(ISNUMBER(SEARCH(", "&amp;$B220&amp;", ", ", "&amp;INDEX('Form Responses'!$I$1:$Q$200,25,$A220)&amp;", ")),ISNUMBER(SEARCH(", "&amp;$B220&amp;", ", ", "&amp;INDEX('Form Responses'!$R$1:$R$200,25)&amp;", "))),1,""))</f>
        <v/>
      </c>
      <c r="AB220">
        <f>IF(D220=1,", "&amp;D$1,"")</f>
        <v/>
      </c>
      <c r="AC220">
        <f>IF(E220=1,", "&amp;E$1,"")</f>
        <v/>
      </c>
      <c r="AD220">
        <f>IF(F220=1,", "&amp;F$1,"")</f>
        <v/>
      </c>
      <c r="AE220">
        <f>IF(G220=1,", "&amp;G$1,"")</f>
        <v/>
      </c>
      <c r="AF220">
        <f>IF(H220=1,", "&amp;H$1,"")</f>
        <v/>
      </c>
      <c r="AG220">
        <f>IF(I220=1,", "&amp;I$1,"")</f>
        <v/>
      </c>
      <c r="AH220">
        <f>IF(J220=1,", "&amp;J$1,"")</f>
        <v/>
      </c>
      <c r="AI220">
        <f>IF(K220=1,", "&amp;K$1,"")</f>
        <v/>
      </c>
      <c r="AJ220">
        <f>IF(L220=1,", "&amp;L$1,"")</f>
        <v/>
      </c>
      <c r="AK220">
        <f>IF(M220=1,", "&amp;M$1,"")</f>
        <v/>
      </c>
      <c r="AL220">
        <f>IF(N220=1,", "&amp;N$1,"")</f>
        <v/>
      </c>
      <c r="AM220">
        <f>IF(O220=1,", "&amp;O$1,"")</f>
        <v/>
      </c>
      <c r="AN220">
        <f>IF(P220=1,", "&amp;P$1,"")</f>
        <v/>
      </c>
      <c r="AO220">
        <f>IF(Q220=1,", "&amp;Q$1,"")</f>
        <v/>
      </c>
      <c r="AP220">
        <f>IF(R220=1,", "&amp;R$1,"")</f>
        <v/>
      </c>
      <c r="AQ220">
        <f>IF(S220=1,", "&amp;S$1,"")</f>
        <v/>
      </c>
      <c r="AR220">
        <f>IF(T220=1,", "&amp;T$1,"")</f>
        <v/>
      </c>
      <c r="AS220">
        <f>IF(U220=1,", "&amp;U$1,"")</f>
        <v/>
      </c>
      <c r="AT220">
        <f>IF(V220=1,", "&amp;V$1,"")</f>
        <v/>
      </c>
      <c r="AU220">
        <f>IF(W220=1,", "&amp;W$1,"")</f>
        <v/>
      </c>
      <c r="AV220">
        <f>IF(X220=1,", "&amp;X$1,"")</f>
        <v/>
      </c>
      <c r="AW220">
        <f>IF(Y220=1,", "&amp;Y$1,"")</f>
        <v/>
      </c>
      <c r="AX220">
        <f>IF(Z220=1,", "&amp;Z$1,"")</f>
        <v/>
      </c>
      <c r="AY220">
        <f>IF(AA220=1,", "&amp;AA$1,"")</f>
        <v/>
      </c>
      <c r="AZ220">
        <f>MID($AB220&amp;$AC220&amp;$AD220&amp;$AE220&amp;$AF220&amp;$AG220&amp;$AH220&amp;$AI220&amp;$AJ220&amp;$AK220&amp;$AL220&amp;$AM220&amp;$AN220&amp;$AO220&amp;$AP220&amp;$AQ220&amp;$AR220&amp;$AS220&amp;$AT220&amp;$AU220&amp;$AV220&amp;$AW220&amp;$AX220&amp;$AY220,3,32767)</f>
        <v/>
      </c>
      <c r="BA220">
        <f>COUNT($D220:$AA220)</f>
        <v/>
      </c>
    </row>
    <row r="221">
      <c r="A221" t="n">
        <v>5</v>
      </c>
      <c r="B221" t="inlineStr">
        <is>
          <t>Hold Monster</t>
        </is>
      </c>
      <c r="C221" t="inlineStr">
        <is>
          <t>Enchantment</t>
        </is>
      </c>
      <c r="D221">
        <f>IF(Wizards!$A$2="","",IF(OR(ISNUMBER(SEARCH(", "&amp;$B221&amp;", ", ", "&amp;INDEX('Form Responses'!$I$1:$Q$200,2,$A221)&amp;", ")),ISNUMBER(SEARCH(", "&amp;$B221&amp;", ", ", "&amp;INDEX('Form Responses'!$R$1:$R$200,2)&amp;", "))),1,""))</f>
        <v/>
      </c>
      <c r="E221">
        <f>IF(Wizards!$A$3="","",IF(OR(ISNUMBER(SEARCH(", "&amp;$B221&amp;", ", ", "&amp;INDEX('Form Responses'!$I$1:$Q$200,3,$A221)&amp;", ")),ISNUMBER(SEARCH(", "&amp;$B221&amp;", ", ", "&amp;INDEX('Form Responses'!$R$1:$R$200,3)&amp;", "))),1,""))</f>
        <v/>
      </c>
      <c r="F221">
        <f>IF(Wizards!$A$4="","",IF(OR(ISNUMBER(SEARCH(", "&amp;$B221&amp;", ", ", "&amp;INDEX('Form Responses'!$I$1:$Q$200,4,$A221)&amp;", ")),ISNUMBER(SEARCH(", "&amp;$B221&amp;", ", ", "&amp;INDEX('Form Responses'!$R$1:$R$200,4)&amp;", "))),1,""))</f>
        <v/>
      </c>
      <c r="G221">
        <f>IF(Wizards!$A$5="","",IF(OR(ISNUMBER(SEARCH(", "&amp;$B221&amp;", ", ", "&amp;INDEX('Form Responses'!$I$1:$Q$200,5,$A221)&amp;", ")),ISNUMBER(SEARCH(", "&amp;$B221&amp;", ", ", "&amp;INDEX('Form Responses'!$R$1:$R$200,5)&amp;", "))),1,""))</f>
        <v/>
      </c>
      <c r="H221">
        <f>IF(Wizards!$A$6="","",IF(OR(ISNUMBER(SEARCH(", "&amp;$B221&amp;", ", ", "&amp;INDEX('Form Responses'!$I$1:$Q$200,6,$A221)&amp;", ")),ISNUMBER(SEARCH(", "&amp;$B221&amp;", ", ", "&amp;INDEX('Form Responses'!$R$1:$R$200,6)&amp;", "))),1,""))</f>
        <v/>
      </c>
      <c r="I221">
        <f>IF(Wizards!$A$7="","",IF(OR(ISNUMBER(SEARCH(", "&amp;$B221&amp;", ", ", "&amp;INDEX('Form Responses'!$I$1:$Q$200,7,$A221)&amp;", ")),ISNUMBER(SEARCH(", "&amp;$B221&amp;", ", ", "&amp;INDEX('Form Responses'!$R$1:$R$200,7)&amp;", "))),1,""))</f>
        <v/>
      </c>
      <c r="J221">
        <f>IF(Wizards!$A$8="","",IF(OR(ISNUMBER(SEARCH(", "&amp;$B221&amp;", ", ", "&amp;INDEX('Form Responses'!$I$1:$Q$200,8,$A221)&amp;", ")),ISNUMBER(SEARCH(", "&amp;$B221&amp;", ", ", "&amp;INDEX('Form Responses'!$R$1:$R$200,8)&amp;", "))),1,""))</f>
        <v/>
      </c>
      <c r="K221">
        <f>IF(Wizards!$A$9="","",IF(OR(ISNUMBER(SEARCH(", "&amp;$B221&amp;", ", ", "&amp;INDEX('Form Responses'!$I$1:$Q$200,9,$A221)&amp;", ")),ISNUMBER(SEARCH(", "&amp;$B221&amp;", ", ", "&amp;INDEX('Form Responses'!$R$1:$R$200,9)&amp;", "))),1,""))</f>
        <v/>
      </c>
      <c r="L221">
        <f>IF(Wizards!$A$10="","",IF(OR(ISNUMBER(SEARCH(", "&amp;$B221&amp;", ", ", "&amp;INDEX('Form Responses'!$I$1:$Q$200,10,$A221)&amp;", ")),ISNUMBER(SEARCH(", "&amp;$B221&amp;", ", ", "&amp;INDEX('Form Responses'!$R$1:$R$200,10)&amp;", "))),1,""))</f>
        <v/>
      </c>
      <c r="M221">
        <f>IF(Wizards!$A$11="","",IF(OR(ISNUMBER(SEARCH(", "&amp;$B221&amp;", ", ", "&amp;INDEX('Form Responses'!$I$1:$Q$200,11,$A221)&amp;", ")),ISNUMBER(SEARCH(", "&amp;$B221&amp;", ", ", "&amp;INDEX('Form Responses'!$R$1:$R$200,11)&amp;", "))),1,""))</f>
        <v/>
      </c>
      <c r="N221">
        <f>IF(Wizards!$A$12="","",IF(OR(ISNUMBER(SEARCH(", "&amp;$B221&amp;", ", ", "&amp;INDEX('Form Responses'!$I$1:$Q$200,12,$A221)&amp;", ")),ISNUMBER(SEARCH(", "&amp;$B221&amp;", ", ", "&amp;INDEX('Form Responses'!$R$1:$R$200,12)&amp;", "))),1,""))</f>
        <v/>
      </c>
      <c r="O221">
        <f>IF(Wizards!$A$13="","",IF(OR(ISNUMBER(SEARCH(", "&amp;$B221&amp;", ", ", "&amp;INDEX('Form Responses'!$I$1:$Q$200,13,$A221)&amp;", ")),ISNUMBER(SEARCH(", "&amp;$B221&amp;", ", ", "&amp;INDEX('Form Responses'!$R$1:$R$200,13)&amp;", "))),1,""))</f>
        <v/>
      </c>
      <c r="P221">
        <f>IF(Wizards!$A$14="","",IF(OR(ISNUMBER(SEARCH(", "&amp;$B221&amp;", ", ", "&amp;INDEX('Form Responses'!$I$1:$Q$200,14,$A221)&amp;", ")),ISNUMBER(SEARCH(", "&amp;$B221&amp;", ", ", "&amp;INDEX('Form Responses'!$R$1:$R$200,14)&amp;", "))),1,""))</f>
        <v/>
      </c>
      <c r="Q221">
        <f>IF(Wizards!$A$15="","",IF(OR(ISNUMBER(SEARCH(", "&amp;$B221&amp;", ", ", "&amp;INDEX('Form Responses'!$I$1:$Q$200,15,$A221)&amp;", ")),ISNUMBER(SEARCH(", "&amp;$B221&amp;", ", ", "&amp;INDEX('Form Responses'!$R$1:$R$200,15)&amp;", "))),1,""))</f>
        <v/>
      </c>
      <c r="R221">
        <f>IF(Wizards!$A$16="","",IF(OR(ISNUMBER(SEARCH(", "&amp;$B221&amp;", ", ", "&amp;INDEX('Form Responses'!$I$1:$Q$200,16,$A221)&amp;", ")),ISNUMBER(SEARCH(", "&amp;$B221&amp;", ", ", "&amp;INDEX('Form Responses'!$R$1:$R$200,16)&amp;", "))),1,""))</f>
        <v/>
      </c>
      <c r="S221">
        <f>IF(Wizards!$A$17="","",IF(OR(ISNUMBER(SEARCH(", "&amp;$B221&amp;", ", ", "&amp;INDEX('Form Responses'!$I$1:$Q$200,17,$A221)&amp;", ")),ISNUMBER(SEARCH(", "&amp;$B221&amp;", ", ", "&amp;INDEX('Form Responses'!$R$1:$R$200,17)&amp;", "))),1,""))</f>
        <v/>
      </c>
      <c r="T221">
        <f>IF(Wizards!$A$18="","",IF(OR(ISNUMBER(SEARCH(", "&amp;$B221&amp;", ", ", "&amp;INDEX('Form Responses'!$I$1:$Q$200,18,$A221)&amp;", ")),ISNUMBER(SEARCH(", "&amp;$B221&amp;", ", ", "&amp;INDEX('Form Responses'!$R$1:$R$200,18)&amp;", "))),1,""))</f>
        <v/>
      </c>
      <c r="U221">
        <f>IF(Wizards!$A$19="","",IF(OR(ISNUMBER(SEARCH(", "&amp;$B221&amp;", ", ", "&amp;INDEX('Form Responses'!$I$1:$Q$200,19,$A221)&amp;", ")),ISNUMBER(SEARCH(", "&amp;$B221&amp;", ", ", "&amp;INDEX('Form Responses'!$R$1:$R$200,19)&amp;", "))),1,""))</f>
        <v/>
      </c>
      <c r="V221">
        <f>IF(Wizards!$A$20="","",IF(OR(ISNUMBER(SEARCH(", "&amp;$B221&amp;", ", ", "&amp;INDEX('Form Responses'!$I$1:$Q$200,20,$A221)&amp;", ")),ISNUMBER(SEARCH(", "&amp;$B221&amp;", ", ", "&amp;INDEX('Form Responses'!$R$1:$R$200,20)&amp;", "))),1,""))</f>
        <v/>
      </c>
      <c r="W221">
        <f>IF(Wizards!$A$21="","",IF(OR(ISNUMBER(SEARCH(", "&amp;$B221&amp;", ", ", "&amp;INDEX('Form Responses'!$I$1:$Q$200,21,$A221)&amp;", ")),ISNUMBER(SEARCH(", "&amp;$B221&amp;", ", ", "&amp;INDEX('Form Responses'!$R$1:$R$200,21)&amp;", "))),1,""))</f>
        <v/>
      </c>
      <c r="X221">
        <f>IF(Wizards!$A$22="","",IF(OR(ISNUMBER(SEARCH(", "&amp;$B221&amp;", ", ", "&amp;INDEX('Form Responses'!$I$1:$Q$200,22,$A221)&amp;", ")),ISNUMBER(SEARCH(", "&amp;$B221&amp;", ", ", "&amp;INDEX('Form Responses'!$R$1:$R$200,22)&amp;", "))),1,""))</f>
        <v/>
      </c>
      <c r="Y221">
        <f>IF(Wizards!$A$23="","",IF(OR(ISNUMBER(SEARCH(", "&amp;$B221&amp;", ", ", "&amp;INDEX('Form Responses'!$I$1:$Q$200,23,$A221)&amp;", ")),ISNUMBER(SEARCH(", "&amp;$B221&amp;", ", ", "&amp;INDEX('Form Responses'!$R$1:$R$200,23)&amp;", "))),1,""))</f>
        <v/>
      </c>
      <c r="Z221">
        <f>IF(Wizards!$A$24="","",IF(OR(ISNUMBER(SEARCH(", "&amp;$B221&amp;", ", ", "&amp;INDEX('Form Responses'!$I$1:$Q$200,24,$A221)&amp;", ")),ISNUMBER(SEARCH(", "&amp;$B221&amp;", ", ", "&amp;INDEX('Form Responses'!$R$1:$R$200,24)&amp;", "))),1,""))</f>
        <v/>
      </c>
      <c r="AA221">
        <f>IF(Wizards!$A$25="","",IF(OR(ISNUMBER(SEARCH(", "&amp;$B221&amp;", ", ", "&amp;INDEX('Form Responses'!$I$1:$Q$200,25,$A221)&amp;", ")),ISNUMBER(SEARCH(", "&amp;$B221&amp;", ", ", "&amp;INDEX('Form Responses'!$R$1:$R$200,25)&amp;", "))),1,""))</f>
        <v/>
      </c>
      <c r="AB221">
        <f>IF(D221=1,", "&amp;D$1,"")</f>
        <v/>
      </c>
      <c r="AC221">
        <f>IF(E221=1,", "&amp;E$1,"")</f>
        <v/>
      </c>
      <c r="AD221">
        <f>IF(F221=1,", "&amp;F$1,"")</f>
        <v/>
      </c>
      <c r="AE221">
        <f>IF(G221=1,", "&amp;G$1,"")</f>
        <v/>
      </c>
      <c r="AF221">
        <f>IF(H221=1,", "&amp;H$1,"")</f>
        <v/>
      </c>
      <c r="AG221">
        <f>IF(I221=1,", "&amp;I$1,"")</f>
        <v/>
      </c>
      <c r="AH221">
        <f>IF(J221=1,", "&amp;J$1,"")</f>
        <v/>
      </c>
      <c r="AI221">
        <f>IF(K221=1,", "&amp;K$1,"")</f>
        <v/>
      </c>
      <c r="AJ221">
        <f>IF(L221=1,", "&amp;L$1,"")</f>
        <v/>
      </c>
      <c r="AK221">
        <f>IF(M221=1,", "&amp;M$1,"")</f>
        <v/>
      </c>
      <c r="AL221">
        <f>IF(N221=1,", "&amp;N$1,"")</f>
        <v/>
      </c>
      <c r="AM221">
        <f>IF(O221=1,", "&amp;O$1,"")</f>
        <v/>
      </c>
      <c r="AN221">
        <f>IF(P221=1,", "&amp;P$1,"")</f>
        <v/>
      </c>
      <c r="AO221">
        <f>IF(Q221=1,", "&amp;Q$1,"")</f>
        <v/>
      </c>
      <c r="AP221">
        <f>IF(R221=1,", "&amp;R$1,"")</f>
        <v/>
      </c>
      <c r="AQ221">
        <f>IF(S221=1,", "&amp;S$1,"")</f>
        <v/>
      </c>
      <c r="AR221">
        <f>IF(T221=1,", "&amp;T$1,"")</f>
        <v/>
      </c>
      <c r="AS221">
        <f>IF(U221=1,", "&amp;U$1,"")</f>
        <v/>
      </c>
      <c r="AT221">
        <f>IF(V221=1,", "&amp;V$1,"")</f>
        <v/>
      </c>
      <c r="AU221">
        <f>IF(W221=1,", "&amp;W$1,"")</f>
        <v/>
      </c>
      <c r="AV221">
        <f>IF(X221=1,", "&amp;X$1,"")</f>
        <v/>
      </c>
      <c r="AW221">
        <f>IF(Y221=1,", "&amp;Y$1,"")</f>
        <v/>
      </c>
      <c r="AX221">
        <f>IF(Z221=1,", "&amp;Z$1,"")</f>
        <v/>
      </c>
      <c r="AY221">
        <f>IF(AA221=1,", "&amp;AA$1,"")</f>
        <v/>
      </c>
      <c r="AZ221">
        <f>MID($AB221&amp;$AC221&amp;$AD221&amp;$AE221&amp;$AF221&amp;$AG221&amp;$AH221&amp;$AI221&amp;$AJ221&amp;$AK221&amp;$AL221&amp;$AM221&amp;$AN221&amp;$AO221&amp;$AP221&amp;$AQ221&amp;$AR221&amp;$AS221&amp;$AT221&amp;$AU221&amp;$AV221&amp;$AW221&amp;$AX221&amp;$AY221,3,32767)</f>
        <v/>
      </c>
      <c r="BA221">
        <f>COUNT($D221:$AA221)</f>
        <v/>
      </c>
    </row>
    <row r="222">
      <c r="A222" t="n">
        <v>5</v>
      </c>
      <c r="B222" t="inlineStr">
        <is>
          <t>Immolation</t>
        </is>
      </c>
      <c r="C222" t="inlineStr">
        <is>
          <t>Evocation</t>
        </is>
      </c>
      <c r="D222">
        <f>IF(Wizards!$A$2="","",IF(OR(ISNUMBER(SEARCH(", "&amp;$B222&amp;", ", ", "&amp;INDEX('Form Responses'!$I$1:$Q$200,2,$A222)&amp;", ")),ISNUMBER(SEARCH(", "&amp;$B222&amp;", ", ", "&amp;INDEX('Form Responses'!$R$1:$R$200,2)&amp;", "))),1,""))</f>
        <v/>
      </c>
      <c r="E222">
        <f>IF(Wizards!$A$3="","",IF(OR(ISNUMBER(SEARCH(", "&amp;$B222&amp;", ", ", "&amp;INDEX('Form Responses'!$I$1:$Q$200,3,$A222)&amp;", ")),ISNUMBER(SEARCH(", "&amp;$B222&amp;", ", ", "&amp;INDEX('Form Responses'!$R$1:$R$200,3)&amp;", "))),1,""))</f>
        <v/>
      </c>
      <c r="F222">
        <f>IF(Wizards!$A$4="","",IF(OR(ISNUMBER(SEARCH(", "&amp;$B222&amp;", ", ", "&amp;INDEX('Form Responses'!$I$1:$Q$200,4,$A222)&amp;", ")),ISNUMBER(SEARCH(", "&amp;$B222&amp;", ", ", "&amp;INDEX('Form Responses'!$R$1:$R$200,4)&amp;", "))),1,""))</f>
        <v/>
      </c>
      <c r="G222">
        <f>IF(Wizards!$A$5="","",IF(OR(ISNUMBER(SEARCH(", "&amp;$B222&amp;", ", ", "&amp;INDEX('Form Responses'!$I$1:$Q$200,5,$A222)&amp;", ")),ISNUMBER(SEARCH(", "&amp;$B222&amp;", ", ", "&amp;INDEX('Form Responses'!$R$1:$R$200,5)&amp;", "))),1,""))</f>
        <v/>
      </c>
      <c r="H222">
        <f>IF(Wizards!$A$6="","",IF(OR(ISNUMBER(SEARCH(", "&amp;$B222&amp;", ", ", "&amp;INDEX('Form Responses'!$I$1:$Q$200,6,$A222)&amp;", ")),ISNUMBER(SEARCH(", "&amp;$B222&amp;", ", ", "&amp;INDEX('Form Responses'!$R$1:$R$200,6)&amp;", "))),1,""))</f>
        <v/>
      </c>
      <c r="I222">
        <f>IF(Wizards!$A$7="","",IF(OR(ISNUMBER(SEARCH(", "&amp;$B222&amp;", ", ", "&amp;INDEX('Form Responses'!$I$1:$Q$200,7,$A222)&amp;", ")),ISNUMBER(SEARCH(", "&amp;$B222&amp;", ", ", "&amp;INDEX('Form Responses'!$R$1:$R$200,7)&amp;", "))),1,""))</f>
        <v/>
      </c>
      <c r="J222">
        <f>IF(Wizards!$A$8="","",IF(OR(ISNUMBER(SEARCH(", "&amp;$B222&amp;", ", ", "&amp;INDEX('Form Responses'!$I$1:$Q$200,8,$A222)&amp;", ")),ISNUMBER(SEARCH(", "&amp;$B222&amp;", ", ", "&amp;INDEX('Form Responses'!$R$1:$R$200,8)&amp;", "))),1,""))</f>
        <v/>
      </c>
      <c r="K222">
        <f>IF(Wizards!$A$9="","",IF(OR(ISNUMBER(SEARCH(", "&amp;$B222&amp;", ", ", "&amp;INDEX('Form Responses'!$I$1:$Q$200,9,$A222)&amp;", ")),ISNUMBER(SEARCH(", "&amp;$B222&amp;", ", ", "&amp;INDEX('Form Responses'!$R$1:$R$200,9)&amp;", "))),1,""))</f>
        <v/>
      </c>
      <c r="L222">
        <f>IF(Wizards!$A$10="","",IF(OR(ISNUMBER(SEARCH(", "&amp;$B222&amp;", ", ", "&amp;INDEX('Form Responses'!$I$1:$Q$200,10,$A222)&amp;", ")),ISNUMBER(SEARCH(", "&amp;$B222&amp;", ", ", "&amp;INDEX('Form Responses'!$R$1:$R$200,10)&amp;", "))),1,""))</f>
        <v/>
      </c>
      <c r="M222">
        <f>IF(Wizards!$A$11="","",IF(OR(ISNUMBER(SEARCH(", "&amp;$B222&amp;", ", ", "&amp;INDEX('Form Responses'!$I$1:$Q$200,11,$A222)&amp;", ")),ISNUMBER(SEARCH(", "&amp;$B222&amp;", ", ", "&amp;INDEX('Form Responses'!$R$1:$R$200,11)&amp;", "))),1,""))</f>
        <v/>
      </c>
      <c r="N222">
        <f>IF(Wizards!$A$12="","",IF(OR(ISNUMBER(SEARCH(", "&amp;$B222&amp;", ", ", "&amp;INDEX('Form Responses'!$I$1:$Q$200,12,$A222)&amp;", ")),ISNUMBER(SEARCH(", "&amp;$B222&amp;", ", ", "&amp;INDEX('Form Responses'!$R$1:$R$200,12)&amp;", "))),1,""))</f>
        <v/>
      </c>
      <c r="O222">
        <f>IF(Wizards!$A$13="","",IF(OR(ISNUMBER(SEARCH(", "&amp;$B222&amp;", ", ", "&amp;INDEX('Form Responses'!$I$1:$Q$200,13,$A222)&amp;", ")),ISNUMBER(SEARCH(", "&amp;$B222&amp;", ", ", "&amp;INDEX('Form Responses'!$R$1:$R$200,13)&amp;", "))),1,""))</f>
        <v/>
      </c>
      <c r="P222">
        <f>IF(Wizards!$A$14="","",IF(OR(ISNUMBER(SEARCH(", "&amp;$B222&amp;", ", ", "&amp;INDEX('Form Responses'!$I$1:$Q$200,14,$A222)&amp;", ")),ISNUMBER(SEARCH(", "&amp;$B222&amp;", ", ", "&amp;INDEX('Form Responses'!$R$1:$R$200,14)&amp;", "))),1,""))</f>
        <v/>
      </c>
      <c r="Q222">
        <f>IF(Wizards!$A$15="","",IF(OR(ISNUMBER(SEARCH(", "&amp;$B222&amp;", ", ", "&amp;INDEX('Form Responses'!$I$1:$Q$200,15,$A222)&amp;", ")),ISNUMBER(SEARCH(", "&amp;$B222&amp;", ", ", "&amp;INDEX('Form Responses'!$R$1:$R$200,15)&amp;", "))),1,""))</f>
        <v/>
      </c>
      <c r="R222">
        <f>IF(Wizards!$A$16="","",IF(OR(ISNUMBER(SEARCH(", "&amp;$B222&amp;", ", ", "&amp;INDEX('Form Responses'!$I$1:$Q$200,16,$A222)&amp;", ")),ISNUMBER(SEARCH(", "&amp;$B222&amp;", ", ", "&amp;INDEX('Form Responses'!$R$1:$R$200,16)&amp;", "))),1,""))</f>
        <v/>
      </c>
      <c r="S222">
        <f>IF(Wizards!$A$17="","",IF(OR(ISNUMBER(SEARCH(", "&amp;$B222&amp;", ", ", "&amp;INDEX('Form Responses'!$I$1:$Q$200,17,$A222)&amp;", ")),ISNUMBER(SEARCH(", "&amp;$B222&amp;", ", ", "&amp;INDEX('Form Responses'!$R$1:$R$200,17)&amp;", "))),1,""))</f>
        <v/>
      </c>
      <c r="T222">
        <f>IF(Wizards!$A$18="","",IF(OR(ISNUMBER(SEARCH(", "&amp;$B222&amp;", ", ", "&amp;INDEX('Form Responses'!$I$1:$Q$200,18,$A222)&amp;", ")),ISNUMBER(SEARCH(", "&amp;$B222&amp;", ", ", "&amp;INDEX('Form Responses'!$R$1:$R$200,18)&amp;", "))),1,""))</f>
        <v/>
      </c>
      <c r="U222">
        <f>IF(Wizards!$A$19="","",IF(OR(ISNUMBER(SEARCH(", "&amp;$B222&amp;", ", ", "&amp;INDEX('Form Responses'!$I$1:$Q$200,19,$A222)&amp;", ")),ISNUMBER(SEARCH(", "&amp;$B222&amp;", ", ", "&amp;INDEX('Form Responses'!$R$1:$R$200,19)&amp;", "))),1,""))</f>
        <v/>
      </c>
      <c r="V222">
        <f>IF(Wizards!$A$20="","",IF(OR(ISNUMBER(SEARCH(", "&amp;$B222&amp;", ", ", "&amp;INDEX('Form Responses'!$I$1:$Q$200,20,$A222)&amp;", ")),ISNUMBER(SEARCH(", "&amp;$B222&amp;", ", ", "&amp;INDEX('Form Responses'!$R$1:$R$200,20)&amp;", "))),1,""))</f>
        <v/>
      </c>
      <c r="W222">
        <f>IF(Wizards!$A$21="","",IF(OR(ISNUMBER(SEARCH(", "&amp;$B222&amp;", ", ", "&amp;INDEX('Form Responses'!$I$1:$Q$200,21,$A222)&amp;", ")),ISNUMBER(SEARCH(", "&amp;$B222&amp;", ", ", "&amp;INDEX('Form Responses'!$R$1:$R$200,21)&amp;", "))),1,""))</f>
        <v/>
      </c>
      <c r="X222">
        <f>IF(Wizards!$A$22="","",IF(OR(ISNUMBER(SEARCH(", "&amp;$B222&amp;", ", ", "&amp;INDEX('Form Responses'!$I$1:$Q$200,22,$A222)&amp;", ")),ISNUMBER(SEARCH(", "&amp;$B222&amp;", ", ", "&amp;INDEX('Form Responses'!$R$1:$R$200,22)&amp;", "))),1,""))</f>
        <v/>
      </c>
      <c r="Y222">
        <f>IF(Wizards!$A$23="","",IF(OR(ISNUMBER(SEARCH(", "&amp;$B222&amp;", ", ", "&amp;INDEX('Form Responses'!$I$1:$Q$200,23,$A222)&amp;", ")),ISNUMBER(SEARCH(", "&amp;$B222&amp;", ", ", "&amp;INDEX('Form Responses'!$R$1:$R$200,23)&amp;", "))),1,""))</f>
        <v/>
      </c>
      <c r="Z222">
        <f>IF(Wizards!$A$24="","",IF(OR(ISNUMBER(SEARCH(", "&amp;$B222&amp;", ", ", "&amp;INDEX('Form Responses'!$I$1:$Q$200,24,$A222)&amp;", ")),ISNUMBER(SEARCH(", "&amp;$B222&amp;", ", ", "&amp;INDEX('Form Responses'!$R$1:$R$200,24)&amp;", "))),1,""))</f>
        <v/>
      </c>
      <c r="AA222">
        <f>IF(Wizards!$A$25="","",IF(OR(ISNUMBER(SEARCH(", "&amp;$B222&amp;", ", ", "&amp;INDEX('Form Responses'!$I$1:$Q$200,25,$A222)&amp;", ")),ISNUMBER(SEARCH(", "&amp;$B222&amp;", ", ", "&amp;INDEX('Form Responses'!$R$1:$R$200,25)&amp;", "))),1,""))</f>
        <v/>
      </c>
      <c r="AB222">
        <f>IF(D222=1,", "&amp;D$1,"")</f>
        <v/>
      </c>
      <c r="AC222">
        <f>IF(E222=1,", "&amp;E$1,"")</f>
        <v/>
      </c>
      <c r="AD222">
        <f>IF(F222=1,", "&amp;F$1,"")</f>
        <v/>
      </c>
      <c r="AE222">
        <f>IF(G222=1,", "&amp;G$1,"")</f>
        <v/>
      </c>
      <c r="AF222">
        <f>IF(H222=1,", "&amp;H$1,"")</f>
        <v/>
      </c>
      <c r="AG222">
        <f>IF(I222=1,", "&amp;I$1,"")</f>
        <v/>
      </c>
      <c r="AH222">
        <f>IF(J222=1,", "&amp;J$1,"")</f>
        <v/>
      </c>
      <c r="AI222">
        <f>IF(K222=1,", "&amp;K$1,"")</f>
        <v/>
      </c>
      <c r="AJ222">
        <f>IF(L222=1,", "&amp;L$1,"")</f>
        <v/>
      </c>
      <c r="AK222">
        <f>IF(M222=1,", "&amp;M$1,"")</f>
        <v/>
      </c>
      <c r="AL222">
        <f>IF(N222=1,", "&amp;N$1,"")</f>
        <v/>
      </c>
      <c r="AM222">
        <f>IF(O222=1,", "&amp;O$1,"")</f>
        <v/>
      </c>
      <c r="AN222">
        <f>IF(P222=1,", "&amp;P$1,"")</f>
        <v/>
      </c>
      <c r="AO222">
        <f>IF(Q222=1,", "&amp;Q$1,"")</f>
        <v/>
      </c>
      <c r="AP222">
        <f>IF(R222=1,", "&amp;R$1,"")</f>
        <v/>
      </c>
      <c r="AQ222">
        <f>IF(S222=1,", "&amp;S$1,"")</f>
        <v/>
      </c>
      <c r="AR222">
        <f>IF(T222=1,", "&amp;T$1,"")</f>
        <v/>
      </c>
      <c r="AS222">
        <f>IF(U222=1,", "&amp;U$1,"")</f>
        <v/>
      </c>
      <c r="AT222">
        <f>IF(V222=1,", "&amp;V$1,"")</f>
        <v/>
      </c>
      <c r="AU222">
        <f>IF(W222=1,", "&amp;W$1,"")</f>
        <v/>
      </c>
      <c r="AV222">
        <f>IF(X222=1,", "&amp;X$1,"")</f>
        <v/>
      </c>
      <c r="AW222">
        <f>IF(Y222=1,", "&amp;Y$1,"")</f>
        <v/>
      </c>
      <c r="AX222">
        <f>IF(Z222=1,", "&amp;Z$1,"")</f>
        <v/>
      </c>
      <c r="AY222">
        <f>IF(AA222=1,", "&amp;AA$1,"")</f>
        <v/>
      </c>
      <c r="AZ222">
        <f>MID($AB222&amp;$AC222&amp;$AD222&amp;$AE222&amp;$AF222&amp;$AG222&amp;$AH222&amp;$AI222&amp;$AJ222&amp;$AK222&amp;$AL222&amp;$AM222&amp;$AN222&amp;$AO222&amp;$AP222&amp;$AQ222&amp;$AR222&amp;$AS222&amp;$AT222&amp;$AU222&amp;$AV222&amp;$AW222&amp;$AX222&amp;$AY222,3,32767)</f>
        <v/>
      </c>
      <c r="BA222">
        <f>COUNT($D222:$AA222)</f>
        <v/>
      </c>
    </row>
    <row r="223">
      <c r="A223" t="n">
        <v>5</v>
      </c>
      <c r="B223" t="inlineStr">
        <is>
          <t>Infernal Calling</t>
        </is>
      </c>
      <c r="C223" t="inlineStr">
        <is>
          <t>Conjuration</t>
        </is>
      </c>
      <c r="D223">
        <f>IF(Wizards!$A$2="","",IF(OR(ISNUMBER(SEARCH(", "&amp;$B223&amp;", ", ", "&amp;INDEX('Form Responses'!$I$1:$Q$200,2,$A223)&amp;", ")),ISNUMBER(SEARCH(", "&amp;$B223&amp;", ", ", "&amp;INDEX('Form Responses'!$R$1:$R$200,2)&amp;", "))),1,""))</f>
        <v/>
      </c>
      <c r="E223">
        <f>IF(Wizards!$A$3="","",IF(OR(ISNUMBER(SEARCH(", "&amp;$B223&amp;", ", ", "&amp;INDEX('Form Responses'!$I$1:$Q$200,3,$A223)&amp;", ")),ISNUMBER(SEARCH(", "&amp;$B223&amp;", ", ", "&amp;INDEX('Form Responses'!$R$1:$R$200,3)&amp;", "))),1,""))</f>
        <v/>
      </c>
      <c r="F223">
        <f>IF(Wizards!$A$4="","",IF(OR(ISNUMBER(SEARCH(", "&amp;$B223&amp;", ", ", "&amp;INDEX('Form Responses'!$I$1:$Q$200,4,$A223)&amp;", ")),ISNUMBER(SEARCH(", "&amp;$B223&amp;", ", ", "&amp;INDEX('Form Responses'!$R$1:$R$200,4)&amp;", "))),1,""))</f>
        <v/>
      </c>
      <c r="G223">
        <f>IF(Wizards!$A$5="","",IF(OR(ISNUMBER(SEARCH(", "&amp;$B223&amp;", ", ", "&amp;INDEX('Form Responses'!$I$1:$Q$200,5,$A223)&amp;", ")),ISNUMBER(SEARCH(", "&amp;$B223&amp;", ", ", "&amp;INDEX('Form Responses'!$R$1:$R$200,5)&amp;", "))),1,""))</f>
        <v/>
      </c>
      <c r="H223">
        <f>IF(Wizards!$A$6="","",IF(OR(ISNUMBER(SEARCH(", "&amp;$B223&amp;", ", ", "&amp;INDEX('Form Responses'!$I$1:$Q$200,6,$A223)&amp;", ")),ISNUMBER(SEARCH(", "&amp;$B223&amp;", ", ", "&amp;INDEX('Form Responses'!$R$1:$R$200,6)&amp;", "))),1,""))</f>
        <v/>
      </c>
      <c r="I223">
        <f>IF(Wizards!$A$7="","",IF(OR(ISNUMBER(SEARCH(", "&amp;$B223&amp;", ", ", "&amp;INDEX('Form Responses'!$I$1:$Q$200,7,$A223)&amp;", ")),ISNUMBER(SEARCH(", "&amp;$B223&amp;", ", ", "&amp;INDEX('Form Responses'!$R$1:$R$200,7)&amp;", "))),1,""))</f>
        <v/>
      </c>
      <c r="J223">
        <f>IF(Wizards!$A$8="","",IF(OR(ISNUMBER(SEARCH(", "&amp;$B223&amp;", ", ", "&amp;INDEX('Form Responses'!$I$1:$Q$200,8,$A223)&amp;", ")),ISNUMBER(SEARCH(", "&amp;$B223&amp;", ", ", "&amp;INDEX('Form Responses'!$R$1:$R$200,8)&amp;", "))),1,""))</f>
        <v/>
      </c>
      <c r="K223">
        <f>IF(Wizards!$A$9="","",IF(OR(ISNUMBER(SEARCH(", "&amp;$B223&amp;", ", ", "&amp;INDEX('Form Responses'!$I$1:$Q$200,9,$A223)&amp;", ")),ISNUMBER(SEARCH(", "&amp;$B223&amp;", ", ", "&amp;INDEX('Form Responses'!$R$1:$R$200,9)&amp;", "))),1,""))</f>
        <v/>
      </c>
      <c r="L223">
        <f>IF(Wizards!$A$10="","",IF(OR(ISNUMBER(SEARCH(", "&amp;$B223&amp;", ", ", "&amp;INDEX('Form Responses'!$I$1:$Q$200,10,$A223)&amp;", ")),ISNUMBER(SEARCH(", "&amp;$B223&amp;", ", ", "&amp;INDEX('Form Responses'!$R$1:$R$200,10)&amp;", "))),1,""))</f>
        <v/>
      </c>
      <c r="M223">
        <f>IF(Wizards!$A$11="","",IF(OR(ISNUMBER(SEARCH(", "&amp;$B223&amp;", ", ", "&amp;INDEX('Form Responses'!$I$1:$Q$200,11,$A223)&amp;", ")),ISNUMBER(SEARCH(", "&amp;$B223&amp;", ", ", "&amp;INDEX('Form Responses'!$R$1:$R$200,11)&amp;", "))),1,""))</f>
        <v/>
      </c>
      <c r="N223">
        <f>IF(Wizards!$A$12="","",IF(OR(ISNUMBER(SEARCH(", "&amp;$B223&amp;", ", ", "&amp;INDEX('Form Responses'!$I$1:$Q$200,12,$A223)&amp;", ")),ISNUMBER(SEARCH(", "&amp;$B223&amp;", ", ", "&amp;INDEX('Form Responses'!$R$1:$R$200,12)&amp;", "))),1,""))</f>
        <v/>
      </c>
      <c r="O223">
        <f>IF(Wizards!$A$13="","",IF(OR(ISNUMBER(SEARCH(", "&amp;$B223&amp;", ", ", "&amp;INDEX('Form Responses'!$I$1:$Q$200,13,$A223)&amp;", ")),ISNUMBER(SEARCH(", "&amp;$B223&amp;", ", ", "&amp;INDEX('Form Responses'!$R$1:$R$200,13)&amp;", "))),1,""))</f>
        <v/>
      </c>
      <c r="P223">
        <f>IF(Wizards!$A$14="","",IF(OR(ISNUMBER(SEARCH(", "&amp;$B223&amp;", ", ", "&amp;INDEX('Form Responses'!$I$1:$Q$200,14,$A223)&amp;", ")),ISNUMBER(SEARCH(", "&amp;$B223&amp;", ", ", "&amp;INDEX('Form Responses'!$R$1:$R$200,14)&amp;", "))),1,""))</f>
        <v/>
      </c>
      <c r="Q223">
        <f>IF(Wizards!$A$15="","",IF(OR(ISNUMBER(SEARCH(", "&amp;$B223&amp;", ", ", "&amp;INDEX('Form Responses'!$I$1:$Q$200,15,$A223)&amp;", ")),ISNUMBER(SEARCH(", "&amp;$B223&amp;", ", ", "&amp;INDEX('Form Responses'!$R$1:$R$200,15)&amp;", "))),1,""))</f>
        <v/>
      </c>
      <c r="R223">
        <f>IF(Wizards!$A$16="","",IF(OR(ISNUMBER(SEARCH(", "&amp;$B223&amp;", ", ", "&amp;INDEX('Form Responses'!$I$1:$Q$200,16,$A223)&amp;", ")),ISNUMBER(SEARCH(", "&amp;$B223&amp;", ", ", "&amp;INDEX('Form Responses'!$R$1:$R$200,16)&amp;", "))),1,""))</f>
        <v/>
      </c>
      <c r="S223">
        <f>IF(Wizards!$A$17="","",IF(OR(ISNUMBER(SEARCH(", "&amp;$B223&amp;", ", ", "&amp;INDEX('Form Responses'!$I$1:$Q$200,17,$A223)&amp;", ")),ISNUMBER(SEARCH(", "&amp;$B223&amp;", ", ", "&amp;INDEX('Form Responses'!$R$1:$R$200,17)&amp;", "))),1,""))</f>
        <v/>
      </c>
      <c r="T223">
        <f>IF(Wizards!$A$18="","",IF(OR(ISNUMBER(SEARCH(", "&amp;$B223&amp;", ", ", "&amp;INDEX('Form Responses'!$I$1:$Q$200,18,$A223)&amp;", ")),ISNUMBER(SEARCH(", "&amp;$B223&amp;", ", ", "&amp;INDEX('Form Responses'!$R$1:$R$200,18)&amp;", "))),1,""))</f>
        <v/>
      </c>
      <c r="U223">
        <f>IF(Wizards!$A$19="","",IF(OR(ISNUMBER(SEARCH(", "&amp;$B223&amp;", ", ", "&amp;INDEX('Form Responses'!$I$1:$Q$200,19,$A223)&amp;", ")),ISNUMBER(SEARCH(", "&amp;$B223&amp;", ", ", "&amp;INDEX('Form Responses'!$R$1:$R$200,19)&amp;", "))),1,""))</f>
        <v/>
      </c>
      <c r="V223">
        <f>IF(Wizards!$A$20="","",IF(OR(ISNUMBER(SEARCH(", "&amp;$B223&amp;", ", ", "&amp;INDEX('Form Responses'!$I$1:$Q$200,20,$A223)&amp;", ")),ISNUMBER(SEARCH(", "&amp;$B223&amp;", ", ", "&amp;INDEX('Form Responses'!$R$1:$R$200,20)&amp;", "))),1,""))</f>
        <v/>
      </c>
      <c r="W223">
        <f>IF(Wizards!$A$21="","",IF(OR(ISNUMBER(SEARCH(", "&amp;$B223&amp;", ", ", "&amp;INDEX('Form Responses'!$I$1:$Q$200,21,$A223)&amp;", ")),ISNUMBER(SEARCH(", "&amp;$B223&amp;", ", ", "&amp;INDEX('Form Responses'!$R$1:$R$200,21)&amp;", "))),1,""))</f>
        <v/>
      </c>
      <c r="X223">
        <f>IF(Wizards!$A$22="","",IF(OR(ISNUMBER(SEARCH(", "&amp;$B223&amp;", ", ", "&amp;INDEX('Form Responses'!$I$1:$Q$200,22,$A223)&amp;", ")),ISNUMBER(SEARCH(", "&amp;$B223&amp;", ", ", "&amp;INDEX('Form Responses'!$R$1:$R$200,22)&amp;", "))),1,""))</f>
        <v/>
      </c>
      <c r="Y223">
        <f>IF(Wizards!$A$23="","",IF(OR(ISNUMBER(SEARCH(", "&amp;$B223&amp;", ", ", "&amp;INDEX('Form Responses'!$I$1:$Q$200,23,$A223)&amp;", ")),ISNUMBER(SEARCH(", "&amp;$B223&amp;", ", ", "&amp;INDEX('Form Responses'!$R$1:$R$200,23)&amp;", "))),1,""))</f>
        <v/>
      </c>
      <c r="Z223">
        <f>IF(Wizards!$A$24="","",IF(OR(ISNUMBER(SEARCH(", "&amp;$B223&amp;", ", ", "&amp;INDEX('Form Responses'!$I$1:$Q$200,24,$A223)&amp;", ")),ISNUMBER(SEARCH(", "&amp;$B223&amp;", ", ", "&amp;INDEX('Form Responses'!$R$1:$R$200,24)&amp;", "))),1,""))</f>
        <v/>
      </c>
      <c r="AA223">
        <f>IF(Wizards!$A$25="","",IF(OR(ISNUMBER(SEARCH(", "&amp;$B223&amp;", ", ", "&amp;INDEX('Form Responses'!$I$1:$Q$200,25,$A223)&amp;", ")),ISNUMBER(SEARCH(", "&amp;$B223&amp;", ", ", "&amp;INDEX('Form Responses'!$R$1:$R$200,25)&amp;", "))),1,""))</f>
        <v/>
      </c>
      <c r="AB223">
        <f>IF(D223=1,", "&amp;D$1,"")</f>
        <v/>
      </c>
      <c r="AC223">
        <f>IF(E223=1,", "&amp;E$1,"")</f>
        <v/>
      </c>
      <c r="AD223">
        <f>IF(F223=1,", "&amp;F$1,"")</f>
        <v/>
      </c>
      <c r="AE223">
        <f>IF(G223=1,", "&amp;G$1,"")</f>
        <v/>
      </c>
      <c r="AF223">
        <f>IF(H223=1,", "&amp;H$1,"")</f>
        <v/>
      </c>
      <c r="AG223">
        <f>IF(I223=1,", "&amp;I$1,"")</f>
        <v/>
      </c>
      <c r="AH223">
        <f>IF(J223=1,", "&amp;J$1,"")</f>
        <v/>
      </c>
      <c r="AI223">
        <f>IF(K223=1,", "&amp;K$1,"")</f>
        <v/>
      </c>
      <c r="AJ223">
        <f>IF(L223=1,", "&amp;L$1,"")</f>
        <v/>
      </c>
      <c r="AK223">
        <f>IF(M223=1,", "&amp;M$1,"")</f>
        <v/>
      </c>
      <c r="AL223">
        <f>IF(N223=1,", "&amp;N$1,"")</f>
        <v/>
      </c>
      <c r="AM223">
        <f>IF(O223=1,", "&amp;O$1,"")</f>
        <v/>
      </c>
      <c r="AN223">
        <f>IF(P223=1,", "&amp;P$1,"")</f>
        <v/>
      </c>
      <c r="AO223">
        <f>IF(Q223=1,", "&amp;Q$1,"")</f>
        <v/>
      </c>
      <c r="AP223">
        <f>IF(R223=1,", "&amp;R$1,"")</f>
        <v/>
      </c>
      <c r="AQ223">
        <f>IF(S223=1,", "&amp;S$1,"")</f>
        <v/>
      </c>
      <c r="AR223">
        <f>IF(T223=1,", "&amp;T$1,"")</f>
        <v/>
      </c>
      <c r="AS223">
        <f>IF(U223=1,", "&amp;U$1,"")</f>
        <v/>
      </c>
      <c r="AT223">
        <f>IF(V223=1,", "&amp;V$1,"")</f>
        <v/>
      </c>
      <c r="AU223">
        <f>IF(W223=1,", "&amp;W$1,"")</f>
        <v/>
      </c>
      <c r="AV223">
        <f>IF(X223=1,", "&amp;X$1,"")</f>
        <v/>
      </c>
      <c r="AW223">
        <f>IF(Y223=1,", "&amp;Y$1,"")</f>
        <v/>
      </c>
      <c r="AX223">
        <f>IF(Z223=1,", "&amp;Z$1,"")</f>
        <v/>
      </c>
      <c r="AY223">
        <f>IF(AA223=1,", "&amp;AA$1,"")</f>
        <v/>
      </c>
      <c r="AZ223">
        <f>MID($AB223&amp;$AC223&amp;$AD223&amp;$AE223&amp;$AF223&amp;$AG223&amp;$AH223&amp;$AI223&amp;$AJ223&amp;$AK223&amp;$AL223&amp;$AM223&amp;$AN223&amp;$AO223&amp;$AP223&amp;$AQ223&amp;$AR223&amp;$AS223&amp;$AT223&amp;$AU223&amp;$AV223&amp;$AW223&amp;$AX223&amp;$AY223,3,32767)</f>
        <v/>
      </c>
      <c r="BA223">
        <f>COUNT($D223:$AA223)</f>
        <v/>
      </c>
    </row>
    <row r="224">
      <c r="A224" t="n">
        <v>5</v>
      </c>
      <c r="B224" t="inlineStr">
        <is>
          <t>Jallarzi's Storm of Radiance</t>
        </is>
      </c>
      <c r="C224" t="inlineStr">
        <is>
          <t>Evocation</t>
        </is>
      </c>
      <c r="D224">
        <f>IF(Wizards!$A$2="","",IF(OR(ISNUMBER(SEARCH(", "&amp;$B224&amp;", ", ", "&amp;INDEX('Form Responses'!$I$1:$Q$200,2,$A224)&amp;", ")),ISNUMBER(SEARCH(", "&amp;$B224&amp;", ", ", "&amp;INDEX('Form Responses'!$R$1:$R$200,2)&amp;", "))),1,""))</f>
        <v/>
      </c>
      <c r="E224">
        <f>IF(Wizards!$A$3="","",IF(OR(ISNUMBER(SEARCH(", "&amp;$B224&amp;", ", ", "&amp;INDEX('Form Responses'!$I$1:$Q$200,3,$A224)&amp;", ")),ISNUMBER(SEARCH(", "&amp;$B224&amp;", ", ", "&amp;INDEX('Form Responses'!$R$1:$R$200,3)&amp;", "))),1,""))</f>
        <v/>
      </c>
      <c r="F224">
        <f>IF(Wizards!$A$4="","",IF(OR(ISNUMBER(SEARCH(", "&amp;$B224&amp;", ", ", "&amp;INDEX('Form Responses'!$I$1:$Q$200,4,$A224)&amp;", ")),ISNUMBER(SEARCH(", "&amp;$B224&amp;", ", ", "&amp;INDEX('Form Responses'!$R$1:$R$200,4)&amp;", "))),1,""))</f>
        <v/>
      </c>
      <c r="G224">
        <f>IF(Wizards!$A$5="","",IF(OR(ISNUMBER(SEARCH(", "&amp;$B224&amp;", ", ", "&amp;INDEX('Form Responses'!$I$1:$Q$200,5,$A224)&amp;", ")),ISNUMBER(SEARCH(", "&amp;$B224&amp;", ", ", "&amp;INDEX('Form Responses'!$R$1:$R$200,5)&amp;", "))),1,""))</f>
        <v/>
      </c>
      <c r="H224">
        <f>IF(Wizards!$A$6="","",IF(OR(ISNUMBER(SEARCH(", "&amp;$B224&amp;", ", ", "&amp;INDEX('Form Responses'!$I$1:$Q$200,6,$A224)&amp;", ")),ISNUMBER(SEARCH(", "&amp;$B224&amp;", ", ", "&amp;INDEX('Form Responses'!$R$1:$R$200,6)&amp;", "))),1,""))</f>
        <v/>
      </c>
      <c r="I224">
        <f>IF(Wizards!$A$7="","",IF(OR(ISNUMBER(SEARCH(", "&amp;$B224&amp;", ", ", "&amp;INDEX('Form Responses'!$I$1:$Q$200,7,$A224)&amp;", ")),ISNUMBER(SEARCH(", "&amp;$B224&amp;", ", ", "&amp;INDEX('Form Responses'!$R$1:$R$200,7)&amp;", "))),1,""))</f>
        <v/>
      </c>
      <c r="J224">
        <f>IF(Wizards!$A$8="","",IF(OR(ISNUMBER(SEARCH(", "&amp;$B224&amp;", ", ", "&amp;INDEX('Form Responses'!$I$1:$Q$200,8,$A224)&amp;", ")),ISNUMBER(SEARCH(", "&amp;$B224&amp;", ", ", "&amp;INDEX('Form Responses'!$R$1:$R$200,8)&amp;", "))),1,""))</f>
        <v/>
      </c>
      <c r="K224">
        <f>IF(Wizards!$A$9="","",IF(OR(ISNUMBER(SEARCH(", "&amp;$B224&amp;", ", ", "&amp;INDEX('Form Responses'!$I$1:$Q$200,9,$A224)&amp;", ")),ISNUMBER(SEARCH(", "&amp;$B224&amp;", ", ", "&amp;INDEX('Form Responses'!$R$1:$R$200,9)&amp;", "))),1,""))</f>
        <v/>
      </c>
      <c r="L224">
        <f>IF(Wizards!$A$10="","",IF(OR(ISNUMBER(SEARCH(", "&amp;$B224&amp;", ", ", "&amp;INDEX('Form Responses'!$I$1:$Q$200,10,$A224)&amp;", ")),ISNUMBER(SEARCH(", "&amp;$B224&amp;", ", ", "&amp;INDEX('Form Responses'!$R$1:$R$200,10)&amp;", "))),1,""))</f>
        <v/>
      </c>
      <c r="M224">
        <f>IF(Wizards!$A$11="","",IF(OR(ISNUMBER(SEARCH(", "&amp;$B224&amp;", ", ", "&amp;INDEX('Form Responses'!$I$1:$Q$200,11,$A224)&amp;", ")),ISNUMBER(SEARCH(", "&amp;$B224&amp;", ", ", "&amp;INDEX('Form Responses'!$R$1:$R$200,11)&amp;", "))),1,""))</f>
        <v/>
      </c>
      <c r="N224">
        <f>IF(Wizards!$A$12="","",IF(OR(ISNUMBER(SEARCH(", "&amp;$B224&amp;", ", ", "&amp;INDEX('Form Responses'!$I$1:$Q$200,12,$A224)&amp;", ")),ISNUMBER(SEARCH(", "&amp;$B224&amp;", ", ", "&amp;INDEX('Form Responses'!$R$1:$R$200,12)&amp;", "))),1,""))</f>
        <v/>
      </c>
      <c r="O224">
        <f>IF(Wizards!$A$13="","",IF(OR(ISNUMBER(SEARCH(", "&amp;$B224&amp;", ", ", "&amp;INDEX('Form Responses'!$I$1:$Q$200,13,$A224)&amp;", ")),ISNUMBER(SEARCH(", "&amp;$B224&amp;", ", ", "&amp;INDEX('Form Responses'!$R$1:$R$200,13)&amp;", "))),1,""))</f>
        <v/>
      </c>
      <c r="P224">
        <f>IF(Wizards!$A$14="","",IF(OR(ISNUMBER(SEARCH(", "&amp;$B224&amp;", ", ", "&amp;INDEX('Form Responses'!$I$1:$Q$200,14,$A224)&amp;", ")),ISNUMBER(SEARCH(", "&amp;$B224&amp;", ", ", "&amp;INDEX('Form Responses'!$R$1:$R$200,14)&amp;", "))),1,""))</f>
        <v/>
      </c>
      <c r="Q224">
        <f>IF(Wizards!$A$15="","",IF(OR(ISNUMBER(SEARCH(", "&amp;$B224&amp;", ", ", "&amp;INDEX('Form Responses'!$I$1:$Q$200,15,$A224)&amp;", ")),ISNUMBER(SEARCH(", "&amp;$B224&amp;", ", ", "&amp;INDEX('Form Responses'!$R$1:$R$200,15)&amp;", "))),1,""))</f>
        <v/>
      </c>
      <c r="R224">
        <f>IF(Wizards!$A$16="","",IF(OR(ISNUMBER(SEARCH(", "&amp;$B224&amp;", ", ", "&amp;INDEX('Form Responses'!$I$1:$Q$200,16,$A224)&amp;", ")),ISNUMBER(SEARCH(", "&amp;$B224&amp;", ", ", "&amp;INDEX('Form Responses'!$R$1:$R$200,16)&amp;", "))),1,""))</f>
        <v/>
      </c>
      <c r="S224">
        <f>IF(Wizards!$A$17="","",IF(OR(ISNUMBER(SEARCH(", "&amp;$B224&amp;", ", ", "&amp;INDEX('Form Responses'!$I$1:$Q$200,17,$A224)&amp;", ")),ISNUMBER(SEARCH(", "&amp;$B224&amp;", ", ", "&amp;INDEX('Form Responses'!$R$1:$R$200,17)&amp;", "))),1,""))</f>
        <v/>
      </c>
      <c r="T224">
        <f>IF(Wizards!$A$18="","",IF(OR(ISNUMBER(SEARCH(", "&amp;$B224&amp;", ", ", "&amp;INDEX('Form Responses'!$I$1:$Q$200,18,$A224)&amp;", ")),ISNUMBER(SEARCH(", "&amp;$B224&amp;", ", ", "&amp;INDEX('Form Responses'!$R$1:$R$200,18)&amp;", "))),1,""))</f>
        <v/>
      </c>
      <c r="U224">
        <f>IF(Wizards!$A$19="","",IF(OR(ISNUMBER(SEARCH(", "&amp;$B224&amp;", ", ", "&amp;INDEX('Form Responses'!$I$1:$Q$200,19,$A224)&amp;", ")),ISNUMBER(SEARCH(", "&amp;$B224&amp;", ", ", "&amp;INDEX('Form Responses'!$R$1:$R$200,19)&amp;", "))),1,""))</f>
        <v/>
      </c>
      <c r="V224">
        <f>IF(Wizards!$A$20="","",IF(OR(ISNUMBER(SEARCH(", "&amp;$B224&amp;", ", ", "&amp;INDEX('Form Responses'!$I$1:$Q$200,20,$A224)&amp;", ")),ISNUMBER(SEARCH(", "&amp;$B224&amp;", ", ", "&amp;INDEX('Form Responses'!$R$1:$R$200,20)&amp;", "))),1,""))</f>
        <v/>
      </c>
      <c r="W224">
        <f>IF(Wizards!$A$21="","",IF(OR(ISNUMBER(SEARCH(", "&amp;$B224&amp;", ", ", "&amp;INDEX('Form Responses'!$I$1:$Q$200,21,$A224)&amp;", ")),ISNUMBER(SEARCH(", "&amp;$B224&amp;", ", ", "&amp;INDEX('Form Responses'!$R$1:$R$200,21)&amp;", "))),1,""))</f>
        <v/>
      </c>
      <c r="X224">
        <f>IF(Wizards!$A$22="","",IF(OR(ISNUMBER(SEARCH(", "&amp;$B224&amp;", ", ", "&amp;INDEX('Form Responses'!$I$1:$Q$200,22,$A224)&amp;", ")),ISNUMBER(SEARCH(", "&amp;$B224&amp;", ", ", "&amp;INDEX('Form Responses'!$R$1:$R$200,22)&amp;", "))),1,""))</f>
        <v/>
      </c>
      <c r="Y224">
        <f>IF(Wizards!$A$23="","",IF(OR(ISNUMBER(SEARCH(", "&amp;$B224&amp;", ", ", "&amp;INDEX('Form Responses'!$I$1:$Q$200,23,$A224)&amp;", ")),ISNUMBER(SEARCH(", "&amp;$B224&amp;", ", ", "&amp;INDEX('Form Responses'!$R$1:$R$200,23)&amp;", "))),1,""))</f>
        <v/>
      </c>
      <c r="Z224">
        <f>IF(Wizards!$A$24="","",IF(OR(ISNUMBER(SEARCH(", "&amp;$B224&amp;", ", ", "&amp;INDEX('Form Responses'!$I$1:$Q$200,24,$A224)&amp;", ")),ISNUMBER(SEARCH(", "&amp;$B224&amp;", ", ", "&amp;INDEX('Form Responses'!$R$1:$R$200,24)&amp;", "))),1,""))</f>
        <v/>
      </c>
      <c r="AA224">
        <f>IF(Wizards!$A$25="","",IF(OR(ISNUMBER(SEARCH(", "&amp;$B224&amp;", ", ", "&amp;INDEX('Form Responses'!$I$1:$Q$200,25,$A224)&amp;", ")),ISNUMBER(SEARCH(", "&amp;$B224&amp;", ", ", "&amp;INDEX('Form Responses'!$R$1:$R$200,25)&amp;", "))),1,""))</f>
        <v/>
      </c>
      <c r="AB224">
        <f>IF(D224=1,", "&amp;D$1,"")</f>
        <v/>
      </c>
      <c r="AC224">
        <f>IF(E224=1,", "&amp;E$1,"")</f>
        <v/>
      </c>
      <c r="AD224">
        <f>IF(F224=1,", "&amp;F$1,"")</f>
        <v/>
      </c>
      <c r="AE224">
        <f>IF(G224=1,", "&amp;G$1,"")</f>
        <v/>
      </c>
      <c r="AF224">
        <f>IF(H224=1,", "&amp;H$1,"")</f>
        <v/>
      </c>
      <c r="AG224">
        <f>IF(I224=1,", "&amp;I$1,"")</f>
        <v/>
      </c>
      <c r="AH224">
        <f>IF(J224=1,", "&amp;J$1,"")</f>
        <v/>
      </c>
      <c r="AI224">
        <f>IF(K224=1,", "&amp;K$1,"")</f>
        <v/>
      </c>
      <c r="AJ224">
        <f>IF(L224=1,", "&amp;L$1,"")</f>
        <v/>
      </c>
      <c r="AK224">
        <f>IF(M224=1,", "&amp;M$1,"")</f>
        <v/>
      </c>
      <c r="AL224">
        <f>IF(N224=1,", "&amp;N$1,"")</f>
        <v/>
      </c>
      <c r="AM224">
        <f>IF(O224=1,", "&amp;O$1,"")</f>
        <v/>
      </c>
      <c r="AN224">
        <f>IF(P224=1,", "&amp;P$1,"")</f>
        <v/>
      </c>
      <c r="AO224">
        <f>IF(Q224=1,", "&amp;Q$1,"")</f>
        <v/>
      </c>
      <c r="AP224">
        <f>IF(R224=1,", "&amp;R$1,"")</f>
        <v/>
      </c>
      <c r="AQ224">
        <f>IF(S224=1,", "&amp;S$1,"")</f>
        <v/>
      </c>
      <c r="AR224">
        <f>IF(T224=1,", "&amp;T$1,"")</f>
        <v/>
      </c>
      <c r="AS224">
        <f>IF(U224=1,", "&amp;U$1,"")</f>
        <v/>
      </c>
      <c r="AT224">
        <f>IF(V224=1,", "&amp;V$1,"")</f>
        <v/>
      </c>
      <c r="AU224">
        <f>IF(W224=1,", "&amp;W$1,"")</f>
        <v/>
      </c>
      <c r="AV224">
        <f>IF(X224=1,", "&amp;X$1,"")</f>
        <v/>
      </c>
      <c r="AW224">
        <f>IF(Y224=1,", "&amp;Y$1,"")</f>
        <v/>
      </c>
      <c r="AX224">
        <f>IF(Z224=1,", "&amp;Z$1,"")</f>
        <v/>
      </c>
      <c r="AY224">
        <f>IF(AA224=1,", "&amp;AA$1,"")</f>
        <v/>
      </c>
      <c r="AZ224">
        <f>MID($AB224&amp;$AC224&amp;$AD224&amp;$AE224&amp;$AF224&amp;$AG224&amp;$AH224&amp;$AI224&amp;$AJ224&amp;$AK224&amp;$AL224&amp;$AM224&amp;$AN224&amp;$AO224&amp;$AP224&amp;$AQ224&amp;$AR224&amp;$AS224&amp;$AT224&amp;$AU224&amp;$AV224&amp;$AW224&amp;$AX224&amp;$AY224,3,32767)</f>
        <v/>
      </c>
      <c r="BA224">
        <f>COUNT($D224:$AA224)</f>
        <v/>
      </c>
    </row>
    <row r="225">
      <c r="A225" t="n">
        <v>5</v>
      </c>
      <c r="B225" t="inlineStr">
        <is>
          <t>Legend Lore</t>
        </is>
      </c>
      <c r="C225" t="inlineStr">
        <is>
          <t>Divination</t>
        </is>
      </c>
      <c r="D225">
        <f>IF(Wizards!$A$2="","",IF(OR(ISNUMBER(SEARCH(", "&amp;$B225&amp;", ", ", "&amp;INDEX('Form Responses'!$I$1:$Q$200,2,$A225)&amp;", ")),ISNUMBER(SEARCH(", "&amp;$B225&amp;", ", ", "&amp;INDEX('Form Responses'!$R$1:$R$200,2)&amp;", "))),1,""))</f>
        <v/>
      </c>
      <c r="E225">
        <f>IF(Wizards!$A$3="","",IF(OR(ISNUMBER(SEARCH(", "&amp;$B225&amp;", ", ", "&amp;INDEX('Form Responses'!$I$1:$Q$200,3,$A225)&amp;", ")),ISNUMBER(SEARCH(", "&amp;$B225&amp;", ", ", "&amp;INDEX('Form Responses'!$R$1:$R$200,3)&amp;", "))),1,""))</f>
        <v/>
      </c>
      <c r="F225">
        <f>IF(Wizards!$A$4="","",IF(OR(ISNUMBER(SEARCH(", "&amp;$B225&amp;", ", ", "&amp;INDEX('Form Responses'!$I$1:$Q$200,4,$A225)&amp;", ")),ISNUMBER(SEARCH(", "&amp;$B225&amp;", ", ", "&amp;INDEX('Form Responses'!$R$1:$R$200,4)&amp;", "))),1,""))</f>
        <v/>
      </c>
      <c r="G225">
        <f>IF(Wizards!$A$5="","",IF(OR(ISNUMBER(SEARCH(", "&amp;$B225&amp;", ", ", "&amp;INDEX('Form Responses'!$I$1:$Q$200,5,$A225)&amp;", ")),ISNUMBER(SEARCH(", "&amp;$B225&amp;", ", ", "&amp;INDEX('Form Responses'!$R$1:$R$200,5)&amp;", "))),1,""))</f>
        <v/>
      </c>
      <c r="H225">
        <f>IF(Wizards!$A$6="","",IF(OR(ISNUMBER(SEARCH(", "&amp;$B225&amp;", ", ", "&amp;INDEX('Form Responses'!$I$1:$Q$200,6,$A225)&amp;", ")),ISNUMBER(SEARCH(", "&amp;$B225&amp;", ", ", "&amp;INDEX('Form Responses'!$R$1:$R$200,6)&amp;", "))),1,""))</f>
        <v/>
      </c>
      <c r="I225">
        <f>IF(Wizards!$A$7="","",IF(OR(ISNUMBER(SEARCH(", "&amp;$B225&amp;", ", ", "&amp;INDEX('Form Responses'!$I$1:$Q$200,7,$A225)&amp;", ")),ISNUMBER(SEARCH(", "&amp;$B225&amp;", ", ", "&amp;INDEX('Form Responses'!$R$1:$R$200,7)&amp;", "))),1,""))</f>
        <v/>
      </c>
      <c r="J225">
        <f>IF(Wizards!$A$8="","",IF(OR(ISNUMBER(SEARCH(", "&amp;$B225&amp;", ", ", "&amp;INDEX('Form Responses'!$I$1:$Q$200,8,$A225)&amp;", ")),ISNUMBER(SEARCH(", "&amp;$B225&amp;", ", ", "&amp;INDEX('Form Responses'!$R$1:$R$200,8)&amp;", "))),1,""))</f>
        <v/>
      </c>
      <c r="K225">
        <f>IF(Wizards!$A$9="","",IF(OR(ISNUMBER(SEARCH(", "&amp;$B225&amp;", ", ", "&amp;INDEX('Form Responses'!$I$1:$Q$200,9,$A225)&amp;", ")),ISNUMBER(SEARCH(", "&amp;$B225&amp;", ", ", "&amp;INDEX('Form Responses'!$R$1:$R$200,9)&amp;", "))),1,""))</f>
        <v/>
      </c>
      <c r="L225">
        <f>IF(Wizards!$A$10="","",IF(OR(ISNUMBER(SEARCH(", "&amp;$B225&amp;", ", ", "&amp;INDEX('Form Responses'!$I$1:$Q$200,10,$A225)&amp;", ")),ISNUMBER(SEARCH(", "&amp;$B225&amp;", ", ", "&amp;INDEX('Form Responses'!$R$1:$R$200,10)&amp;", "))),1,""))</f>
        <v/>
      </c>
      <c r="M225">
        <f>IF(Wizards!$A$11="","",IF(OR(ISNUMBER(SEARCH(", "&amp;$B225&amp;", ", ", "&amp;INDEX('Form Responses'!$I$1:$Q$200,11,$A225)&amp;", ")),ISNUMBER(SEARCH(", "&amp;$B225&amp;", ", ", "&amp;INDEX('Form Responses'!$R$1:$R$200,11)&amp;", "))),1,""))</f>
        <v/>
      </c>
      <c r="N225">
        <f>IF(Wizards!$A$12="","",IF(OR(ISNUMBER(SEARCH(", "&amp;$B225&amp;", ", ", "&amp;INDEX('Form Responses'!$I$1:$Q$200,12,$A225)&amp;", ")),ISNUMBER(SEARCH(", "&amp;$B225&amp;", ", ", "&amp;INDEX('Form Responses'!$R$1:$R$200,12)&amp;", "))),1,""))</f>
        <v/>
      </c>
      <c r="O225">
        <f>IF(Wizards!$A$13="","",IF(OR(ISNUMBER(SEARCH(", "&amp;$B225&amp;", ", ", "&amp;INDEX('Form Responses'!$I$1:$Q$200,13,$A225)&amp;", ")),ISNUMBER(SEARCH(", "&amp;$B225&amp;", ", ", "&amp;INDEX('Form Responses'!$R$1:$R$200,13)&amp;", "))),1,""))</f>
        <v/>
      </c>
      <c r="P225">
        <f>IF(Wizards!$A$14="","",IF(OR(ISNUMBER(SEARCH(", "&amp;$B225&amp;", ", ", "&amp;INDEX('Form Responses'!$I$1:$Q$200,14,$A225)&amp;", ")),ISNUMBER(SEARCH(", "&amp;$B225&amp;", ", ", "&amp;INDEX('Form Responses'!$R$1:$R$200,14)&amp;", "))),1,""))</f>
        <v/>
      </c>
      <c r="Q225">
        <f>IF(Wizards!$A$15="","",IF(OR(ISNUMBER(SEARCH(", "&amp;$B225&amp;", ", ", "&amp;INDEX('Form Responses'!$I$1:$Q$200,15,$A225)&amp;", ")),ISNUMBER(SEARCH(", "&amp;$B225&amp;", ", ", "&amp;INDEX('Form Responses'!$R$1:$R$200,15)&amp;", "))),1,""))</f>
        <v/>
      </c>
      <c r="R225">
        <f>IF(Wizards!$A$16="","",IF(OR(ISNUMBER(SEARCH(", "&amp;$B225&amp;", ", ", "&amp;INDEX('Form Responses'!$I$1:$Q$200,16,$A225)&amp;", ")),ISNUMBER(SEARCH(", "&amp;$B225&amp;", ", ", "&amp;INDEX('Form Responses'!$R$1:$R$200,16)&amp;", "))),1,""))</f>
        <v/>
      </c>
      <c r="S225">
        <f>IF(Wizards!$A$17="","",IF(OR(ISNUMBER(SEARCH(", "&amp;$B225&amp;", ", ", "&amp;INDEX('Form Responses'!$I$1:$Q$200,17,$A225)&amp;", ")),ISNUMBER(SEARCH(", "&amp;$B225&amp;", ", ", "&amp;INDEX('Form Responses'!$R$1:$R$200,17)&amp;", "))),1,""))</f>
        <v/>
      </c>
      <c r="T225">
        <f>IF(Wizards!$A$18="","",IF(OR(ISNUMBER(SEARCH(", "&amp;$B225&amp;", ", ", "&amp;INDEX('Form Responses'!$I$1:$Q$200,18,$A225)&amp;", ")),ISNUMBER(SEARCH(", "&amp;$B225&amp;", ", ", "&amp;INDEX('Form Responses'!$R$1:$R$200,18)&amp;", "))),1,""))</f>
        <v/>
      </c>
      <c r="U225">
        <f>IF(Wizards!$A$19="","",IF(OR(ISNUMBER(SEARCH(", "&amp;$B225&amp;", ", ", "&amp;INDEX('Form Responses'!$I$1:$Q$200,19,$A225)&amp;", ")),ISNUMBER(SEARCH(", "&amp;$B225&amp;", ", ", "&amp;INDEX('Form Responses'!$R$1:$R$200,19)&amp;", "))),1,""))</f>
        <v/>
      </c>
      <c r="V225">
        <f>IF(Wizards!$A$20="","",IF(OR(ISNUMBER(SEARCH(", "&amp;$B225&amp;", ", ", "&amp;INDEX('Form Responses'!$I$1:$Q$200,20,$A225)&amp;", ")),ISNUMBER(SEARCH(", "&amp;$B225&amp;", ", ", "&amp;INDEX('Form Responses'!$R$1:$R$200,20)&amp;", "))),1,""))</f>
        <v/>
      </c>
      <c r="W225">
        <f>IF(Wizards!$A$21="","",IF(OR(ISNUMBER(SEARCH(", "&amp;$B225&amp;", ", ", "&amp;INDEX('Form Responses'!$I$1:$Q$200,21,$A225)&amp;", ")),ISNUMBER(SEARCH(", "&amp;$B225&amp;", ", ", "&amp;INDEX('Form Responses'!$R$1:$R$200,21)&amp;", "))),1,""))</f>
        <v/>
      </c>
      <c r="X225">
        <f>IF(Wizards!$A$22="","",IF(OR(ISNUMBER(SEARCH(", "&amp;$B225&amp;", ", ", "&amp;INDEX('Form Responses'!$I$1:$Q$200,22,$A225)&amp;", ")),ISNUMBER(SEARCH(", "&amp;$B225&amp;", ", ", "&amp;INDEX('Form Responses'!$R$1:$R$200,22)&amp;", "))),1,""))</f>
        <v/>
      </c>
      <c r="Y225">
        <f>IF(Wizards!$A$23="","",IF(OR(ISNUMBER(SEARCH(", "&amp;$B225&amp;", ", ", "&amp;INDEX('Form Responses'!$I$1:$Q$200,23,$A225)&amp;", ")),ISNUMBER(SEARCH(", "&amp;$B225&amp;", ", ", "&amp;INDEX('Form Responses'!$R$1:$R$200,23)&amp;", "))),1,""))</f>
        <v/>
      </c>
      <c r="Z225">
        <f>IF(Wizards!$A$24="","",IF(OR(ISNUMBER(SEARCH(", "&amp;$B225&amp;", ", ", "&amp;INDEX('Form Responses'!$I$1:$Q$200,24,$A225)&amp;", ")),ISNUMBER(SEARCH(", "&amp;$B225&amp;", ", ", "&amp;INDEX('Form Responses'!$R$1:$R$200,24)&amp;", "))),1,""))</f>
        <v/>
      </c>
      <c r="AA225">
        <f>IF(Wizards!$A$25="","",IF(OR(ISNUMBER(SEARCH(", "&amp;$B225&amp;", ", ", "&amp;INDEX('Form Responses'!$I$1:$Q$200,25,$A225)&amp;", ")),ISNUMBER(SEARCH(", "&amp;$B225&amp;", ", ", "&amp;INDEX('Form Responses'!$R$1:$R$200,25)&amp;", "))),1,""))</f>
        <v/>
      </c>
      <c r="AB225">
        <f>IF(D225=1,", "&amp;D$1,"")</f>
        <v/>
      </c>
      <c r="AC225">
        <f>IF(E225=1,", "&amp;E$1,"")</f>
        <v/>
      </c>
      <c r="AD225">
        <f>IF(F225=1,", "&amp;F$1,"")</f>
        <v/>
      </c>
      <c r="AE225">
        <f>IF(G225=1,", "&amp;G$1,"")</f>
        <v/>
      </c>
      <c r="AF225">
        <f>IF(H225=1,", "&amp;H$1,"")</f>
        <v/>
      </c>
      <c r="AG225">
        <f>IF(I225=1,", "&amp;I$1,"")</f>
        <v/>
      </c>
      <c r="AH225">
        <f>IF(J225=1,", "&amp;J$1,"")</f>
        <v/>
      </c>
      <c r="AI225">
        <f>IF(K225=1,", "&amp;K$1,"")</f>
        <v/>
      </c>
      <c r="AJ225">
        <f>IF(L225=1,", "&amp;L$1,"")</f>
        <v/>
      </c>
      <c r="AK225">
        <f>IF(M225=1,", "&amp;M$1,"")</f>
        <v/>
      </c>
      <c r="AL225">
        <f>IF(N225=1,", "&amp;N$1,"")</f>
        <v/>
      </c>
      <c r="AM225">
        <f>IF(O225=1,", "&amp;O$1,"")</f>
        <v/>
      </c>
      <c r="AN225">
        <f>IF(P225=1,", "&amp;P$1,"")</f>
        <v/>
      </c>
      <c r="AO225">
        <f>IF(Q225=1,", "&amp;Q$1,"")</f>
        <v/>
      </c>
      <c r="AP225">
        <f>IF(R225=1,", "&amp;R$1,"")</f>
        <v/>
      </c>
      <c r="AQ225">
        <f>IF(S225=1,", "&amp;S$1,"")</f>
        <v/>
      </c>
      <c r="AR225">
        <f>IF(T225=1,", "&amp;T$1,"")</f>
        <v/>
      </c>
      <c r="AS225">
        <f>IF(U225=1,", "&amp;U$1,"")</f>
        <v/>
      </c>
      <c r="AT225">
        <f>IF(V225=1,", "&amp;V$1,"")</f>
        <v/>
      </c>
      <c r="AU225">
        <f>IF(W225=1,", "&amp;W$1,"")</f>
        <v/>
      </c>
      <c r="AV225">
        <f>IF(X225=1,", "&amp;X$1,"")</f>
        <v/>
      </c>
      <c r="AW225">
        <f>IF(Y225=1,", "&amp;Y$1,"")</f>
        <v/>
      </c>
      <c r="AX225">
        <f>IF(Z225=1,", "&amp;Z$1,"")</f>
        <v/>
      </c>
      <c r="AY225">
        <f>IF(AA225=1,", "&amp;AA$1,"")</f>
        <v/>
      </c>
      <c r="AZ225">
        <f>MID($AB225&amp;$AC225&amp;$AD225&amp;$AE225&amp;$AF225&amp;$AG225&amp;$AH225&amp;$AI225&amp;$AJ225&amp;$AK225&amp;$AL225&amp;$AM225&amp;$AN225&amp;$AO225&amp;$AP225&amp;$AQ225&amp;$AR225&amp;$AS225&amp;$AT225&amp;$AU225&amp;$AV225&amp;$AW225&amp;$AX225&amp;$AY225,3,32767)</f>
        <v/>
      </c>
      <c r="BA225">
        <f>COUNT($D225:$AA225)</f>
        <v/>
      </c>
    </row>
    <row r="226">
      <c r="A226" t="n">
        <v>5</v>
      </c>
      <c r="B226" t="inlineStr">
        <is>
          <t>Mislead</t>
        </is>
      </c>
      <c r="C226" t="inlineStr">
        <is>
          <t>Illusion</t>
        </is>
      </c>
      <c r="D226">
        <f>IF(Wizards!$A$2="","",IF(OR(ISNUMBER(SEARCH(", "&amp;$B226&amp;", ", ", "&amp;INDEX('Form Responses'!$I$1:$Q$200,2,$A226)&amp;", ")),ISNUMBER(SEARCH(", "&amp;$B226&amp;", ", ", "&amp;INDEX('Form Responses'!$R$1:$R$200,2)&amp;", "))),1,""))</f>
        <v/>
      </c>
      <c r="E226">
        <f>IF(Wizards!$A$3="","",IF(OR(ISNUMBER(SEARCH(", "&amp;$B226&amp;", ", ", "&amp;INDEX('Form Responses'!$I$1:$Q$200,3,$A226)&amp;", ")),ISNUMBER(SEARCH(", "&amp;$B226&amp;", ", ", "&amp;INDEX('Form Responses'!$R$1:$R$200,3)&amp;", "))),1,""))</f>
        <v/>
      </c>
      <c r="F226">
        <f>IF(Wizards!$A$4="","",IF(OR(ISNUMBER(SEARCH(", "&amp;$B226&amp;", ", ", "&amp;INDEX('Form Responses'!$I$1:$Q$200,4,$A226)&amp;", ")),ISNUMBER(SEARCH(", "&amp;$B226&amp;", ", ", "&amp;INDEX('Form Responses'!$R$1:$R$200,4)&amp;", "))),1,""))</f>
        <v/>
      </c>
      <c r="G226">
        <f>IF(Wizards!$A$5="","",IF(OR(ISNUMBER(SEARCH(", "&amp;$B226&amp;", ", ", "&amp;INDEX('Form Responses'!$I$1:$Q$200,5,$A226)&amp;", ")),ISNUMBER(SEARCH(", "&amp;$B226&amp;", ", ", "&amp;INDEX('Form Responses'!$R$1:$R$200,5)&amp;", "))),1,""))</f>
        <v/>
      </c>
      <c r="H226">
        <f>IF(Wizards!$A$6="","",IF(OR(ISNUMBER(SEARCH(", "&amp;$B226&amp;", ", ", "&amp;INDEX('Form Responses'!$I$1:$Q$200,6,$A226)&amp;", ")),ISNUMBER(SEARCH(", "&amp;$B226&amp;", ", ", "&amp;INDEX('Form Responses'!$R$1:$R$200,6)&amp;", "))),1,""))</f>
        <v/>
      </c>
      <c r="I226">
        <f>IF(Wizards!$A$7="","",IF(OR(ISNUMBER(SEARCH(", "&amp;$B226&amp;", ", ", "&amp;INDEX('Form Responses'!$I$1:$Q$200,7,$A226)&amp;", ")),ISNUMBER(SEARCH(", "&amp;$B226&amp;", ", ", "&amp;INDEX('Form Responses'!$R$1:$R$200,7)&amp;", "))),1,""))</f>
        <v/>
      </c>
      <c r="J226">
        <f>IF(Wizards!$A$8="","",IF(OR(ISNUMBER(SEARCH(", "&amp;$B226&amp;", ", ", "&amp;INDEX('Form Responses'!$I$1:$Q$200,8,$A226)&amp;", ")),ISNUMBER(SEARCH(", "&amp;$B226&amp;", ", ", "&amp;INDEX('Form Responses'!$R$1:$R$200,8)&amp;", "))),1,""))</f>
        <v/>
      </c>
      <c r="K226">
        <f>IF(Wizards!$A$9="","",IF(OR(ISNUMBER(SEARCH(", "&amp;$B226&amp;", ", ", "&amp;INDEX('Form Responses'!$I$1:$Q$200,9,$A226)&amp;", ")),ISNUMBER(SEARCH(", "&amp;$B226&amp;", ", ", "&amp;INDEX('Form Responses'!$R$1:$R$200,9)&amp;", "))),1,""))</f>
        <v/>
      </c>
      <c r="L226">
        <f>IF(Wizards!$A$10="","",IF(OR(ISNUMBER(SEARCH(", "&amp;$B226&amp;", ", ", "&amp;INDEX('Form Responses'!$I$1:$Q$200,10,$A226)&amp;", ")),ISNUMBER(SEARCH(", "&amp;$B226&amp;", ", ", "&amp;INDEX('Form Responses'!$R$1:$R$200,10)&amp;", "))),1,""))</f>
        <v/>
      </c>
      <c r="M226">
        <f>IF(Wizards!$A$11="","",IF(OR(ISNUMBER(SEARCH(", "&amp;$B226&amp;", ", ", "&amp;INDEX('Form Responses'!$I$1:$Q$200,11,$A226)&amp;", ")),ISNUMBER(SEARCH(", "&amp;$B226&amp;", ", ", "&amp;INDEX('Form Responses'!$R$1:$R$200,11)&amp;", "))),1,""))</f>
        <v/>
      </c>
      <c r="N226">
        <f>IF(Wizards!$A$12="","",IF(OR(ISNUMBER(SEARCH(", "&amp;$B226&amp;", ", ", "&amp;INDEX('Form Responses'!$I$1:$Q$200,12,$A226)&amp;", ")),ISNUMBER(SEARCH(", "&amp;$B226&amp;", ", ", "&amp;INDEX('Form Responses'!$R$1:$R$200,12)&amp;", "))),1,""))</f>
        <v/>
      </c>
      <c r="O226">
        <f>IF(Wizards!$A$13="","",IF(OR(ISNUMBER(SEARCH(", "&amp;$B226&amp;", ", ", "&amp;INDEX('Form Responses'!$I$1:$Q$200,13,$A226)&amp;", ")),ISNUMBER(SEARCH(", "&amp;$B226&amp;", ", ", "&amp;INDEX('Form Responses'!$R$1:$R$200,13)&amp;", "))),1,""))</f>
        <v/>
      </c>
      <c r="P226">
        <f>IF(Wizards!$A$14="","",IF(OR(ISNUMBER(SEARCH(", "&amp;$B226&amp;", ", ", "&amp;INDEX('Form Responses'!$I$1:$Q$200,14,$A226)&amp;", ")),ISNUMBER(SEARCH(", "&amp;$B226&amp;", ", ", "&amp;INDEX('Form Responses'!$R$1:$R$200,14)&amp;", "))),1,""))</f>
        <v/>
      </c>
      <c r="Q226">
        <f>IF(Wizards!$A$15="","",IF(OR(ISNUMBER(SEARCH(", "&amp;$B226&amp;", ", ", "&amp;INDEX('Form Responses'!$I$1:$Q$200,15,$A226)&amp;", ")),ISNUMBER(SEARCH(", "&amp;$B226&amp;", ", ", "&amp;INDEX('Form Responses'!$R$1:$R$200,15)&amp;", "))),1,""))</f>
        <v/>
      </c>
      <c r="R226">
        <f>IF(Wizards!$A$16="","",IF(OR(ISNUMBER(SEARCH(", "&amp;$B226&amp;", ", ", "&amp;INDEX('Form Responses'!$I$1:$Q$200,16,$A226)&amp;", ")),ISNUMBER(SEARCH(", "&amp;$B226&amp;", ", ", "&amp;INDEX('Form Responses'!$R$1:$R$200,16)&amp;", "))),1,""))</f>
        <v/>
      </c>
      <c r="S226">
        <f>IF(Wizards!$A$17="","",IF(OR(ISNUMBER(SEARCH(", "&amp;$B226&amp;", ", ", "&amp;INDEX('Form Responses'!$I$1:$Q$200,17,$A226)&amp;", ")),ISNUMBER(SEARCH(", "&amp;$B226&amp;", ", ", "&amp;INDEX('Form Responses'!$R$1:$R$200,17)&amp;", "))),1,""))</f>
        <v/>
      </c>
      <c r="T226">
        <f>IF(Wizards!$A$18="","",IF(OR(ISNUMBER(SEARCH(", "&amp;$B226&amp;", ", ", "&amp;INDEX('Form Responses'!$I$1:$Q$200,18,$A226)&amp;", ")),ISNUMBER(SEARCH(", "&amp;$B226&amp;", ", ", "&amp;INDEX('Form Responses'!$R$1:$R$200,18)&amp;", "))),1,""))</f>
        <v/>
      </c>
      <c r="U226">
        <f>IF(Wizards!$A$19="","",IF(OR(ISNUMBER(SEARCH(", "&amp;$B226&amp;", ", ", "&amp;INDEX('Form Responses'!$I$1:$Q$200,19,$A226)&amp;", ")),ISNUMBER(SEARCH(", "&amp;$B226&amp;", ", ", "&amp;INDEX('Form Responses'!$R$1:$R$200,19)&amp;", "))),1,""))</f>
        <v/>
      </c>
      <c r="V226">
        <f>IF(Wizards!$A$20="","",IF(OR(ISNUMBER(SEARCH(", "&amp;$B226&amp;", ", ", "&amp;INDEX('Form Responses'!$I$1:$Q$200,20,$A226)&amp;", ")),ISNUMBER(SEARCH(", "&amp;$B226&amp;", ", ", "&amp;INDEX('Form Responses'!$R$1:$R$200,20)&amp;", "))),1,""))</f>
        <v/>
      </c>
      <c r="W226">
        <f>IF(Wizards!$A$21="","",IF(OR(ISNUMBER(SEARCH(", "&amp;$B226&amp;", ", ", "&amp;INDEX('Form Responses'!$I$1:$Q$200,21,$A226)&amp;", ")),ISNUMBER(SEARCH(", "&amp;$B226&amp;", ", ", "&amp;INDEX('Form Responses'!$R$1:$R$200,21)&amp;", "))),1,""))</f>
        <v/>
      </c>
      <c r="X226">
        <f>IF(Wizards!$A$22="","",IF(OR(ISNUMBER(SEARCH(", "&amp;$B226&amp;", ", ", "&amp;INDEX('Form Responses'!$I$1:$Q$200,22,$A226)&amp;", ")),ISNUMBER(SEARCH(", "&amp;$B226&amp;", ", ", "&amp;INDEX('Form Responses'!$R$1:$R$200,22)&amp;", "))),1,""))</f>
        <v/>
      </c>
      <c r="Y226">
        <f>IF(Wizards!$A$23="","",IF(OR(ISNUMBER(SEARCH(", "&amp;$B226&amp;", ", ", "&amp;INDEX('Form Responses'!$I$1:$Q$200,23,$A226)&amp;", ")),ISNUMBER(SEARCH(", "&amp;$B226&amp;", ", ", "&amp;INDEX('Form Responses'!$R$1:$R$200,23)&amp;", "))),1,""))</f>
        <v/>
      </c>
      <c r="Z226">
        <f>IF(Wizards!$A$24="","",IF(OR(ISNUMBER(SEARCH(", "&amp;$B226&amp;", ", ", "&amp;INDEX('Form Responses'!$I$1:$Q$200,24,$A226)&amp;", ")),ISNUMBER(SEARCH(", "&amp;$B226&amp;", ", ", "&amp;INDEX('Form Responses'!$R$1:$R$200,24)&amp;", "))),1,""))</f>
        <v/>
      </c>
      <c r="AA226">
        <f>IF(Wizards!$A$25="","",IF(OR(ISNUMBER(SEARCH(", "&amp;$B226&amp;", ", ", "&amp;INDEX('Form Responses'!$I$1:$Q$200,25,$A226)&amp;", ")),ISNUMBER(SEARCH(", "&amp;$B226&amp;", ", ", "&amp;INDEX('Form Responses'!$R$1:$R$200,25)&amp;", "))),1,""))</f>
        <v/>
      </c>
      <c r="AB226">
        <f>IF(D226=1,", "&amp;D$1,"")</f>
        <v/>
      </c>
      <c r="AC226">
        <f>IF(E226=1,", "&amp;E$1,"")</f>
        <v/>
      </c>
      <c r="AD226">
        <f>IF(F226=1,", "&amp;F$1,"")</f>
        <v/>
      </c>
      <c r="AE226">
        <f>IF(G226=1,", "&amp;G$1,"")</f>
        <v/>
      </c>
      <c r="AF226">
        <f>IF(H226=1,", "&amp;H$1,"")</f>
        <v/>
      </c>
      <c r="AG226">
        <f>IF(I226=1,", "&amp;I$1,"")</f>
        <v/>
      </c>
      <c r="AH226">
        <f>IF(J226=1,", "&amp;J$1,"")</f>
        <v/>
      </c>
      <c r="AI226">
        <f>IF(K226=1,", "&amp;K$1,"")</f>
        <v/>
      </c>
      <c r="AJ226">
        <f>IF(L226=1,", "&amp;L$1,"")</f>
        <v/>
      </c>
      <c r="AK226">
        <f>IF(M226=1,", "&amp;M$1,"")</f>
        <v/>
      </c>
      <c r="AL226">
        <f>IF(N226=1,", "&amp;N$1,"")</f>
        <v/>
      </c>
      <c r="AM226">
        <f>IF(O226=1,", "&amp;O$1,"")</f>
        <v/>
      </c>
      <c r="AN226">
        <f>IF(P226=1,", "&amp;P$1,"")</f>
        <v/>
      </c>
      <c r="AO226">
        <f>IF(Q226=1,", "&amp;Q$1,"")</f>
        <v/>
      </c>
      <c r="AP226">
        <f>IF(R226=1,", "&amp;R$1,"")</f>
        <v/>
      </c>
      <c r="AQ226">
        <f>IF(S226=1,", "&amp;S$1,"")</f>
        <v/>
      </c>
      <c r="AR226">
        <f>IF(T226=1,", "&amp;T$1,"")</f>
        <v/>
      </c>
      <c r="AS226">
        <f>IF(U226=1,", "&amp;U$1,"")</f>
        <v/>
      </c>
      <c r="AT226">
        <f>IF(V226=1,", "&amp;V$1,"")</f>
        <v/>
      </c>
      <c r="AU226">
        <f>IF(W226=1,", "&amp;W$1,"")</f>
        <v/>
      </c>
      <c r="AV226">
        <f>IF(X226=1,", "&amp;X$1,"")</f>
        <v/>
      </c>
      <c r="AW226">
        <f>IF(Y226=1,", "&amp;Y$1,"")</f>
        <v/>
      </c>
      <c r="AX226">
        <f>IF(Z226=1,", "&amp;Z$1,"")</f>
        <v/>
      </c>
      <c r="AY226">
        <f>IF(AA226=1,", "&amp;AA$1,"")</f>
        <v/>
      </c>
      <c r="AZ226">
        <f>MID($AB226&amp;$AC226&amp;$AD226&amp;$AE226&amp;$AF226&amp;$AG226&amp;$AH226&amp;$AI226&amp;$AJ226&amp;$AK226&amp;$AL226&amp;$AM226&amp;$AN226&amp;$AO226&amp;$AP226&amp;$AQ226&amp;$AR226&amp;$AS226&amp;$AT226&amp;$AU226&amp;$AV226&amp;$AW226&amp;$AX226&amp;$AY226,3,32767)</f>
        <v/>
      </c>
      <c r="BA226">
        <f>COUNT($D226:$AA226)</f>
        <v/>
      </c>
    </row>
    <row r="227">
      <c r="A227" t="n">
        <v>5</v>
      </c>
      <c r="B227" t="inlineStr">
        <is>
          <t>Modify Memory</t>
        </is>
      </c>
      <c r="C227" t="inlineStr">
        <is>
          <t>Enchantment</t>
        </is>
      </c>
      <c r="D227">
        <f>IF(Wizards!$A$2="","",IF(OR(ISNUMBER(SEARCH(", "&amp;$B227&amp;", ", ", "&amp;INDEX('Form Responses'!$I$1:$Q$200,2,$A227)&amp;", ")),ISNUMBER(SEARCH(", "&amp;$B227&amp;", ", ", "&amp;INDEX('Form Responses'!$R$1:$R$200,2)&amp;", "))),1,""))</f>
        <v/>
      </c>
      <c r="E227">
        <f>IF(Wizards!$A$3="","",IF(OR(ISNUMBER(SEARCH(", "&amp;$B227&amp;", ", ", "&amp;INDEX('Form Responses'!$I$1:$Q$200,3,$A227)&amp;", ")),ISNUMBER(SEARCH(", "&amp;$B227&amp;", ", ", "&amp;INDEX('Form Responses'!$R$1:$R$200,3)&amp;", "))),1,""))</f>
        <v/>
      </c>
      <c r="F227">
        <f>IF(Wizards!$A$4="","",IF(OR(ISNUMBER(SEARCH(", "&amp;$B227&amp;", ", ", "&amp;INDEX('Form Responses'!$I$1:$Q$200,4,$A227)&amp;", ")),ISNUMBER(SEARCH(", "&amp;$B227&amp;", ", ", "&amp;INDEX('Form Responses'!$R$1:$R$200,4)&amp;", "))),1,""))</f>
        <v/>
      </c>
      <c r="G227">
        <f>IF(Wizards!$A$5="","",IF(OR(ISNUMBER(SEARCH(", "&amp;$B227&amp;", ", ", "&amp;INDEX('Form Responses'!$I$1:$Q$200,5,$A227)&amp;", ")),ISNUMBER(SEARCH(", "&amp;$B227&amp;", ", ", "&amp;INDEX('Form Responses'!$R$1:$R$200,5)&amp;", "))),1,""))</f>
        <v/>
      </c>
      <c r="H227">
        <f>IF(Wizards!$A$6="","",IF(OR(ISNUMBER(SEARCH(", "&amp;$B227&amp;", ", ", "&amp;INDEX('Form Responses'!$I$1:$Q$200,6,$A227)&amp;", ")),ISNUMBER(SEARCH(", "&amp;$B227&amp;", ", ", "&amp;INDEX('Form Responses'!$R$1:$R$200,6)&amp;", "))),1,""))</f>
        <v/>
      </c>
      <c r="I227">
        <f>IF(Wizards!$A$7="","",IF(OR(ISNUMBER(SEARCH(", "&amp;$B227&amp;", ", ", "&amp;INDEX('Form Responses'!$I$1:$Q$200,7,$A227)&amp;", ")),ISNUMBER(SEARCH(", "&amp;$B227&amp;", ", ", "&amp;INDEX('Form Responses'!$R$1:$R$200,7)&amp;", "))),1,""))</f>
        <v/>
      </c>
      <c r="J227">
        <f>IF(Wizards!$A$8="","",IF(OR(ISNUMBER(SEARCH(", "&amp;$B227&amp;", ", ", "&amp;INDEX('Form Responses'!$I$1:$Q$200,8,$A227)&amp;", ")),ISNUMBER(SEARCH(", "&amp;$B227&amp;", ", ", "&amp;INDEX('Form Responses'!$R$1:$R$200,8)&amp;", "))),1,""))</f>
        <v/>
      </c>
      <c r="K227">
        <f>IF(Wizards!$A$9="","",IF(OR(ISNUMBER(SEARCH(", "&amp;$B227&amp;", ", ", "&amp;INDEX('Form Responses'!$I$1:$Q$200,9,$A227)&amp;", ")),ISNUMBER(SEARCH(", "&amp;$B227&amp;", ", ", "&amp;INDEX('Form Responses'!$R$1:$R$200,9)&amp;", "))),1,""))</f>
        <v/>
      </c>
      <c r="L227">
        <f>IF(Wizards!$A$10="","",IF(OR(ISNUMBER(SEARCH(", "&amp;$B227&amp;", ", ", "&amp;INDEX('Form Responses'!$I$1:$Q$200,10,$A227)&amp;", ")),ISNUMBER(SEARCH(", "&amp;$B227&amp;", ", ", "&amp;INDEX('Form Responses'!$R$1:$R$200,10)&amp;", "))),1,""))</f>
        <v/>
      </c>
      <c r="M227">
        <f>IF(Wizards!$A$11="","",IF(OR(ISNUMBER(SEARCH(", "&amp;$B227&amp;", ", ", "&amp;INDEX('Form Responses'!$I$1:$Q$200,11,$A227)&amp;", ")),ISNUMBER(SEARCH(", "&amp;$B227&amp;", ", ", "&amp;INDEX('Form Responses'!$R$1:$R$200,11)&amp;", "))),1,""))</f>
        <v/>
      </c>
      <c r="N227">
        <f>IF(Wizards!$A$12="","",IF(OR(ISNUMBER(SEARCH(", "&amp;$B227&amp;", ", ", "&amp;INDEX('Form Responses'!$I$1:$Q$200,12,$A227)&amp;", ")),ISNUMBER(SEARCH(", "&amp;$B227&amp;", ", ", "&amp;INDEX('Form Responses'!$R$1:$R$200,12)&amp;", "))),1,""))</f>
        <v/>
      </c>
      <c r="O227">
        <f>IF(Wizards!$A$13="","",IF(OR(ISNUMBER(SEARCH(", "&amp;$B227&amp;", ", ", "&amp;INDEX('Form Responses'!$I$1:$Q$200,13,$A227)&amp;", ")),ISNUMBER(SEARCH(", "&amp;$B227&amp;", ", ", "&amp;INDEX('Form Responses'!$R$1:$R$200,13)&amp;", "))),1,""))</f>
        <v/>
      </c>
      <c r="P227">
        <f>IF(Wizards!$A$14="","",IF(OR(ISNUMBER(SEARCH(", "&amp;$B227&amp;", ", ", "&amp;INDEX('Form Responses'!$I$1:$Q$200,14,$A227)&amp;", ")),ISNUMBER(SEARCH(", "&amp;$B227&amp;", ", ", "&amp;INDEX('Form Responses'!$R$1:$R$200,14)&amp;", "))),1,""))</f>
        <v/>
      </c>
      <c r="Q227">
        <f>IF(Wizards!$A$15="","",IF(OR(ISNUMBER(SEARCH(", "&amp;$B227&amp;", ", ", "&amp;INDEX('Form Responses'!$I$1:$Q$200,15,$A227)&amp;", ")),ISNUMBER(SEARCH(", "&amp;$B227&amp;", ", ", "&amp;INDEX('Form Responses'!$R$1:$R$200,15)&amp;", "))),1,""))</f>
        <v/>
      </c>
      <c r="R227">
        <f>IF(Wizards!$A$16="","",IF(OR(ISNUMBER(SEARCH(", "&amp;$B227&amp;", ", ", "&amp;INDEX('Form Responses'!$I$1:$Q$200,16,$A227)&amp;", ")),ISNUMBER(SEARCH(", "&amp;$B227&amp;", ", ", "&amp;INDEX('Form Responses'!$R$1:$R$200,16)&amp;", "))),1,""))</f>
        <v/>
      </c>
      <c r="S227">
        <f>IF(Wizards!$A$17="","",IF(OR(ISNUMBER(SEARCH(", "&amp;$B227&amp;", ", ", "&amp;INDEX('Form Responses'!$I$1:$Q$200,17,$A227)&amp;", ")),ISNUMBER(SEARCH(", "&amp;$B227&amp;", ", ", "&amp;INDEX('Form Responses'!$R$1:$R$200,17)&amp;", "))),1,""))</f>
        <v/>
      </c>
      <c r="T227">
        <f>IF(Wizards!$A$18="","",IF(OR(ISNUMBER(SEARCH(", "&amp;$B227&amp;", ", ", "&amp;INDEX('Form Responses'!$I$1:$Q$200,18,$A227)&amp;", ")),ISNUMBER(SEARCH(", "&amp;$B227&amp;", ", ", "&amp;INDEX('Form Responses'!$R$1:$R$200,18)&amp;", "))),1,""))</f>
        <v/>
      </c>
      <c r="U227">
        <f>IF(Wizards!$A$19="","",IF(OR(ISNUMBER(SEARCH(", "&amp;$B227&amp;", ", ", "&amp;INDEX('Form Responses'!$I$1:$Q$200,19,$A227)&amp;", ")),ISNUMBER(SEARCH(", "&amp;$B227&amp;", ", ", "&amp;INDEX('Form Responses'!$R$1:$R$200,19)&amp;", "))),1,""))</f>
        <v/>
      </c>
      <c r="V227">
        <f>IF(Wizards!$A$20="","",IF(OR(ISNUMBER(SEARCH(", "&amp;$B227&amp;", ", ", "&amp;INDEX('Form Responses'!$I$1:$Q$200,20,$A227)&amp;", ")),ISNUMBER(SEARCH(", "&amp;$B227&amp;", ", ", "&amp;INDEX('Form Responses'!$R$1:$R$200,20)&amp;", "))),1,""))</f>
        <v/>
      </c>
      <c r="W227">
        <f>IF(Wizards!$A$21="","",IF(OR(ISNUMBER(SEARCH(", "&amp;$B227&amp;", ", ", "&amp;INDEX('Form Responses'!$I$1:$Q$200,21,$A227)&amp;", ")),ISNUMBER(SEARCH(", "&amp;$B227&amp;", ", ", "&amp;INDEX('Form Responses'!$R$1:$R$200,21)&amp;", "))),1,""))</f>
        <v/>
      </c>
      <c r="X227">
        <f>IF(Wizards!$A$22="","",IF(OR(ISNUMBER(SEARCH(", "&amp;$B227&amp;", ", ", "&amp;INDEX('Form Responses'!$I$1:$Q$200,22,$A227)&amp;", ")),ISNUMBER(SEARCH(", "&amp;$B227&amp;", ", ", "&amp;INDEX('Form Responses'!$R$1:$R$200,22)&amp;", "))),1,""))</f>
        <v/>
      </c>
      <c r="Y227">
        <f>IF(Wizards!$A$23="","",IF(OR(ISNUMBER(SEARCH(", "&amp;$B227&amp;", ", ", "&amp;INDEX('Form Responses'!$I$1:$Q$200,23,$A227)&amp;", ")),ISNUMBER(SEARCH(", "&amp;$B227&amp;", ", ", "&amp;INDEX('Form Responses'!$R$1:$R$200,23)&amp;", "))),1,""))</f>
        <v/>
      </c>
      <c r="Z227">
        <f>IF(Wizards!$A$24="","",IF(OR(ISNUMBER(SEARCH(", "&amp;$B227&amp;", ", ", "&amp;INDEX('Form Responses'!$I$1:$Q$200,24,$A227)&amp;", ")),ISNUMBER(SEARCH(", "&amp;$B227&amp;", ", ", "&amp;INDEX('Form Responses'!$R$1:$R$200,24)&amp;", "))),1,""))</f>
        <v/>
      </c>
      <c r="AA227">
        <f>IF(Wizards!$A$25="","",IF(OR(ISNUMBER(SEARCH(", "&amp;$B227&amp;", ", ", "&amp;INDEX('Form Responses'!$I$1:$Q$200,25,$A227)&amp;", ")),ISNUMBER(SEARCH(", "&amp;$B227&amp;", ", ", "&amp;INDEX('Form Responses'!$R$1:$R$200,25)&amp;", "))),1,""))</f>
        <v/>
      </c>
      <c r="AB227">
        <f>IF(D227=1,", "&amp;D$1,"")</f>
        <v/>
      </c>
      <c r="AC227">
        <f>IF(E227=1,", "&amp;E$1,"")</f>
        <v/>
      </c>
      <c r="AD227">
        <f>IF(F227=1,", "&amp;F$1,"")</f>
        <v/>
      </c>
      <c r="AE227">
        <f>IF(G227=1,", "&amp;G$1,"")</f>
        <v/>
      </c>
      <c r="AF227">
        <f>IF(H227=1,", "&amp;H$1,"")</f>
        <v/>
      </c>
      <c r="AG227">
        <f>IF(I227=1,", "&amp;I$1,"")</f>
        <v/>
      </c>
      <c r="AH227">
        <f>IF(J227=1,", "&amp;J$1,"")</f>
        <v/>
      </c>
      <c r="AI227">
        <f>IF(K227=1,", "&amp;K$1,"")</f>
        <v/>
      </c>
      <c r="AJ227">
        <f>IF(L227=1,", "&amp;L$1,"")</f>
        <v/>
      </c>
      <c r="AK227">
        <f>IF(M227=1,", "&amp;M$1,"")</f>
        <v/>
      </c>
      <c r="AL227">
        <f>IF(N227=1,", "&amp;N$1,"")</f>
        <v/>
      </c>
      <c r="AM227">
        <f>IF(O227=1,", "&amp;O$1,"")</f>
        <v/>
      </c>
      <c r="AN227">
        <f>IF(P227=1,", "&amp;P$1,"")</f>
        <v/>
      </c>
      <c r="AO227">
        <f>IF(Q227=1,", "&amp;Q$1,"")</f>
        <v/>
      </c>
      <c r="AP227">
        <f>IF(R227=1,", "&amp;R$1,"")</f>
        <v/>
      </c>
      <c r="AQ227">
        <f>IF(S227=1,", "&amp;S$1,"")</f>
        <v/>
      </c>
      <c r="AR227">
        <f>IF(T227=1,", "&amp;T$1,"")</f>
        <v/>
      </c>
      <c r="AS227">
        <f>IF(U227=1,", "&amp;U$1,"")</f>
        <v/>
      </c>
      <c r="AT227">
        <f>IF(V227=1,", "&amp;V$1,"")</f>
        <v/>
      </c>
      <c r="AU227">
        <f>IF(W227=1,", "&amp;W$1,"")</f>
        <v/>
      </c>
      <c r="AV227">
        <f>IF(X227=1,", "&amp;X$1,"")</f>
        <v/>
      </c>
      <c r="AW227">
        <f>IF(Y227=1,", "&amp;Y$1,"")</f>
        <v/>
      </c>
      <c r="AX227">
        <f>IF(Z227=1,", "&amp;Z$1,"")</f>
        <v/>
      </c>
      <c r="AY227">
        <f>IF(AA227=1,", "&amp;AA$1,"")</f>
        <v/>
      </c>
      <c r="AZ227">
        <f>MID($AB227&amp;$AC227&amp;$AD227&amp;$AE227&amp;$AF227&amp;$AG227&amp;$AH227&amp;$AI227&amp;$AJ227&amp;$AK227&amp;$AL227&amp;$AM227&amp;$AN227&amp;$AO227&amp;$AP227&amp;$AQ227&amp;$AR227&amp;$AS227&amp;$AT227&amp;$AU227&amp;$AV227&amp;$AW227&amp;$AX227&amp;$AY227,3,32767)</f>
        <v/>
      </c>
      <c r="BA227">
        <f>COUNT($D227:$AA227)</f>
        <v/>
      </c>
    </row>
    <row r="228">
      <c r="A228" t="n">
        <v>5</v>
      </c>
      <c r="B228" t="inlineStr">
        <is>
          <t>Mordenkainen’s Lucubration</t>
        </is>
      </c>
      <c r="C228" t="inlineStr">
        <is>
          <t>Divination</t>
        </is>
      </c>
      <c r="D228">
        <f>IF(Wizards!$A$2="","",IF(OR(ISNUMBER(SEARCH(", "&amp;$B228&amp;", ", ", "&amp;INDEX('Form Responses'!$I$1:$Q$200,2,$A228)&amp;", ")),ISNUMBER(SEARCH(", "&amp;$B228&amp;", ", ", "&amp;INDEX('Form Responses'!$R$1:$R$200,2)&amp;", "))),1,""))</f>
        <v/>
      </c>
      <c r="E228">
        <f>IF(Wizards!$A$3="","",IF(OR(ISNUMBER(SEARCH(", "&amp;$B228&amp;", ", ", "&amp;INDEX('Form Responses'!$I$1:$Q$200,3,$A228)&amp;", ")),ISNUMBER(SEARCH(", "&amp;$B228&amp;", ", ", "&amp;INDEX('Form Responses'!$R$1:$R$200,3)&amp;", "))),1,""))</f>
        <v/>
      </c>
      <c r="F228">
        <f>IF(Wizards!$A$4="","",IF(OR(ISNUMBER(SEARCH(", "&amp;$B228&amp;", ", ", "&amp;INDEX('Form Responses'!$I$1:$Q$200,4,$A228)&amp;", ")),ISNUMBER(SEARCH(", "&amp;$B228&amp;", ", ", "&amp;INDEX('Form Responses'!$R$1:$R$200,4)&amp;", "))),1,""))</f>
        <v/>
      </c>
      <c r="G228">
        <f>IF(Wizards!$A$5="","",IF(OR(ISNUMBER(SEARCH(", "&amp;$B228&amp;", ", ", "&amp;INDEX('Form Responses'!$I$1:$Q$200,5,$A228)&amp;", ")),ISNUMBER(SEARCH(", "&amp;$B228&amp;", ", ", "&amp;INDEX('Form Responses'!$R$1:$R$200,5)&amp;", "))),1,""))</f>
        <v/>
      </c>
      <c r="H228">
        <f>IF(Wizards!$A$6="","",IF(OR(ISNUMBER(SEARCH(", "&amp;$B228&amp;", ", ", "&amp;INDEX('Form Responses'!$I$1:$Q$200,6,$A228)&amp;", ")),ISNUMBER(SEARCH(", "&amp;$B228&amp;", ", ", "&amp;INDEX('Form Responses'!$R$1:$R$200,6)&amp;", "))),1,""))</f>
        <v/>
      </c>
      <c r="I228">
        <f>IF(Wizards!$A$7="","",IF(OR(ISNUMBER(SEARCH(", "&amp;$B228&amp;", ", ", "&amp;INDEX('Form Responses'!$I$1:$Q$200,7,$A228)&amp;", ")),ISNUMBER(SEARCH(", "&amp;$B228&amp;", ", ", "&amp;INDEX('Form Responses'!$R$1:$R$200,7)&amp;", "))),1,""))</f>
        <v/>
      </c>
      <c r="J228">
        <f>IF(Wizards!$A$8="","",IF(OR(ISNUMBER(SEARCH(", "&amp;$B228&amp;", ", ", "&amp;INDEX('Form Responses'!$I$1:$Q$200,8,$A228)&amp;", ")),ISNUMBER(SEARCH(", "&amp;$B228&amp;", ", ", "&amp;INDEX('Form Responses'!$R$1:$R$200,8)&amp;", "))),1,""))</f>
        <v/>
      </c>
      <c r="K228">
        <f>IF(Wizards!$A$9="","",IF(OR(ISNUMBER(SEARCH(", "&amp;$B228&amp;", ", ", "&amp;INDEX('Form Responses'!$I$1:$Q$200,9,$A228)&amp;", ")),ISNUMBER(SEARCH(", "&amp;$B228&amp;", ", ", "&amp;INDEX('Form Responses'!$R$1:$R$200,9)&amp;", "))),1,""))</f>
        <v/>
      </c>
      <c r="L228">
        <f>IF(Wizards!$A$10="","",IF(OR(ISNUMBER(SEARCH(", "&amp;$B228&amp;", ", ", "&amp;INDEX('Form Responses'!$I$1:$Q$200,10,$A228)&amp;", ")),ISNUMBER(SEARCH(", "&amp;$B228&amp;", ", ", "&amp;INDEX('Form Responses'!$R$1:$R$200,10)&amp;", "))),1,""))</f>
        <v/>
      </c>
      <c r="M228">
        <f>IF(Wizards!$A$11="","",IF(OR(ISNUMBER(SEARCH(", "&amp;$B228&amp;", ", ", "&amp;INDEX('Form Responses'!$I$1:$Q$200,11,$A228)&amp;", ")),ISNUMBER(SEARCH(", "&amp;$B228&amp;", ", ", "&amp;INDEX('Form Responses'!$R$1:$R$200,11)&amp;", "))),1,""))</f>
        <v/>
      </c>
      <c r="N228">
        <f>IF(Wizards!$A$12="","",IF(OR(ISNUMBER(SEARCH(", "&amp;$B228&amp;", ", ", "&amp;INDEX('Form Responses'!$I$1:$Q$200,12,$A228)&amp;", ")),ISNUMBER(SEARCH(", "&amp;$B228&amp;", ", ", "&amp;INDEX('Form Responses'!$R$1:$R$200,12)&amp;", "))),1,""))</f>
        <v/>
      </c>
      <c r="O228">
        <f>IF(Wizards!$A$13="","",IF(OR(ISNUMBER(SEARCH(", "&amp;$B228&amp;", ", ", "&amp;INDEX('Form Responses'!$I$1:$Q$200,13,$A228)&amp;", ")),ISNUMBER(SEARCH(", "&amp;$B228&amp;", ", ", "&amp;INDEX('Form Responses'!$R$1:$R$200,13)&amp;", "))),1,""))</f>
        <v/>
      </c>
      <c r="P228">
        <f>IF(Wizards!$A$14="","",IF(OR(ISNUMBER(SEARCH(", "&amp;$B228&amp;", ", ", "&amp;INDEX('Form Responses'!$I$1:$Q$200,14,$A228)&amp;", ")),ISNUMBER(SEARCH(", "&amp;$B228&amp;", ", ", "&amp;INDEX('Form Responses'!$R$1:$R$200,14)&amp;", "))),1,""))</f>
        <v/>
      </c>
      <c r="Q228">
        <f>IF(Wizards!$A$15="","",IF(OR(ISNUMBER(SEARCH(", "&amp;$B228&amp;", ", ", "&amp;INDEX('Form Responses'!$I$1:$Q$200,15,$A228)&amp;", ")),ISNUMBER(SEARCH(", "&amp;$B228&amp;", ", ", "&amp;INDEX('Form Responses'!$R$1:$R$200,15)&amp;", "))),1,""))</f>
        <v/>
      </c>
      <c r="R228">
        <f>IF(Wizards!$A$16="","",IF(OR(ISNUMBER(SEARCH(", "&amp;$B228&amp;", ", ", "&amp;INDEX('Form Responses'!$I$1:$Q$200,16,$A228)&amp;", ")),ISNUMBER(SEARCH(", "&amp;$B228&amp;", ", ", "&amp;INDEX('Form Responses'!$R$1:$R$200,16)&amp;", "))),1,""))</f>
        <v/>
      </c>
      <c r="S228">
        <f>IF(Wizards!$A$17="","",IF(OR(ISNUMBER(SEARCH(", "&amp;$B228&amp;", ", ", "&amp;INDEX('Form Responses'!$I$1:$Q$200,17,$A228)&amp;", ")),ISNUMBER(SEARCH(", "&amp;$B228&amp;", ", ", "&amp;INDEX('Form Responses'!$R$1:$R$200,17)&amp;", "))),1,""))</f>
        <v/>
      </c>
      <c r="T228">
        <f>IF(Wizards!$A$18="","",IF(OR(ISNUMBER(SEARCH(", "&amp;$B228&amp;", ", ", "&amp;INDEX('Form Responses'!$I$1:$Q$200,18,$A228)&amp;", ")),ISNUMBER(SEARCH(", "&amp;$B228&amp;", ", ", "&amp;INDEX('Form Responses'!$R$1:$R$200,18)&amp;", "))),1,""))</f>
        <v/>
      </c>
      <c r="U228">
        <f>IF(Wizards!$A$19="","",IF(OR(ISNUMBER(SEARCH(", "&amp;$B228&amp;", ", ", "&amp;INDEX('Form Responses'!$I$1:$Q$200,19,$A228)&amp;", ")),ISNUMBER(SEARCH(", "&amp;$B228&amp;", ", ", "&amp;INDEX('Form Responses'!$R$1:$R$200,19)&amp;", "))),1,""))</f>
        <v/>
      </c>
      <c r="V228">
        <f>IF(Wizards!$A$20="","",IF(OR(ISNUMBER(SEARCH(", "&amp;$B228&amp;", ", ", "&amp;INDEX('Form Responses'!$I$1:$Q$200,20,$A228)&amp;", ")),ISNUMBER(SEARCH(", "&amp;$B228&amp;", ", ", "&amp;INDEX('Form Responses'!$R$1:$R$200,20)&amp;", "))),1,""))</f>
        <v/>
      </c>
      <c r="W228">
        <f>IF(Wizards!$A$21="","",IF(OR(ISNUMBER(SEARCH(", "&amp;$B228&amp;", ", ", "&amp;INDEX('Form Responses'!$I$1:$Q$200,21,$A228)&amp;", ")),ISNUMBER(SEARCH(", "&amp;$B228&amp;", ", ", "&amp;INDEX('Form Responses'!$R$1:$R$200,21)&amp;", "))),1,""))</f>
        <v/>
      </c>
      <c r="X228">
        <f>IF(Wizards!$A$22="","",IF(OR(ISNUMBER(SEARCH(", "&amp;$B228&amp;", ", ", "&amp;INDEX('Form Responses'!$I$1:$Q$200,22,$A228)&amp;", ")),ISNUMBER(SEARCH(", "&amp;$B228&amp;", ", ", "&amp;INDEX('Form Responses'!$R$1:$R$200,22)&amp;", "))),1,""))</f>
        <v/>
      </c>
      <c r="Y228">
        <f>IF(Wizards!$A$23="","",IF(OR(ISNUMBER(SEARCH(", "&amp;$B228&amp;", ", ", "&amp;INDEX('Form Responses'!$I$1:$Q$200,23,$A228)&amp;", ")),ISNUMBER(SEARCH(", "&amp;$B228&amp;", ", ", "&amp;INDEX('Form Responses'!$R$1:$R$200,23)&amp;", "))),1,""))</f>
        <v/>
      </c>
      <c r="Z228">
        <f>IF(Wizards!$A$24="","",IF(OR(ISNUMBER(SEARCH(", "&amp;$B228&amp;", ", ", "&amp;INDEX('Form Responses'!$I$1:$Q$200,24,$A228)&amp;", ")),ISNUMBER(SEARCH(", "&amp;$B228&amp;", ", ", "&amp;INDEX('Form Responses'!$R$1:$R$200,24)&amp;", "))),1,""))</f>
        <v/>
      </c>
      <c r="AA228">
        <f>IF(Wizards!$A$25="","",IF(OR(ISNUMBER(SEARCH(", "&amp;$B228&amp;", ", ", "&amp;INDEX('Form Responses'!$I$1:$Q$200,25,$A228)&amp;", ")),ISNUMBER(SEARCH(", "&amp;$B228&amp;", ", ", "&amp;INDEX('Form Responses'!$R$1:$R$200,25)&amp;", "))),1,""))</f>
        <v/>
      </c>
      <c r="AB228">
        <f>IF(D228=1,", "&amp;D$1,"")</f>
        <v/>
      </c>
      <c r="AC228">
        <f>IF(E228=1,", "&amp;E$1,"")</f>
        <v/>
      </c>
      <c r="AD228">
        <f>IF(F228=1,", "&amp;F$1,"")</f>
        <v/>
      </c>
      <c r="AE228">
        <f>IF(G228=1,", "&amp;G$1,"")</f>
        <v/>
      </c>
      <c r="AF228">
        <f>IF(H228=1,", "&amp;H$1,"")</f>
        <v/>
      </c>
      <c r="AG228">
        <f>IF(I228=1,", "&amp;I$1,"")</f>
        <v/>
      </c>
      <c r="AH228">
        <f>IF(J228=1,", "&amp;J$1,"")</f>
        <v/>
      </c>
      <c r="AI228">
        <f>IF(K228=1,", "&amp;K$1,"")</f>
        <v/>
      </c>
      <c r="AJ228">
        <f>IF(L228=1,", "&amp;L$1,"")</f>
        <v/>
      </c>
      <c r="AK228">
        <f>IF(M228=1,", "&amp;M$1,"")</f>
        <v/>
      </c>
      <c r="AL228">
        <f>IF(N228=1,", "&amp;N$1,"")</f>
        <v/>
      </c>
      <c r="AM228">
        <f>IF(O228=1,", "&amp;O$1,"")</f>
        <v/>
      </c>
      <c r="AN228">
        <f>IF(P228=1,", "&amp;P$1,"")</f>
        <v/>
      </c>
      <c r="AO228">
        <f>IF(Q228=1,", "&amp;Q$1,"")</f>
        <v/>
      </c>
      <c r="AP228">
        <f>IF(R228=1,", "&amp;R$1,"")</f>
        <v/>
      </c>
      <c r="AQ228">
        <f>IF(S228=1,", "&amp;S$1,"")</f>
        <v/>
      </c>
      <c r="AR228">
        <f>IF(T228=1,", "&amp;T$1,"")</f>
        <v/>
      </c>
      <c r="AS228">
        <f>IF(U228=1,", "&amp;U$1,"")</f>
        <v/>
      </c>
      <c r="AT228">
        <f>IF(V228=1,", "&amp;V$1,"")</f>
        <v/>
      </c>
      <c r="AU228">
        <f>IF(W228=1,", "&amp;W$1,"")</f>
        <v/>
      </c>
      <c r="AV228">
        <f>IF(X228=1,", "&amp;X$1,"")</f>
        <v/>
      </c>
      <c r="AW228">
        <f>IF(Y228=1,", "&amp;Y$1,"")</f>
        <v/>
      </c>
      <c r="AX228">
        <f>IF(Z228=1,", "&amp;Z$1,"")</f>
        <v/>
      </c>
      <c r="AY228">
        <f>IF(AA228=1,", "&amp;AA$1,"")</f>
        <v/>
      </c>
      <c r="AZ228">
        <f>MID($AB228&amp;$AC228&amp;$AD228&amp;$AE228&amp;$AF228&amp;$AG228&amp;$AH228&amp;$AI228&amp;$AJ228&amp;$AK228&amp;$AL228&amp;$AM228&amp;$AN228&amp;$AO228&amp;$AP228&amp;$AQ228&amp;$AR228&amp;$AS228&amp;$AT228&amp;$AU228&amp;$AV228&amp;$AW228&amp;$AX228&amp;$AY228,3,32767)</f>
        <v/>
      </c>
      <c r="BA228">
        <f>COUNT($D228:$AA228)</f>
        <v/>
      </c>
    </row>
    <row r="229">
      <c r="A229" t="n">
        <v>5</v>
      </c>
      <c r="B229" t="inlineStr">
        <is>
          <t>Negative Energy Flood</t>
        </is>
      </c>
      <c r="C229" t="inlineStr">
        <is>
          <t>Necromancy</t>
        </is>
      </c>
      <c r="D229">
        <f>IF(Wizards!$A$2="","",IF(OR(ISNUMBER(SEARCH(", "&amp;$B229&amp;", ", ", "&amp;INDEX('Form Responses'!$I$1:$Q$200,2,$A229)&amp;", ")),ISNUMBER(SEARCH(", "&amp;$B229&amp;", ", ", "&amp;INDEX('Form Responses'!$R$1:$R$200,2)&amp;", "))),1,""))</f>
        <v/>
      </c>
      <c r="E229">
        <f>IF(Wizards!$A$3="","",IF(OR(ISNUMBER(SEARCH(", "&amp;$B229&amp;", ", ", "&amp;INDEX('Form Responses'!$I$1:$Q$200,3,$A229)&amp;", ")),ISNUMBER(SEARCH(", "&amp;$B229&amp;", ", ", "&amp;INDEX('Form Responses'!$R$1:$R$200,3)&amp;", "))),1,""))</f>
        <v/>
      </c>
      <c r="F229">
        <f>IF(Wizards!$A$4="","",IF(OR(ISNUMBER(SEARCH(", "&amp;$B229&amp;", ", ", "&amp;INDEX('Form Responses'!$I$1:$Q$200,4,$A229)&amp;", ")),ISNUMBER(SEARCH(", "&amp;$B229&amp;", ", ", "&amp;INDEX('Form Responses'!$R$1:$R$200,4)&amp;", "))),1,""))</f>
        <v/>
      </c>
      <c r="G229">
        <f>IF(Wizards!$A$5="","",IF(OR(ISNUMBER(SEARCH(", "&amp;$B229&amp;", ", ", "&amp;INDEX('Form Responses'!$I$1:$Q$200,5,$A229)&amp;", ")),ISNUMBER(SEARCH(", "&amp;$B229&amp;", ", ", "&amp;INDEX('Form Responses'!$R$1:$R$200,5)&amp;", "))),1,""))</f>
        <v/>
      </c>
      <c r="H229">
        <f>IF(Wizards!$A$6="","",IF(OR(ISNUMBER(SEARCH(", "&amp;$B229&amp;", ", ", "&amp;INDEX('Form Responses'!$I$1:$Q$200,6,$A229)&amp;", ")),ISNUMBER(SEARCH(", "&amp;$B229&amp;", ", ", "&amp;INDEX('Form Responses'!$R$1:$R$200,6)&amp;", "))),1,""))</f>
        <v/>
      </c>
      <c r="I229">
        <f>IF(Wizards!$A$7="","",IF(OR(ISNUMBER(SEARCH(", "&amp;$B229&amp;", ", ", "&amp;INDEX('Form Responses'!$I$1:$Q$200,7,$A229)&amp;", ")),ISNUMBER(SEARCH(", "&amp;$B229&amp;", ", ", "&amp;INDEX('Form Responses'!$R$1:$R$200,7)&amp;", "))),1,""))</f>
        <v/>
      </c>
      <c r="J229">
        <f>IF(Wizards!$A$8="","",IF(OR(ISNUMBER(SEARCH(", "&amp;$B229&amp;", ", ", "&amp;INDEX('Form Responses'!$I$1:$Q$200,8,$A229)&amp;", ")),ISNUMBER(SEARCH(", "&amp;$B229&amp;", ", ", "&amp;INDEX('Form Responses'!$R$1:$R$200,8)&amp;", "))),1,""))</f>
        <v/>
      </c>
      <c r="K229">
        <f>IF(Wizards!$A$9="","",IF(OR(ISNUMBER(SEARCH(", "&amp;$B229&amp;", ", ", "&amp;INDEX('Form Responses'!$I$1:$Q$200,9,$A229)&amp;", ")),ISNUMBER(SEARCH(", "&amp;$B229&amp;", ", ", "&amp;INDEX('Form Responses'!$R$1:$R$200,9)&amp;", "))),1,""))</f>
        <v/>
      </c>
      <c r="L229">
        <f>IF(Wizards!$A$10="","",IF(OR(ISNUMBER(SEARCH(", "&amp;$B229&amp;", ", ", "&amp;INDEX('Form Responses'!$I$1:$Q$200,10,$A229)&amp;", ")),ISNUMBER(SEARCH(", "&amp;$B229&amp;", ", ", "&amp;INDEX('Form Responses'!$R$1:$R$200,10)&amp;", "))),1,""))</f>
        <v/>
      </c>
      <c r="M229">
        <f>IF(Wizards!$A$11="","",IF(OR(ISNUMBER(SEARCH(", "&amp;$B229&amp;", ", ", "&amp;INDEX('Form Responses'!$I$1:$Q$200,11,$A229)&amp;", ")),ISNUMBER(SEARCH(", "&amp;$B229&amp;", ", ", "&amp;INDEX('Form Responses'!$R$1:$R$200,11)&amp;", "))),1,""))</f>
        <v/>
      </c>
      <c r="N229">
        <f>IF(Wizards!$A$12="","",IF(OR(ISNUMBER(SEARCH(", "&amp;$B229&amp;", ", ", "&amp;INDEX('Form Responses'!$I$1:$Q$200,12,$A229)&amp;", ")),ISNUMBER(SEARCH(", "&amp;$B229&amp;", ", ", "&amp;INDEX('Form Responses'!$R$1:$R$200,12)&amp;", "))),1,""))</f>
        <v/>
      </c>
      <c r="O229">
        <f>IF(Wizards!$A$13="","",IF(OR(ISNUMBER(SEARCH(", "&amp;$B229&amp;", ", ", "&amp;INDEX('Form Responses'!$I$1:$Q$200,13,$A229)&amp;", ")),ISNUMBER(SEARCH(", "&amp;$B229&amp;", ", ", "&amp;INDEX('Form Responses'!$R$1:$R$200,13)&amp;", "))),1,""))</f>
        <v/>
      </c>
      <c r="P229">
        <f>IF(Wizards!$A$14="","",IF(OR(ISNUMBER(SEARCH(", "&amp;$B229&amp;", ", ", "&amp;INDEX('Form Responses'!$I$1:$Q$200,14,$A229)&amp;", ")),ISNUMBER(SEARCH(", "&amp;$B229&amp;", ", ", "&amp;INDEX('Form Responses'!$R$1:$R$200,14)&amp;", "))),1,""))</f>
        <v/>
      </c>
      <c r="Q229">
        <f>IF(Wizards!$A$15="","",IF(OR(ISNUMBER(SEARCH(", "&amp;$B229&amp;", ", ", "&amp;INDEX('Form Responses'!$I$1:$Q$200,15,$A229)&amp;", ")),ISNUMBER(SEARCH(", "&amp;$B229&amp;", ", ", "&amp;INDEX('Form Responses'!$R$1:$R$200,15)&amp;", "))),1,""))</f>
        <v/>
      </c>
      <c r="R229">
        <f>IF(Wizards!$A$16="","",IF(OR(ISNUMBER(SEARCH(", "&amp;$B229&amp;", ", ", "&amp;INDEX('Form Responses'!$I$1:$Q$200,16,$A229)&amp;", ")),ISNUMBER(SEARCH(", "&amp;$B229&amp;", ", ", "&amp;INDEX('Form Responses'!$R$1:$R$200,16)&amp;", "))),1,""))</f>
        <v/>
      </c>
      <c r="S229">
        <f>IF(Wizards!$A$17="","",IF(OR(ISNUMBER(SEARCH(", "&amp;$B229&amp;", ", ", "&amp;INDEX('Form Responses'!$I$1:$Q$200,17,$A229)&amp;", ")),ISNUMBER(SEARCH(", "&amp;$B229&amp;", ", ", "&amp;INDEX('Form Responses'!$R$1:$R$200,17)&amp;", "))),1,""))</f>
        <v/>
      </c>
      <c r="T229">
        <f>IF(Wizards!$A$18="","",IF(OR(ISNUMBER(SEARCH(", "&amp;$B229&amp;", ", ", "&amp;INDEX('Form Responses'!$I$1:$Q$200,18,$A229)&amp;", ")),ISNUMBER(SEARCH(", "&amp;$B229&amp;", ", ", "&amp;INDEX('Form Responses'!$R$1:$R$200,18)&amp;", "))),1,""))</f>
        <v/>
      </c>
      <c r="U229">
        <f>IF(Wizards!$A$19="","",IF(OR(ISNUMBER(SEARCH(", "&amp;$B229&amp;", ", ", "&amp;INDEX('Form Responses'!$I$1:$Q$200,19,$A229)&amp;", ")),ISNUMBER(SEARCH(", "&amp;$B229&amp;", ", ", "&amp;INDEX('Form Responses'!$R$1:$R$200,19)&amp;", "))),1,""))</f>
        <v/>
      </c>
      <c r="V229">
        <f>IF(Wizards!$A$20="","",IF(OR(ISNUMBER(SEARCH(", "&amp;$B229&amp;", ", ", "&amp;INDEX('Form Responses'!$I$1:$Q$200,20,$A229)&amp;", ")),ISNUMBER(SEARCH(", "&amp;$B229&amp;", ", ", "&amp;INDEX('Form Responses'!$R$1:$R$200,20)&amp;", "))),1,""))</f>
        <v/>
      </c>
      <c r="W229">
        <f>IF(Wizards!$A$21="","",IF(OR(ISNUMBER(SEARCH(", "&amp;$B229&amp;", ", ", "&amp;INDEX('Form Responses'!$I$1:$Q$200,21,$A229)&amp;", ")),ISNUMBER(SEARCH(", "&amp;$B229&amp;", ", ", "&amp;INDEX('Form Responses'!$R$1:$R$200,21)&amp;", "))),1,""))</f>
        <v/>
      </c>
      <c r="X229">
        <f>IF(Wizards!$A$22="","",IF(OR(ISNUMBER(SEARCH(", "&amp;$B229&amp;", ", ", "&amp;INDEX('Form Responses'!$I$1:$Q$200,22,$A229)&amp;", ")),ISNUMBER(SEARCH(", "&amp;$B229&amp;", ", ", "&amp;INDEX('Form Responses'!$R$1:$R$200,22)&amp;", "))),1,""))</f>
        <v/>
      </c>
      <c r="Y229">
        <f>IF(Wizards!$A$23="","",IF(OR(ISNUMBER(SEARCH(", "&amp;$B229&amp;", ", ", "&amp;INDEX('Form Responses'!$I$1:$Q$200,23,$A229)&amp;", ")),ISNUMBER(SEARCH(", "&amp;$B229&amp;", ", ", "&amp;INDEX('Form Responses'!$R$1:$R$200,23)&amp;", "))),1,""))</f>
        <v/>
      </c>
      <c r="Z229">
        <f>IF(Wizards!$A$24="","",IF(OR(ISNUMBER(SEARCH(", "&amp;$B229&amp;", ", ", "&amp;INDEX('Form Responses'!$I$1:$Q$200,24,$A229)&amp;", ")),ISNUMBER(SEARCH(", "&amp;$B229&amp;", ", ", "&amp;INDEX('Form Responses'!$R$1:$R$200,24)&amp;", "))),1,""))</f>
        <v/>
      </c>
      <c r="AA229">
        <f>IF(Wizards!$A$25="","",IF(OR(ISNUMBER(SEARCH(", "&amp;$B229&amp;", ", ", "&amp;INDEX('Form Responses'!$I$1:$Q$200,25,$A229)&amp;", ")),ISNUMBER(SEARCH(", "&amp;$B229&amp;", ", ", "&amp;INDEX('Form Responses'!$R$1:$R$200,25)&amp;", "))),1,""))</f>
        <v/>
      </c>
      <c r="AB229">
        <f>IF(D229=1,", "&amp;D$1,"")</f>
        <v/>
      </c>
      <c r="AC229">
        <f>IF(E229=1,", "&amp;E$1,"")</f>
        <v/>
      </c>
      <c r="AD229">
        <f>IF(F229=1,", "&amp;F$1,"")</f>
        <v/>
      </c>
      <c r="AE229">
        <f>IF(G229=1,", "&amp;G$1,"")</f>
        <v/>
      </c>
      <c r="AF229">
        <f>IF(H229=1,", "&amp;H$1,"")</f>
        <v/>
      </c>
      <c r="AG229">
        <f>IF(I229=1,", "&amp;I$1,"")</f>
        <v/>
      </c>
      <c r="AH229">
        <f>IF(J229=1,", "&amp;J$1,"")</f>
        <v/>
      </c>
      <c r="AI229">
        <f>IF(K229=1,", "&amp;K$1,"")</f>
        <v/>
      </c>
      <c r="AJ229">
        <f>IF(L229=1,", "&amp;L$1,"")</f>
        <v/>
      </c>
      <c r="AK229">
        <f>IF(M229=1,", "&amp;M$1,"")</f>
        <v/>
      </c>
      <c r="AL229">
        <f>IF(N229=1,", "&amp;N$1,"")</f>
        <v/>
      </c>
      <c r="AM229">
        <f>IF(O229=1,", "&amp;O$1,"")</f>
        <v/>
      </c>
      <c r="AN229">
        <f>IF(P229=1,", "&amp;P$1,"")</f>
        <v/>
      </c>
      <c r="AO229">
        <f>IF(Q229=1,", "&amp;Q$1,"")</f>
        <v/>
      </c>
      <c r="AP229">
        <f>IF(R229=1,", "&amp;R$1,"")</f>
        <v/>
      </c>
      <c r="AQ229">
        <f>IF(S229=1,", "&amp;S$1,"")</f>
        <v/>
      </c>
      <c r="AR229">
        <f>IF(T229=1,", "&amp;T$1,"")</f>
        <v/>
      </c>
      <c r="AS229">
        <f>IF(U229=1,", "&amp;U$1,"")</f>
        <v/>
      </c>
      <c r="AT229">
        <f>IF(V229=1,", "&amp;V$1,"")</f>
        <v/>
      </c>
      <c r="AU229">
        <f>IF(W229=1,", "&amp;W$1,"")</f>
        <v/>
      </c>
      <c r="AV229">
        <f>IF(X229=1,", "&amp;X$1,"")</f>
        <v/>
      </c>
      <c r="AW229">
        <f>IF(Y229=1,", "&amp;Y$1,"")</f>
        <v/>
      </c>
      <c r="AX229">
        <f>IF(Z229=1,", "&amp;Z$1,"")</f>
        <v/>
      </c>
      <c r="AY229">
        <f>IF(AA229=1,", "&amp;AA$1,"")</f>
        <v/>
      </c>
      <c r="AZ229">
        <f>MID($AB229&amp;$AC229&amp;$AD229&amp;$AE229&amp;$AF229&amp;$AG229&amp;$AH229&amp;$AI229&amp;$AJ229&amp;$AK229&amp;$AL229&amp;$AM229&amp;$AN229&amp;$AO229&amp;$AP229&amp;$AQ229&amp;$AR229&amp;$AS229&amp;$AT229&amp;$AU229&amp;$AV229&amp;$AW229&amp;$AX229&amp;$AY229,3,32767)</f>
        <v/>
      </c>
      <c r="BA229">
        <f>COUNT($D229:$AA229)</f>
        <v/>
      </c>
    </row>
    <row r="230">
      <c r="A230" t="n">
        <v>5</v>
      </c>
      <c r="B230" t="inlineStr">
        <is>
          <t>Passwall</t>
        </is>
      </c>
      <c r="C230" t="inlineStr">
        <is>
          <t>Transmutation</t>
        </is>
      </c>
      <c r="D230">
        <f>IF(Wizards!$A$2="","",IF(OR(ISNUMBER(SEARCH(", "&amp;$B230&amp;", ", ", "&amp;INDEX('Form Responses'!$I$1:$Q$200,2,$A230)&amp;", ")),ISNUMBER(SEARCH(", "&amp;$B230&amp;", ", ", "&amp;INDEX('Form Responses'!$R$1:$R$200,2)&amp;", "))),1,""))</f>
        <v/>
      </c>
      <c r="E230">
        <f>IF(Wizards!$A$3="","",IF(OR(ISNUMBER(SEARCH(", "&amp;$B230&amp;", ", ", "&amp;INDEX('Form Responses'!$I$1:$Q$200,3,$A230)&amp;", ")),ISNUMBER(SEARCH(", "&amp;$B230&amp;", ", ", "&amp;INDEX('Form Responses'!$R$1:$R$200,3)&amp;", "))),1,""))</f>
        <v/>
      </c>
      <c r="F230">
        <f>IF(Wizards!$A$4="","",IF(OR(ISNUMBER(SEARCH(", "&amp;$B230&amp;", ", ", "&amp;INDEX('Form Responses'!$I$1:$Q$200,4,$A230)&amp;", ")),ISNUMBER(SEARCH(", "&amp;$B230&amp;", ", ", "&amp;INDEX('Form Responses'!$R$1:$R$200,4)&amp;", "))),1,""))</f>
        <v/>
      </c>
      <c r="G230">
        <f>IF(Wizards!$A$5="","",IF(OR(ISNUMBER(SEARCH(", "&amp;$B230&amp;", ", ", "&amp;INDEX('Form Responses'!$I$1:$Q$200,5,$A230)&amp;", ")),ISNUMBER(SEARCH(", "&amp;$B230&amp;", ", ", "&amp;INDEX('Form Responses'!$R$1:$R$200,5)&amp;", "))),1,""))</f>
        <v/>
      </c>
      <c r="H230">
        <f>IF(Wizards!$A$6="","",IF(OR(ISNUMBER(SEARCH(", "&amp;$B230&amp;", ", ", "&amp;INDEX('Form Responses'!$I$1:$Q$200,6,$A230)&amp;", ")),ISNUMBER(SEARCH(", "&amp;$B230&amp;", ", ", "&amp;INDEX('Form Responses'!$R$1:$R$200,6)&amp;", "))),1,""))</f>
        <v/>
      </c>
      <c r="I230">
        <f>IF(Wizards!$A$7="","",IF(OR(ISNUMBER(SEARCH(", "&amp;$B230&amp;", ", ", "&amp;INDEX('Form Responses'!$I$1:$Q$200,7,$A230)&amp;", ")),ISNUMBER(SEARCH(", "&amp;$B230&amp;", ", ", "&amp;INDEX('Form Responses'!$R$1:$R$200,7)&amp;", "))),1,""))</f>
        <v/>
      </c>
      <c r="J230">
        <f>IF(Wizards!$A$8="","",IF(OR(ISNUMBER(SEARCH(", "&amp;$B230&amp;", ", ", "&amp;INDEX('Form Responses'!$I$1:$Q$200,8,$A230)&amp;", ")),ISNUMBER(SEARCH(", "&amp;$B230&amp;", ", ", "&amp;INDEX('Form Responses'!$R$1:$R$200,8)&amp;", "))),1,""))</f>
        <v/>
      </c>
      <c r="K230">
        <f>IF(Wizards!$A$9="","",IF(OR(ISNUMBER(SEARCH(", "&amp;$B230&amp;", ", ", "&amp;INDEX('Form Responses'!$I$1:$Q$200,9,$A230)&amp;", ")),ISNUMBER(SEARCH(", "&amp;$B230&amp;", ", ", "&amp;INDEX('Form Responses'!$R$1:$R$200,9)&amp;", "))),1,""))</f>
        <v/>
      </c>
      <c r="L230">
        <f>IF(Wizards!$A$10="","",IF(OR(ISNUMBER(SEARCH(", "&amp;$B230&amp;", ", ", "&amp;INDEX('Form Responses'!$I$1:$Q$200,10,$A230)&amp;", ")),ISNUMBER(SEARCH(", "&amp;$B230&amp;", ", ", "&amp;INDEX('Form Responses'!$R$1:$R$200,10)&amp;", "))),1,""))</f>
        <v/>
      </c>
      <c r="M230">
        <f>IF(Wizards!$A$11="","",IF(OR(ISNUMBER(SEARCH(", "&amp;$B230&amp;", ", ", "&amp;INDEX('Form Responses'!$I$1:$Q$200,11,$A230)&amp;", ")),ISNUMBER(SEARCH(", "&amp;$B230&amp;", ", ", "&amp;INDEX('Form Responses'!$R$1:$R$200,11)&amp;", "))),1,""))</f>
        <v/>
      </c>
      <c r="N230">
        <f>IF(Wizards!$A$12="","",IF(OR(ISNUMBER(SEARCH(", "&amp;$B230&amp;", ", ", "&amp;INDEX('Form Responses'!$I$1:$Q$200,12,$A230)&amp;", ")),ISNUMBER(SEARCH(", "&amp;$B230&amp;", ", ", "&amp;INDEX('Form Responses'!$R$1:$R$200,12)&amp;", "))),1,""))</f>
        <v/>
      </c>
      <c r="O230">
        <f>IF(Wizards!$A$13="","",IF(OR(ISNUMBER(SEARCH(", "&amp;$B230&amp;", ", ", "&amp;INDEX('Form Responses'!$I$1:$Q$200,13,$A230)&amp;", ")),ISNUMBER(SEARCH(", "&amp;$B230&amp;", ", ", "&amp;INDEX('Form Responses'!$R$1:$R$200,13)&amp;", "))),1,""))</f>
        <v/>
      </c>
      <c r="P230">
        <f>IF(Wizards!$A$14="","",IF(OR(ISNUMBER(SEARCH(", "&amp;$B230&amp;", ", ", "&amp;INDEX('Form Responses'!$I$1:$Q$200,14,$A230)&amp;", ")),ISNUMBER(SEARCH(", "&amp;$B230&amp;", ", ", "&amp;INDEX('Form Responses'!$R$1:$R$200,14)&amp;", "))),1,""))</f>
        <v/>
      </c>
      <c r="Q230">
        <f>IF(Wizards!$A$15="","",IF(OR(ISNUMBER(SEARCH(", "&amp;$B230&amp;", ", ", "&amp;INDEX('Form Responses'!$I$1:$Q$200,15,$A230)&amp;", ")),ISNUMBER(SEARCH(", "&amp;$B230&amp;", ", ", "&amp;INDEX('Form Responses'!$R$1:$R$200,15)&amp;", "))),1,""))</f>
        <v/>
      </c>
      <c r="R230">
        <f>IF(Wizards!$A$16="","",IF(OR(ISNUMBER(SEARCH(", "&amp;$B230&amp;", ", ", "&amp;INDEX('Form Responses'!$I$1:$Q$200,16,$A230)&amp;", ")),ISNUMBER(SEARCH(", "&amp;$B230&amp;", ", ", "&amp;INDEX('Form Responses'!$R$1:$R$200,16)&amp;", "))),1,""))</f>
        <v/>
      </c>
      <c r="S230">
        <f>IF(Wizards!$A$17="","",IF(OR(ISNUMBER(SEARCH(", "&amp;$B230&amp;", ", ", "&amp;INDEX('Form Responses'!$I$1:$Q$200,17,$A230)&amp;", ")),ISNUMBER(SEARCH(", "&amp;$B230&amp;", ", ", "&amp;INDEX('Form Responses'!$R$1:$R$200,17)&amp;", "))),1,""))</f>
        <v/>
      </c>
      <c r="T230">
        <f>IF(Wizards!$A$18="","",IF(OR(ISNUMBER(SEARCH(", "&amp;$B230&amp;", ", ", "&amp;INDEX('Form Responses'!$I$1:$Q$200,18,$A230)&amp;", ")),ISNUMBER(SEARCH(", "&amp;$B230&amp;", ", ", "&amp;INDEX('Form Responses'!$R$1:$R$200,18)&amp;", "))),1,""))</f>
        <v/>
      </c>
      <c r="U230">
        <f>IF(Wizards!$A$19="","",IF(OR(ISNUMBER(SEARCH(", "&amp;$B230&amp;", ", ", "&amp;INDEX('Form Responses'!$I$1:$Q$200,19,$A230)&amp;", ")),ISNUMBER(SEARCH(", "&amp;$B230&amp;", ", ", "&amp;INDEX('Form Responses'!$R$1:$R$200,19)&amp;", "))),1,""))</f>
        <v/>
      </c>
      <c r="V230">
        <f>IF(Wizards!$A$20="","",IF(OR(ISNUMBER(SEARCH(", "&amp;$B230&amp;", ", ", "&amp;INDEX('Form Responses'!$I$1:$Q$200,20,$A230)&amp;", ")),ISNUMBER(SEARCH(", "&amp;$B230&amp;", ", ", "&amp;INDEX('Form Responses'!$R$1:$R$200,20)&amp;", "))),1,""))</f>
        <v/>
      </c>
      <c r="W230">
        <f>IF(Wizards!$A$21="","",IF(OR(ISNUMBER(SEARCH(", "&amp;$B230&amp;", ", ", "&amp;INDEX('Form Responses'!$I$1:$Q$200,21,$A230)&amp;", ")),ISNUMBER(SEARCH(", "&amp;$B230&amp;", ", ", "&amp;INDEX('Form Responses'!$R$1:$R$200,21)&amp;", "))),1,""))</f>
        <v/>
      </c>
      <c r="X230">
        <f>IF(Wizards!$A$22="","",IF(OR(ISNUMBER(SEARCH(", "&amp;$B230&amp;", ", ", "&amp;INDEX('Form Responses'!$I$1:$Q$200,22,$A230)&amp;", ")),ISNUMBER(SEARCH(", "&amp;$B230&amp;", ", ", "&amp;INDEX('Form Responses'!$R$1:$R$200,22)&amp;", "))),1,""))</f>
        <v/>
      </c>
      <c r="Y230">
        <f>IF(Wizards!$A$23="","",IF(OR(ISNUMBER(SEARCH(", "&amp;$B230&amp;", ", ", "&amp;INDEX('Form Responses'!$I$1:$Q$200,23,$A230)&amp;", ")),ISNUMBER(SEARCH(", "&amp;$B230&amp;", ", ", "&amp;INDEX('Form Responses'!$R$1:$R$200,23)&amp;", "))),1,""))</f>
        <v/>
      </c>
      <c r="Z230">
        <f>IF(Wizards!$A$24="","",IF(OR(ISNUMBER(SEARCH(", "&amp;$B230&amp;", ", ", "&amp;INDEX('Form Responses'!$I$1:$Q$200,24,$A230)&amp;", ")),ISNUMBER(SEARCH(", "&amp;$B230&amp;", ", ", "&amp;INDEX('Form Responses'!$R$1:$R$200,24)&amp;", "))),1,""))</f>
        <v/>
      </c>
      <c r="AA230">
        <f>IF(Wizards!$A$25="","",IF(OR(ISNUMBER(SEARCH(", "&amp;$B230&amp;", ", ", "&amp;INDEX('Form Responses'!$I$1:$Q$200,25,$A230)&amp;", ")),ISNUMBER(SEARCH(", "&amp;$B230&amp;", ", ", "&amp;INDEX('Form Responses'!$R$1:$R$200,25)&amp;", "))),1,""))</f>
        <v/>
      </c>
      <c r="AB230">
        <f>IF(D230=1,", "&amp;D$1,"")</f>
        <v/>
      </c>
      <c r="AC230">
        <f>IF(E230=1,", "&amp;E$1,"")</f>
        <v/>
      </c>
      <c r="AD230">
        <f>IF(F230=1,", "&amp;F$1,"")</f>
        <v/>
      </c>
      <c r="AE230">
        <f>IF(G230=1,", "&amp;G$1,"")</f>
        <v/>
      </c>
      <c r="AF230">
        <f>IF(H230=1,", "&amp;H$1,"")</f>
        <v/>
      </c>
      <c r="AG230">
        <f>IF(I230=1,", "&amp;I$1,"")</f>
        <v/>
      </c>
      <c r="AH230">
        <f>IF(J230=1,", "&amp;J$1,"")</f>
        <v/>
      </c>
      <c r="AI230">
        <f>IF(K230=1,", "&amp;K$1,"")</f>
        <v/>
      </c>
      <c r="AJ230">
        <f>IF(L230=1,", "&amp;L$1,"")</f>
        <v/>
      </c>
      <c r="AK230">
        <f>IF(M230=1,", "&amp;M$1,"")</f>
        <v/>
      </c>
      <c r="AL230">
        <f>IF(N230=1,", "&amp;N$1,"")</f>
        <v/>
      </c>
      <c r="AM230">
        <f>IF(O230=1,", "&amp;O$1,"")</f>
        <v/>
      </c>
      <c r="AN230">
        <f>IF(P230=1,", "&amp;P$1,"")</f>
        <v/>
      </c>
      <c r="AO230">
        <f>IF(Q230=1,", "&amp;Q$1,"")</f>
        <v/>
      </c>
      <c r="AP230">
        <f>IF(R230=1,", "&amp;R$1,"")</f>
        <v/>
      </c>
      <c r="AQ230">
        <f>IF(S230=1,", "&amp;S$1,"")</f>
        <v/>
      </c>
      <c r="AR230">
        <f>IF(T230=1,", "&amp;T$1,"")</f>
        <v/>
      </c>
      <c r="AS230">
        <f>IF(U230=1,", "&amp;U$1,"")</f>
        <v/>
      </c>
      <c r="AT230">
        <f>IF(V230=1,", "&amp;V$1,"")</f>
        <v/>
      </c>
      <c r="AU230">
        <f>IF(W230=1,", "&amp;W$1,"")</f>
        <v/>
      </c>
      <c r="AV230">
        <f>IF(X230=1,", "&amp;X$1,"")</f>
        <v/>
      </c>
      <c r="AW230">
        <f>IF(Y230=1,", "&amp;Y$1,"")</f>
        <v/>
      </c>
      <c r="AX230">
        <f>IF(Z230=1,", "&amp;Z$1,"")</f>
        <v/>
      </c>
      <c r="AY230">
        <f>IF(AA230=1,", "&amp;AA$1,"")</f>
        <v/>
      </c>
      <c r="AZ230">
        <f>MID($AB230&amp;$AC230&amp;$AD230&amp;$AE230&amp;$AF230&amp;$AG230&amp;$AH230&amp;$AI230&amp;$AJ230&amp;$AK230&amp;$AL230&amp;$AM230&amp;$AN230&amp;$AO230&amp;$AP230&amp;$AQ230&amp;$AR230&amp;$AS230&amp;$AT230&amp;$AU230&amp;$AV230&amp;$AW230&amp;$AX230&amp;$AY230,3,32767)</f>
        <v/>
      </c>
      <c r="BA230">
        <f>COUNT($D230:$AA230)</f>
        <v/>
      </c>
    </row>
    <row r="231">
      <c r="A231" t="n">
        <v>5</v>
      </c>
      <c r="B231" t="inlineStr">
        <is>
          <t>Planar Binding</t>
        </is>
      </c>
      <c r="C231" t="inlineStr">
        <is>
          <t>Abjuration</t>
        </is>
      </c>
      <c r="D231">
        <f>IF(Wizards!$A$2="","",IF(OR(ISNUMBER(SEARCH(", "&amp;$B231&amp;", ", ", "&amp;INDEX('Form Responses'!$I$1:$Q$200,2,$A231)&amp;", ")),ISNUMBER(SEARCH(", "&amp;$B231&amp;", ", ", "&amp;INDEX('Form Responses'!$R$1:$R$200,2)&amp;", "))),1,""))</f>
        <v/>
      </c>
      <c r="E231">
        <f>IF(Wizards!$A$3="","",IF(OR(ISNUMBER(SEARCH(", "&amp;$B231&amp;", ", ", "&amp;INDEX('Form Responses'!$I$1:$Q$200,3,$A231)&amp;", ")),ISNUMBER(SEARCH(", "&amp;$B231&amp;", ", ", "&amp;INDEX('Form Responses'!$R$1:$R$200,3)&amp;", "))),1,""))</f>
        <v/>
      </c>
      <c r="F231">
        <f>IF(Wizards!$A$4="","",IF(OR(ISNUMBER(SEARCH(", "&amp;$B231&amp;", ", ", "&amp;INDEX('Form Responses'!$I$1:$Q$200,4,$A231)&amp;", ")),ISNUMBER(SEARCH(", "&amp;$B231&amp;", ", ", "&amp;INDEX('Form Responses'!$R$1:$R$200,4)&amp;", "))),1,""))</f>
        <v/>
      </c>
      <c r="G231">
        <f>IF(Wizards!$A$5="","",IF(OR(ISNUMBER(SEARCH(", "&amp;$B231&amp;", ", ", "&amp;INDEX('Form Responses'!$I$1:$Q$200,5,$A231)&amp;", ")),ISNUMBER(SEARCH(", "&amp;$B231&amp;", ", ", "&amp;INDEX('Form Responses'!$R$1:$R$200,5)&amp;", "))),1,""))</f>
        <v/>
      </c>
      <c r="H231">
        <f>IF(Wizards!$A$6="","",IF(OR(ISNUMBER(SEARCH(", "&amp;$B231&amp;", ", ", "&amp;INDEX('Form Responses'!$I$1:$Q$200,6,$A231)&amp;", ")),ISNUMBER(SEARCH(", "&amp;$B231&amp;", ", ", "&amp;INDEX('Form Responses'!$R$1:$R$200,6)&amp;", "))),1,""))</f>
        <v/>
      </c>
      <c r="I231">
        <f>IF(Wizards!$A$7="","",IF(OR(ISNUMBER(SEARCH(", "&amp;$B231&amp;", ", ", "&amp;INDEX('Form Responses'!$I$1:$Q$200,7,$A231)&amp;", ")),ISNUMBER(SEARCH(", "&amp;$B231&amp;", ", ", "&amp;INDEX('Form Responses'!$R$1:$R$200,7)&amp;", "))),1,""))</f>
        <v/>
      </c>
      <c r="J231">
        <f>IF(Wizards!$A$8="","",IF(OR(ISNUMBER(SEARCH(", "&amp;$B231&amp;", ", ", "&amp;INDEX('Form Responses'!$I$1:$Q$200,8,$A231)&amp;", ")),ISNUMBER(SEARCH(", "&amp;$B231&amp;", ", ", "&amp;INDEX('Form Responses'!$R$1:$R$200,8)&amp;", "))),1,""))</f>
        <v/>
      </c>
      <c r="K231">
        <f>IF(Wizards!$A$9="","",IF(OR(ISNUMBER(SEARCH(", "&amp;$B231&amp;", ", ", "&amp;INDEX('Form Responses'!$I$1:$Q$200,9,$A231)&amp;", ")),ISNUMBER(SEARCH(", "&amp;$B231&amp;", ", ", "&amp;INDEX('Form Responses'!$R$1:$R$200,9)&amp;", "))),1,""))</f>
        <v/>
      </c>
      <c r="L231">
        <f>IF(Wizards!$A$10="","",IF(OR(ISNUMBER(SEARCH(", "&amp;$B231&amp;", ", ", "&amp;INDEX('Form Responses'!$I$1:$Q$200,10,$A231)&amp;", ")),ISNUMBER(SEARCH(", "&amp;$B231&amp;", ", ", "&amp;INDEX('Form Responses'!$R$1:$R$200,10)&amp;", "))),1,""))</f>
        <v/>
      </c>
      <c r="M231">
        <f>IF(Wizards!$A$11="","",IF(OR(ISNUMBER(SEARCH(", "&amp;$B231&amp;", ", ", "&amp;INDEX('Form Responses'!$I$1:$Q$200,11,$A231)&amp;", ")),ISNUMBER(SEARCH(", "&amp;$B231&amp;", ", ", "&amp;INDEX('Form Responses'!$R$1:$R$200,11)&amp;", "))),1,""))</f>
        <v/>
      </c>
      <c r="N231">
        <f>IF(Wizards!$A$12="","",IF(OR(ISNUMBER(SEARCH(", "&amp;$B231&amp;", ", ", "&amp;INDEX('Form Responses'!$I$1:$Q$200,12,$A231)&amp;", ")),ISNUMBER(SEARCH(", "&amp;$B231&amp;", ", ", "&amp;INDEX('Form Responses'!$R$1:$R$200,12)&amp;", "))),1,""))</f>
        <v/>
      </c>
      <c r="O231">
        <f>IF(Wizards!$A$13="","",IF(OR(ISNUMBER(SEARCH(", "&amp;$B231&amp;", ", ", "&amp;INDEX('Form Responses'!$I$1:$Q$200,13,$A231)&amp;", ")),ISNUMBER(SEARCH(", "&amp;$B231&amp;", ", ", "&amp;INDEX('Form Responses'!$R$1:$R$200,13)&amp;", "))),1,""))</f>
        <v/>
      </c>
      <c r="P231">
        <f>IF(Wizards!$A$14="","",IF(OR(ISNUMBER(SEARCH(", "&amp;$B231&amp;", ", ", "&amp;INDEX('Form Responses'!$I$1:$Q$200,14,$A231)&amp;", ")),ISNUMBER(SEARCH(", "&amp;$B231&amp;", ", ", "&amp;INDEX('Form Responses'!$R$1:$R$200,14)&amp;", "))),1,""))</f>
        <v/>
      </c>
      <c r="Q231">
        <f>IF(Wizards!$A$15="","",IF(OR(ISNUMBER(SEARCH(", "&amp;$B231&amp;", ", ", "&amp;INDEX('Form Responses'!$I$1:$Q$200,15,$A231)&amp;", ")),ISNUMBER(SEARCH(", "&amp;$B231&amp;", ", ", "&amp;INDEX('Form Responses'!$R$1:$R$200,15)&amp;", "))),1,""))</f>
        <v/>
      </c>
      <c r="R231">
        <f>IF(Wizards!$A$16="","",IF(OR(ISNUMBER(SEARCH(", "&amp;$B231&amp;", ", ", "&amp;INDEX('Form Responses'!$I$1:$Q$200,16,$A231)&amp;", ")),ISNUMBER(SEARCH(", "&amp;$B231&amp;", ", ", "&amp;INDEX('Form Responses'!$R$1:$R$200,16)&amp;", "))),1,""))</f>
        <v/>
      </c>
      <c r="S231">
        <f>IF(Wizards!$A$17="","",IF(OR(ISNUMBER(SEARCH(", "&amp;$B231&amp;", ", ", "&amp;INDEX('Form Responses'!$I$1:$Q$200,17,$A231)&amp;", ")),ISNUMBER(SEARCH(", "&amp;$B231&amp;", ", ", "&amp;INDEX('Form Responses'!$R$1:$R$200,17)&amp;", "))),1,""))</f>
        <v/>
      </c>
      <c r="T231">
        <f>IF(Wizards!$A$18="","",IF(OR(ISNUMBER(SEARCH(", "&amp;$B231&amp;", ", ", "&amp;INDEX('Form Responses'!$I$1:$Q$200,18,$A231)&amp;", ")),ISNUMBER(SEARCH(", "&amp;$B231&amp;", ", ", "&amp;INDEX('Form Responses'!$R$1:$R$200,18)&amp;", "))),1,""))</f>
        <v/>
      </c>
      <c r="U231">
        <f>IF(Wizards!$A$19="","",IF(OR(ISNUMBER(SEARCH(", "&amp;$B231&amp;", ", ", "&amp;INDEX('Form Responses'!$I$1:$Q$200,19,$A231)&amp;", ")),ISNUMBER(SEARCH(", "&amp;$B231&amp;", ", ", "&amp;INDEX('Form Responses'!$R$1:$R$200,19)&amp;", "))),1,""))</f>
        <v/>
      </c>
      <c r="V231">
        <f>IF(Wizards!$A$20="","",IF(OR(ISNUMBER(SEARCH(", "&amp;$B231&amp;", ", ", "&amp;INDEX('Form Responses'!$I$1:$Q$200,20,$A231)&amp;", ")),ISNUMBER(SEARCH(", "&amp;$B231&amp;", ", ", "&amp;INDEX('Form Responses'!$R$1:$R$200,20)&amp;", "))),1,""))</f>
        <v/>
      </c>
      <c r="W231">
        <f>IF(Wizards!$A$21="","",IF(OR(ISNUMBER(SEARCH(", "&amp;$B231&amp;", ", ", "&amp;INDEX('Form Responses'!$I$1:$Q$200,21,$A231)&amp;", ")),ISNUMBER(SEARCH(", "&amp;$B231&amp;", ", ", "&amp;INDEX('Form Responses'!$R$1:$R$200,21)&amp;", "))),1,""))</f>
        <v/>
      </c>
      <c r="X231">
        <f>IF(Wizards!$A$22="","",IF(OR(ISNUMBER(SEARCH(", "&amp;$B231&amp;", ", ", "&amp;INDEX('Form Responses'!$I$1:$Q$200,22,$A231)&amp;", ")),ISNUMBER(SEARCH(", "&amp;$B231&amp;", ", ", "&amp;INDEX('Form Responses'!$R$1:$R$200,22)&amp;", "))),1,""))</f>
        <v/>
      </c>
      <c r="Y231">
        <f>IF(Wizards!$A$23="","",IF(OR(ISNUMBER(SEARCH(", "&amp;$B231&amp;", ", ", "&amp;INDEX('Form Responses'!$I$1:$Q$200,23,$A231)&amp;", ")),ISNUMBER(SEARCH(", "&amp;$B231&amp;", ", ", "&amp;INDEX('Form Responses'!$R$1:$R$200,23)&amp;", "))),1,""))</f>
        <v/>
      </c>
      <c r="Z231">
        <f>IF(Wizards!$A$24="","",IF(OR(ISNUMBER(SEARCH(", "&amp;$B231&amp;", ", ", "&amp;INDEX('Form Responses'!$I$1:$Q$200,24,$A231)&amp;", ")),ISNUMBER(SEARCH(", "&amp;$B231&amp;", ", ", "&amp;INDEX('Form Responses'!$R$1:$R$200,24)&amp;", "))),1,""))</f>
        <v/>
      </c>
      <c r="AA231">
        <f>IF(Wizards!$A$25="","",IF(OR(ISNUMBER(SEARCH(", "&amp;$B231&amp;", ", ", "&amp;INDEX('Form Responses'!$I$1:$Q$200,25,$A231)&amp;", ")),ISNUMBER(SEARCH(", "&amp;$B231&amp;", ", ", "&amp;INDEX('Form Responses'!$R$1:$R$200,25)&amp;", "))),1,""))</f>
        <v/>
      </c>
      <c r="AB231">
        <f>IF(D231=1,", "&amp;D$1,"")</f>
        <v/>
      </c>
      <c r="AC231">
        <f>IF(E231=1,", "&amp;E$1,"")</f>
        <v/>
      </c>
      <c r="AD231">
        <f>IF(F231=1,", "&amp;F$1,"")</f>
        <v/>
      </c>
      <c r="AE231">
        <f>IF(G231=1,", "&amp;G$1,"")</f>
        <v/>
      </c>
      <c r="AF231">
        <f>IF(H231=1,", "&amp;H$1,"")</f>
        <v/>
      </c>
      <c r="AG231">
        <f>IF(I231=1,", "&amp;I$1,"")</f>
        <v/>
      </c>
      <c r="AH231">
        <f>IF(J231=1,", "&amp;J$1,"")</f>
        <v/>
      </c>
      <c r="AI231">
        <f>IF(K231=1,", "&amp;K$1,"")</f>
        <v/>
      </c>
      <c r="AJ231">
        <f>IF(L231=1,", "&amp;L$1,"")</f>
        <v/>
      </c>
      <c r="AK231">
        <f>IF(M231=1,", "&amp;M$1,"")</f>
        <v/>
      </c>
      <c r="AL231">
        <f>IF(N231=1,", "&amp;N$1,"")</f>
        <v/>
      </c>
      <c r="AM231">
        <f>IF(O231=1,", "&amp;O$1,"")</f>
        <v/>
      </c>
      <c r="AN231">
        <f>IF(P231=1,", "&amp;P$1,"")</f>
        <v/>
      </c>
      <c r="AO231">
        <f>IF(Q231=1,", "&amp;Q$1,"")</f>
        <v/>
      </c>
      <c r="AP231">
        <f>IF(R231=1,", "&amp;R$1,"")</f>
        <v/>
      </c>
      <c r="AQ231">
        <f>IF(S231=1,", "&amp;S$1,"")</f>
        <v/>
      </c>
      <c r="AR231">
        <f>IF(T231=1,", "&amp;T$1,"")</f>
        <v/>
      </c>
      <c r="AS231">
        <f>IF(U231=1,", "&amp;U$1,"")</f>
        <v/>
      </c>
      <c r="AT231">
        <f>IF(V231=1,", "&amp;V$1,"")</f>
        <v/>
      </c>
      <c r="AU231">
        <f>IF(W231=1,", "&amp;W$1,"")</f>
        <v/>
      </c>
      <c r="AV231">
        <f>IF(X231=1,", "&amp;X$1,"")</f>
        <v/>
      </c>
      <c r="AW231">
        <f>IF(Y231=1,", "&amp;Y$1,"")</f>
        <v/>
      </c>
      <c r="AX231">
        <f>IF(Z231=1,", "&amp;Z$1,"")</f>
        <v/>
      </c>
      <c r="AY231">
        <f>IF(AA231=1,", "&amp;AA$1,"")</f>
        <v/>
      </c>
      <c r="AZ231">
        <f>MID($AB231&amp;$AC231&amp;$AD231&amp;$AE231&amp;$AF231&amp;$AG231&amp;$AH231&amp;$AI231&amp;$AJ231&amp;$AK231&amp;$AL231&amp;$AM231&amp;$AN231&amp;$AO231&amp;$AP231&amp;$AQ231&amp;$AR231&amp;$AS231&amp;$AT231&amp;$AU231&amp;$AV231&amp;$AW231&amp;$AX231&amp;$AY231,3,32767)</f>
        <v/>
      </c>
      <c r="BA231">
        <f>COUNT($D231:$AA231)</f>
        <v/>
      </c>
    </row>
    <row r="232">
      <c r="A232" t="n">
        <v>5</v>
      </c>
      <c r="B232" t="inlineStr">
        <is>
          <t>Rary's Telepathic Bond</t>
        </is>
      </c>
      <c r="C232" t="inlineStr">
        <is>
          <t>Divination</t>
        </is>
      </c>
      <c r="D232">
        <f>IF(Wizards!$A$2="","",IF(OR(ISNUMBER(SEARCH(", "&amp;$B232&amp;", ", ", "&amp;INDEX('Form Responses'!$I$1:$Q$200,2,$A232)&amp;", ")),ISNUMBER(SEARCH(", "&amp;$B232&amp;", ", ", "&amp;INDEX('Form Responses'!$R$1:$R$200,2)&amp;", "))),1,""))</f>
        <v/>
      </c>
      <c r="E232">
        <f>IF(Wizards!$A$3="","",IF(OR(ISNUMBER(SEARCH(", "&amp;$B232&amp;", ", ", "&amp;INDEX('Form Responses'!$I$1:$Q$200,3,$A232)&amp;", ")),ISNUMBER(SEARCH(", "&amp;$B232&amp;", ", ", "&amp;INDEX('Form Responses'!$R$1:$R$200,3)&amp;", "))),1,""))</f>
        <v/>
      </c>
      <c r="F232">
        <f>IF(Wizards!$A$4="","",IF(OR(ISNUMBER(SEARCH(", "&amp;$B232&amp;", ", ", "&amp;INDEX('Form Responses'!$I$1:$Q$200,4,$A232)&amp;", ")),ISNUMBER(SEARCH(", "&amp;$B232&amp;", ", ", "&amp;INDEX('Form Responses'!$R$1:$R$200,4)&amp;", "))),1,""))</f>
        <v/>
      </c>
      <c r="G232">
        <f>IF(Wizards!$A$5="","",IF(OR(ISNUMBER(SEARCH(", "&amp;$B232&amp;", ", ", "&amp;INDEX('Form Responses'!$I$1:$Q$200,5,$A232)&amp;", ")),ISNUMBER(SEARCH(", "&amp;$B232&amp;", ", ", "&amp;INDEX('Form Responses'!$R$1:$R$200,5)&amp;", "))),1,""))</f>
        <v/>
      </c>
      <c r="H232">
        <f>IF(Wizards!$A$6="","",IF(OR(ISNUMBER(SEARCH(", "&amp;$B232&amp;", ", ", "&amp;INDEX('Form Responses'!$I$1:$Q$200,6,$A232)&amp;", ")),ISNUMBER(SEARCH(", "&amp;$B232&amp;", ", ", "&amp;INDEX('Form Responses'!$R$1:$R$200,6)&amp;", "))),1,""))</f>
        <v/>
      </c>
      <c r="I232">
        <f>IF(Wizards!$A$7="","",IF(OR(ISNUMBER(SEARCH(", "&amp;$B232&amp;", ", ", "&amp;INDEX('Form Responses'!$I$1:$Q$200,7,$A232)&amp;", ")),ISNUMBER(SEARCH(", "&amp;$B232&amp;", ", ", "&amp;INDEX('Form Responses'!$R$1:$R$200,7)&amp;", "))),1,""))</f>
        <v/>
      </c>
      <c r="J232">
        <f>IF(Wizards!$A$8="","",IF(OR(ISNUMBER(SEARCH(", "&amp;$B232&amp;", ", ", "&amp;INDEX('Form Responses'!$I$1:$Q$200,8,$A232)&amp;", ")),ISNUMBER(SEARCH(", "&amp;$B232&amp;", ", ", "&amp;INDEX('Form Responses'!$R$1:$R$200,8)&amp;", "))),1,""))</f>
        <v/>
      </c>
      <c r="K232">
        <f>IF(Wizards!$A$9="","",IF(OR(ISNUMBER(SEARCH(", "&amp;$B232&amp;", ", ", "&amp;INDEX('Form Responses'!$I$1:$Q$200,9,$A232)&amp;", ")),ISNUMBER(SEARCH(", "&amp;$B232&amp;", ", ", "&amp;INDEX('Form Responses'!$R$1:$R$200,9)&amp;", "))),1,""))</f>
        <v/>
      </c>
      <c r="L232">
        <f>IF(Wizards!$A$10="","",IF(OR(ISNUMBER(SEARCH(", "&amp;$B232&amp;", ", ", "&amp;INDEX('Form Responses'!$I$1:$Q$200,10,$A232)&amp;", ")),ISNUMBER(SEARCH(", "&amp;$B232&amp;", ", ", "&amp;INDEX('Form Responses'!$R$1:$R$200,10)&amp;", "))),1,""))</f>
        <v/>
      </c>
      <c r="M232">
        <f>IF(Wizards!$A$11="","",IF(OR(ISNUMBER(SEARCH(", "&amp;$B232&amp;", ", ", "&amp;INDEX('Form Responses'!$I$1:$Q$200,11,$A232)&amp;", ")),ISNUMBER(SEARCH(", "&amp;$B232&amp;", ", ", "&amp;INDEX('Form Responses'!$R$1:$R$200,11)&amp;", "))),1,""))</f>
        <v/>
      </c>
      <c r="N232">
        <f>IF(Wizards!$A$12="","",IF(OR(ISNUMBER(SEARCH(", "&amp;$B232&amp;", ", ", "&amp;INDEX('Form Responses'!$I$1:$Q$200,12,$A232)&amp;", ")),ISNUMBER(SEARCH(", "&amp;$B232&amp;", ", ", "&amp;INDEX('Form Responses'!$R$1:$R$200,12)&amp;", "))),1,""))</f>
        <v/>
      </c>
      <c r="O232">
        <f>IF(Wizards!$A$13="","",IF(OR(ISNUMBER(SEARCH(", "&amp;$B232&amp;", ", ", "&amp;INDEX('Form Responses'!$I$1:$Q$200,13,$A232)&amp;", ")),ISNUMBER(SEARCH(", "&amp;$B232&amp;", ", ", "&amp;INDEX('Form Responses'!$R$1:$R$200,13)&amp;", "))),1,""))</f>
        <v/>
      </c>
      <c r="P232">
        <f>IF(Wizards!$A$14="","",IF(OR(ISNUMBER(SEARCH(", "&amp;$B232&amp;", ", ", "&amp;INDEX('Form Responses'!$I$1:$Q$200,14,$A232)&amp;", ")),ISNUMBER(SEARCH(", "&amp;$B232&amp;", ", ", "&amp;INDEX('Form Responses'!$R$1:$R$200,14)&amp;", "))),1,""))</f>
        <v/>
      </c>
      <c r="Q232">
        <f>IF(Wizards!$A$15="","",IF(OR(ISNUMBER(SEARCH(", "&amp;$B232&amp;", ", ", "&amp;INDEX('Form Responses'!$I$1:$Q$200,15,$A232)&amp;", ")),ISNUMBER(SEARCH(", "&amp;$B232&amp;", ", ", "&amp;INDEX('Form Responses'!$R$1:$R$200,15)&amp;", "))),1,""))</f>
        <v/>
      </c>
      <c r="R232">
        <f>IF(Wizards!$A$16="","",IF(OR(ISNUMBER(SEARCH(", "&amp;$B232&amp;", ", ", "&amp;INDEX('Form Responses'!$I$1:$Q$200,16,$A232)&amp;", ")),ISNUMBER(SEARCH(", "&amp;$B232&amp;", ", ", "&amp;INDEX('Form Responses'!$R$1:$R$200,16)&amp;", "))),1,""))</f>
        <v/>
      </c>
      <c r="S232">
        <f>IF(Wizards!$A$17="","",IF(OR(ISNUMBER(SEARCH(", "&amp;$B232&amp;", ", ", "&amp;INDEX('Form Responses'!$I$1:$Q$200,17,$A232)&amp;", ")),ISNUMBER(SEARCH(", "&amp;$B232&amp;", ", ", "&amp;INDEX('Form Responses'!$R$1:$R$200,17)&amp;", "))),1,""))</f>
        <v/>
      </c>
      <c r="T232">
        <f>IF(Wizards!$A$18="","",IF(OR(ISNUMBER(SEARCH(", "&amp;$B232&amp;", ", ", "&amp;INDEX('Form Responses'!$I$1:$Q$200,18,$A232)&amp;", ")),ISNUMBER(SEARCH(", "&amp;$B232&amp;", ", ", "&amp;INDEX('Form Responses'!$R$1:$R$200,18)&amp;", "))),1,""))</f>
        <v/>
      </c>
      <c r="U232">
        <f>IF(Wizards!$A$19="","",IF(OR(ISNUMBER(SEARCH(", "&amp;$B232&amp;", ", ", "&amp;INDEX('Form Responses'!$I$1:$Q$200,19,$A232)&amp;", ")),ISNUMBER(SEARCH(", "&amp;$B232&amp;", ", ", "&amp;INDEX('Form Responses'!$R$1:$R$200,19)&amp;", "))),1,""))</f>
        <v/>
      </c>
      <c r="V232">
        <f>IF(Wizards!$A$20="","",IF(OR(ISNUMBER(SEARCH(", "&amp;$B232&amp;", ", ", "&amp;INDEX('Form Responses'!$I$1:$Q$200,20,$A232)&amp;", ")),ISNUMBER(SEARCH(", "&amp;$B232&amp;", ", ", "&amp;INDEX('Form Responses'!$R$1:$R$200,20)&amp;", "))),1,""))</f>
        <v/>
      </c>
      <c r="W232">
        <f>IF(Wizards!$A$21="","",IF(OR(ISNUMBER(SEARCH(", "&amp;$B232&amp;", ", ", "&amp;INDEX('Form Responses'!$I$1:$Q$200,21,$A232)&amp;", ")),ISNUMBER(SEARCH(", "&amp;$B232&amp;", ", ", "&amp;INDEX('Form Responses'!$R$1:$R$200,21)&amp;", "))),1,""))</f>
        <v/>
      </c>
      <c r="X232">
        <f>IF(Wizards!$A$22="","",IF(OR(ISNUMBER(SEARCH(", "&amp;$B232&amp;", ", ", "&amp;INDEX('Form Responses'!$I$1:$Q$200,22,$A232)&amp;", ")),ISNUMBER(SEARCH(", "&amp;$B232&amp;", ", ", "&amp;INDEX('Form Responses'!$R$1:$R$200,22)&amp;", "))),1,""))</f>
        <v/>
      </c>
      <c r="Y232">
        <f>IF(Wizards!$A$23="","",IF(OR(ISNUMBER(SEARCH(", "&amp;$B232&amp;", ", ", "&amp;INDEX('Form Responses'!$I$1:$Q$200,23,$A232)&amp;", ")),ISNUMBER(SEARCH(", "&amp;$B232&amp;", ", ", "&amp;INDEX('Form Responses'!$R$1:$R$200,23)&amp;", "))),1,""))</f>
        <v/>
      </c>
      <c r="Z232">
        <f>IF(Wizards!$A$24="","",IF(OR(ISNUMBER(SEARCH(", "&amp;$B232&amp;", ", ", "&amp;INDEX('Form Responses'!$I$1:$Q$200,24,$A232)&amp;", ")),ISNUMBER(SEARCH(", "&amp;$B232&amp;", ", ", "&amp;INDEX('Form Responses'!$R$1:$R$200,24)&amp;", "))),1,""))</f>
        <v/>
      </c>
      <c r="AA232">
        <f>IF(Wizards!$A$25="","",IF(OR(ISNUMBER(SEARCH(", "&amp;$B232&amp;", ", ", "&amp;INDEX('Form Responses'!$I$1:$Q$200,25,$A232)&amp;", ")),ISNUMBER(SEARCH(", "&amp;$B232&amp;", ", ", "&amp;INDEX('Form Responses'!$R$1:$R$200,25)&amp;", "))),1,""))</f>
        <v/>
      </c>
      <c r="AB232">
        <f>IF(D232=1,", "&amp;D$1,"")</f>
        <v/>
      </c>
      <c r="AC232">
        <f>IF(E232=1,", "&amp;E$1,"")</f>
        <v/>
      </c>
      <c r="AD232">
        <f>IF(F232=1,", "&amp;F$1,"")</f>
        <v/>
      </c>
      <c r="AE232">
        <f>IF(G232=1,", "&amp;G$1,"")</f>
        <v/>
      </c>
      <c r="AF232">
        <f>IF(H232=1,", "&amp;H$1,"")</f>
        <v/>
      </c>
      <c r="AG232">
        <f>IF(I232=1,", "&amp;I$1,"")</f>
        <v/>
      </c>
      <c r="AH232">
        <f>IF(J232=1,", "&amp;J$1,"")</f>
        <v/>
      </c>
      <c r="AI232">
        <f>IF(K232=1,", "&amp;K$1,"")</f>
        <v/>
      </c>
      <c r="AJ232">
        <f>IF(L232=1,", "&amp;L$1,"")</f>
        <v/>
      </c>
      <c r="AK232">
        <f>IF(M232=1,", "&amp;M$1,"")</f>
        <v/>
      </c>
      <c r="AL232">
        <f>IF(N232=1,", "&amp;N$1,"")</f>
        <v/>
      </c>
      <c r="AM232">
        <f>IF(O232=1,", "&amp;O$1,"")</f>
        <v/>
      </c>
      <c r="AN232">
        <f>IF(P232=1,", "&amp;P$1,"")</f>
        <v/>
      </c>
      <c r="AO232">
        <f>IF(Q232=1,", "&amp;Q$1,"")</f>
        <v/>
      </c>
      <c r="AP232">
        <f>IF(R232=1,", "&amp;R$1,"")</f>
        <v/>
      </c>
      <c r="AQ232">
        <f>IF(S232=1,", "&amp;S$1,"")</f>
        <v/>
      </c>
      <c r="AR232">
        <f>IF(T232=1,", "&amp;T$1,"")</f>
        <v/>
      </c>
      <c r="AS232">
        <f>IF(U232=1,", "&amp;U$1,"")</f>
        <v/>
      </c>
      <c r="AT232">
        <f>IF(V232=1,", "&amp;V$1,"")</f>
        <v/>
      </c>
      <c r="AU232">
        <f>IF(W232=1,", "&amp;W$1,"")</f>
        <v/>
      </c>
      <c r="AV232">
        <f>IF(X232=1,", "&amp;X$1,"")</f>
        <v/>
      </c>
      <c r="AW232">
        <f>IF(Y232=1,", "&amp;Y$1,"")</f>
        <v/>
      </c>
      <c r="AX232">
        <f>IF(Z232=1,", "&amp;Z$1,"")</f>
        <v/>
      </c>
      <c r="AY232">
        <f>IF(AA232=1,", "&amp;AA$1,"")</f>
        <v/>
      </c>
      <c r="AZ232">
        <f>MID($AB232&amp;$AC232&amp;$AD232&amp;$AE232&amp;$AF232&amp;$AG232&amp;$AH232&amp;$AI232&amp;$AJ232&amp;$AK232&amp;$AL232&amp;$AM232&amp;$AN232&amp;$AO232&amp;$AP232&amp;$AQ232&amp;$AR232&amp;$AS232&amp;$AT232&amp;$AU232&amp;$AV232&amp;$AW232&amp;$AX232&amp;$AY232,3,32767)</f>
        <v/>
      </c>
      <c r="BA232">
        <f>COUNT($D232:$AA232)</f>
        <v/>
      </c>
    </row>
    <row r="233">
      <c r="A233" t="n">
        <v>5</v>
      </c>
      <c r="B233" t="inlineStr">
        <is>
          <t>Scrying</t>
        </is>
      </c>
      <c r="C233" t="inlineStr">
        <is>
          <t>Divination</t>
        </is>
      </c>
      <c r="D233">
        <f>IF(Wizards!$A$2="","",IF(OR(ISNUMBER(SEARCH(", "&amp;$B233&amp;", ", ", "&amp;INDEX('Form Responses'!$I$1:$Q$200,2,$A233)&amp;", ")),ISNUMBER(SEARCH(", "&amp;$B233&amp;", ", ", "&amp;INDEX('Form Responses'!$R$1:$R$200,2)&amp;", "))),1,""))</f>
        <v/>
      </c>
      <c r="E233">
        <f>IF(Wizards!$A$3="","",IF(OR(ISNUMBER(SEARCH(", "&amp;$B233&amp;", ", ", "&amp;INDEX('Form Responses'!$I$1:$Q$200,3,$A233)&amp;", ")),ISNUMBER(SEARCH(", "&amp;$B233&amp;", ", ", "&amp;INDEX('Form Responses'!$R$1:$R$200,3)&amp;", "))),1,""))</f>
        <v/>
      </c>
      <c r="F233">
        <f>IF(Wizards!$A$4="","",IF(OR(ISNUMBER(SEARCH(", "&amp;$B233&amp;", ", ", "&amp;INDEX('Form Responses'!$I$1:$Q$200,4,$A233)&amp;", ")),ISNUMBER(SEARCH(", "&amp;$B233&amp;", ", ", "&amp;INDEX('Form Responses'!$R$1:$R$200,4)&amp;", "))),1,""))</f>
        <v/>
      </c>
      <c r="G233">
        <f>IF(Wizards!$A$5="","",IF(OR(ISNUMBER(SEARCH(", "&amp;$B233&amp;", ", ", "&amp;INDEX('Form Responses'!$I$1:$Q$200,5,$A233)&amp;", ")),ISNUMBER(SEARCH(", "&amp;$B233&amp;", ", ", "&amp;INDEX('Form Responses'!$R$1:$R$200,5)&amp;", "))),1,""))</f>
        <v/>
      </c>
      <c r="H233">
        <f>IF(Wizards!$A$6="","",IF(OR(ISNUMBER(SEARCH(", "&amp;$B233&amp;", ", ", "&amp;INDEX('Form Responses'!$I$1:$Q$200,6,$A233)&amp;", ")),ISNUMBER(SEARCH(", "&amp;$B233&amp;", ", ", "&amp;INDEX('Form Responses'!$R$1:$R$200,6)&amp;", "))),1,""))</f>
        <v/>
      </c>
      <c r="I233">
        <f>IF(Wizards!$A$7="","",IF(OR(ISNUMBER(SEARCH(", "&amp;$B233&amp;", ", ", "&amp;INDEX('Form Responses'!$I$1:$Q$200,7,$A233)&amp;", ")),ISNUMBER(SEARCH(", "&amp;$B233&amp;", ", ", "&amp;INDEX('Form Responses'!$R$1:$R$200,7)&amp;", "))),1,""))</f>
        <v/>
      </c>
      <c r="J233">
        <f>IF(Wizards!$A$8="","",IF(OR(ISNUMBER(SEARCH(", "&amp;$B233&amp;", ", ", "&amp;INDEX('Form Responses'!$I$1:$Q$200,8,$A233)&amp;", ")),ISNUMBER(SEARCH(", "&amp;$B233&amp;", ", ", "&amp;INDEX('Form Responses'!$R$1:$R$200,8)&amp;", "))),1,""))</f>
        <v/>
      </c>
      <c r="K233">
        <f>IF(Wizards!$A$9="","",IF(OR(ISNUMBER(SEARCH(", "&amp;$B233&amp;", ", ", "&amp;INDEX('Form Responses'!$I$1:$Q$200,9,$A233)&amp;", ")),ISNUMBER(SEARCH(", "&amp;$B233&amp;", ", ", "&amp;INDEX('Form Responses'!$R$1:$R$200,9)&amp;", "))),1,""))</f>
        <v/>
      </c>
      <c r="L233">
        <f>IF(Wizards!$A$10="","",IF(OR(ISNUMBER(SEARCH(", "&amp;$B233&amp;", ", ", "&amp;INDEX('Form Responses'!$I$1:$Q$200,10,$A233)&amp;", ")),ISNUMBER(SEARCH(", "&amp;$B233&amp;", ", ", "&amp;INDEX('Form Responses'!$R$1:$R$200,10)&amp;", "))),1,""))</f>
        <v/>
      </c>
      <c r="M233">
        <f>IF(Wizards!$A$11="","",IF(OR(ISNUMBER(SEARCH(", "&amp;$B233&amp;", ", ", "&amp;INDEX('Form Responses'!$I$1:$Q$200,11,$A233)&amp;", ")),ISNUMBER(SEARCH(", "&amp;$B233&amp;", ", ", "&amp;INDEX('Form Responses'!$R$1:$R$200,11)&amp;", "))),1,""))</f>
        <v/>
      </c>
      <c r="N233">
        <f>IF(Wizards!$A$12="","",IF(OR(ISNUMBER(SEARCH(", "&amp;$B233&amp;", ", ", "&amp;INDEX('Form Responses'!$I$1:$Q$200,12,$A233)&amp;", ")),ISNUMBER(SEARCH(", "&amp;$B233&amp;", ", ", "&amp;INDEX('Form Responses'!$R$1:$R$200,12)&amp;", "))),1,""))</f>
        <v/>
      </c>
      <c r="O233">
        <f>IF(Wizards!$A$13="","",IF(OR(ISNUMBER(SEARCH(", "&amp;$B233&amp;", ", ", "&amp;INDEX('Form Responses'!$I$1:$Q$200,13,$A233)&amp;", ")),ISNUMBER(SEARCH(", "&amp;$B233&amp;", ", ", "&amp;INDEX('Form Responses'!$R$1:$R$200,13)&amp;", "))),1,""))</f>
        <v/>
      </c>
      <c r="P233">
        <f>IF(Wizards!$A$14="","",IF(OR(ISNUMBER(SEARCH(", "&amp;$B233&amp;", ", ", "&amp;INDEX('Form Responses'!$I$1:$Q$200,14,$A233)&amp;", ")),ISNUMBER(SEARCH(", "&amp;$B233&amp;", ", ", "&amp;INDEX('Form Responses'!$R$1:$R$200,14)&amp;", "))),1,""))</f>
        <v/>
      </c>
      <c r="Q233">
        <f>IF(Wizards!$A$15="","",IF(OR(ISNUMBER(SEARCH(", "&amp;$B233&amp;", ", ", "&amp;INDEX('Form Responses'!$I$1:$Q$200,15,$A233)&amp;", ")),ISNUMBER(SEARCH(", "&amp;$B233&amp;", ", ", "&amp;INDEX('Form Responses'!$R$1:$R$200,15)&amp;", "))),1,""))</f>
        <v/>
      </c>
      <c r="R233">
        <f>IF(Wizards!$A$16="","",IF(OR(ISNUMBER(SEARCH(", "&amp;$B233&amp;", ", ", "&amp;INDEX('Form Responses'!$I$1:$Q$200,16,$A233)&amp;", ")),ISNUMBER(SEARCH(", "&amp;$B233&amp;", ", ", "&amp;INDEX('Form Responses'!$R$1:$R$200,16)&amp;", "))),1,""))</f>
        <v/>
      </c>
      <c r="S233">
        <f>IF(Wizards!$A$17="","",IF(OR(ISNUMBER(SEARCH(", "&amp;$B233&amp;", ", ", "&amp;INDEX('Form Responses'!$I$1:$Q$200,17,$A233)&amp;", ")),ISNUMBER(SEARCH(", "&amp;$B233&amp;", ", ", "&amp;INDEX('Form Responses'!$R$1:$R$200,17)&amp;", "))),1,""))</f>
        <v/>
      </c>
      <c r="T233">
        <f>IF(Wizards!$A$18="","",IF(OR(ISNUMBER(SEARCH(", "&amp;$B233&amp;", ", ", "&amp;INDEX('Form Responses'!$I$1:$Q$200,18,$A233)&amp;", ")),ISNUMBER(SEARCH(", "&amp;$B233&amp;", ", ", "&amp;INDEX('Form Responses'!$R$1:$R$200,18)&amp;", "))),1,""))</f>
        <v/>
      </c>
      <c r="U233">
        <f>IF(Wizards!$A$19="","",IF(OR(ISNUMBER(SEARCH(", "&amp;$B233&amp;", ", ", "&amp;INDEX('Form Responses'!$I$1:$Q$200,19,$A233)&amp;", ")),ISNUMBER(SEARCH(", "&amp;$B233&amp;", ", ", "&amp;INDEX('Form Responses'!$R$1:$R$200,19)&amp;", "))),1,""))</f>
        <v/>
      </c>
      <c r="V233">
        <f>IF(Wizards!$A$20="","",IF(OR(ISNUMBER(SEARCH(", "&amp;$B233&amp;", ", ", "&amp;INDEX('Form Responses'!$I$1:$Q$200,20,$A233)&amp;", ")),ISNUMBER(SEARCH(", "&amp;$B233&amp;", ", ", "&amp;INDEX('Form Responses'!$R$1:$R$200,20)&amp;", "))),1,""))</f>
        <v/>
      </c>
      <c r="W233">
        <f>IF(Wizards!$A$21="","",IF(OR(ISNUMBER(SEARCH(", "&amp;$B233&amp;", ", ", "&amp;INDEX('Form Responses'!$I$1:$Q$200,21,$A233)&amp;", ")),ISNUMBER(SEARCH(", "&amp;$B233&amp;", ", ", "&amp;INDEX('Form Responses'!$R$1:$R$200,21)&amp;", "))),1,""))</f>
        <v/>
      </c>
      <c r="X233">
        <f>IF(Wizards!$A$22="","",IF(OR(ISNUMBER(SEARCH(", "&amp;$B233&amp;", ", ", "&amp;INDEX('Form Responses'!$I$1:$Q$200,22,$A233)&amp;", ")),ISNUMBER(SEARCH(", "&amp;$B233&amp;", ", ", "&amp;INDEX('Form Responses'!$R$1:$R$200,22)&amp;", "))),1,""))</f>
        <v/>
      </c>
      <c r="Y233">
        <f>IF(Wizards!$A$23="","",IF(OR(ISNUMBER(SEARCH(", "&amp;$B233&amp;", ", ", "&amp;INDEX('Form Responses'!$I$1:$Q$200,23,$A233)&amp;", ")),ISNUMBER(SEARCH(", "&amp;$B233&amp;", ", ", "&amp;INDEX('Form Responses'!$R$1:$R$200,23)&amp;", "))),1,""))</f>
        <v/>
      </c>
      <c r="Z233">
        <f>IF(Wizards!$A$24="","",IF(OR(ISNUMBER(SEARCH(", "&amp;$B233&amp;", ", ", "&amp;INDEX('Form Responses'!$I$1:$Q$200,24,$A233)&amp;", ")),ISNUMBER(SEARCH(", "&amp;$B233&amp;", ", ", "&amp;INDEX('Form Responses'!$R$1:$R$200,24)&amp;", "))),1,""))</f>
        <v/>
      </c>
      <c r="AA233">
        <f>IF(Wizards!$A$25="","",IF(OR(ISNUMBER(SEARCH(", "&amp;$B233&amp;", ", ", "&amp;INDEX('Form Responses'!$I$1:$Q$200,25,$A233)&amp;", ")),ISNUMBER(SEARCH(", "&amp;$B233&amp;", ", ", "&amp;INDEX('Form Responses'!$R$1:$R$200,25)&amp;", "))),1,""))</f>
        <v/>
      </c>
      <c r="AB233">
        <f>IF(D233=1,", "&amp;D$1,"")</f>
        <v/>
      </c>
      <c r="AC233">
        <f>IF(E233=1,", "&amp;E$1,"")</f>
        <v/>
      </c>
      <c r="AD233">
        <f>IF(F233=1,", "&amp;F$1,"")</f>
        <v/>
      </c>
      <c r="AE233">
        <f>IF(G233=1,", "&amp;G$1,"")</f>
        <v/>
      </c>
      <c r="AF233">
        <f>IF(H233=1,", "&amp;H$1,"")</f>
        <v/>
      </c>
      <c r="AG233">
        <f>IF(I233=1,", "&amp;I$1,"")</f>
        <v/>
      </c>
      <c r="AH233">
        <f>IF(J233=1,", "&amp;J$1,"")</f>
        <v/>
      </c>
      <c r="AI233">
        <f>IF(K233=1,", "&amp;K$1,"")</f>
        <v/>
      </c>
      <c r="AJ233">
        <f>IF(L233=1,", "&amp;L$1,"")</f>
        <v/>
      </c>
      <c r="AK233">
        <f>IF(M233=1,", "&amp;M$1,"")</f>
        <v/>
      </c>
      <c r="AL233">
        <f>IF(N233=1,", "&amp;N$1,"")</f>
        <v/>
      </c>
      <c r="AM233">
        <f>IF(O233=1,", "&amp;O$1,"")</f>
        <v/>
      </c>
      <c r="AN233">
        <f>IF(P233=1,", "&amp;P$1,"")</f>
        <v/>
      </c>
      <c r="AO233">
        <f>IF(Q233=1,", "&amp;Q$1,"")</f>
        <v/>
      </c>
      <c r="AP233">
        <f>IF(R233=1,", "&amp;R$1,"")</f>
        <v/>
      </c>
      <c r="AQ233">
        <f>IF(S233=1,", "&amp;S$1,"")</f>
        <v/>
      </c>
      <c r="AR233">
        <f>IF(T233=1,", "&amp;T$1,"")</f>
        <v/>
      </c>
      <c r="AS233">
        <f>IF(U233=1,", "&amp;U$1,"")</f>
        <v/>
      </c>
      <c r="AT233">
        <f>IF(V233=1,", "&amp;V$1,"")</f>
        <v/>
      </c>
      <c r="AU233">
        <f>IF(W233=1,", "&amp;W$1,"")</f>
        <v/>
      </c>
      <c r="AV233">
        <f>IF(X233=1,", "&amp;X$1,"")</f>
        <v/>
      </c>
      <c r="AW233">
        <f>IF(Y233=1,", "&amp;Y$1,"")</f>
        <v/>
      </c>
      <c r="AX233">
        <f>IF(Z233=1,", "&amp;Z$1,"")</f>
        <v/>
      </c>
      <c r="AY233">
        <f>IF(AA233=1,", "&amp;AA$1,"")</f>
        <v/>
      </c>
      <c r="AZ233">
        <f>MID($AB233&amp;$AC233&amp;$AD233&amp;$AE233&amp;$AF233&amp;$AG233&amp;$AH233&amp;$AI233&amp;$AJ233&amp;$AK233&amp;$AL233&amp;$AM233&amp;$AN233&amp;$AO233&amp;$AP233&amp;$AQ233&amp;$AR233&amp;$AS233&amp;$AT233&amp;$AU233&amp;$AV233&amp;$AW233&amp;$AX233&amp;$AY233,3,32767)</f>
        <v/>
      </c>
      <c r="BA233">
        <f>COUNT($D233:$AA233)</f>
        <v/>
      </c>
    </row>
    <row r="234">
      <c r="A234" t="n">
        <v>5</v>
      </c>
      <c r="B234" t="inlineStr">
        <is>
          <t>Seeming</t>
        </is>
      </c>
      <c r="C234" t="inlineStr">
        <is>
          <t>Illusion</t>
        </is>
      </c>
      <c r="D234">
        <f>IF(Wizards!$A$2="","",IF(OR(ISNUMBER(SEARCH(", "&amp;$B234&amp;", ", ", "&amp;INDEX('Form Responses'!$I$1:$Q$200,2,$A234)&amp;", ")),ISNUMBER(SEARCH(", "&amp;$B234&amp;", ", ", "&amp;INDEX('Form Responses'!$R$1:$R$200,2)&amp;", "))),1,""))</f>
        <v/>
      </c>
      <c r="E234">
        <f>IF(Wizards!$A$3="","",IF(OR(ISNUMBER(SEARCH(", "&amp;$B234&amp;", ", ", "&amp;INDEX('Form Responses'!$I$1:$Q$200,3,$A234)&amp;", ")),ISNUMBER(SEARCH(", "&amp;$B234&amp;", ", ", "&amp;INDEX('Form Responses'!$R$1:$R$200,3)&amp;", "))),1,""))</f>
        <v/>
      </c>
      <c r="F234">
        <f>IF(Wizards!$A$4="","",IF(OR(ISNUMBER(SEARCH(", "&amp;$B234&amp;", ", ", "&amp;INDEX('Form Responses'!$I$1:$Q$200,4,$A234)&amp;", ")),ISNUMBER(SEARCH(", "&amp;$B234&amp;", ", ", "&amp;INDEX('Form Responses'!$R$1:$R$200,4)&amp;", "))),1,""))</f>
        <v/>
      </c>
      <c r="G234">
        <f>IF(Wizards!$A$5="","",IF(OR(ISNUMBER(SEARCH(", "&amp;$B234&amp;", ", ", "&amp;INDEX('Form Responses'!$I$1:$Q$200,5,$A234)&amp;", ")),ISNUMBER(SEARCH(", "&amp;$B234&amp;", ", ", "&amp;INDEX('Form Responses'!$R$1:$R$200,5)&amp;", "))),1,""))</f>
        <v/>
      </c>
      <c r="H234">
        <f>IF(Wizards!$A$6="","",IF(OR(ISNUMBER(SEARCH(", "&amp;$B234&amp;", ", ", "&amp;INDEX('Form Responses'!$I$1:$Q$200,6,$A234)&amp;", ")),ISNUMBER(SEARCH(", "&amp;$B234&amp;", ", ", "&amp;INDEX('Form Responses'!$R$1:$R$200,6)&amp;", "))),1,""))</f>
        <v/>
      </c>
      <c r="I234">
        <f>IF(Wizards!$A$7="","",IF(OR(ISNUMBER(SEARCH(", "&amp;$B234&amp;", ", ", "&amp;INDEX('Form Responses'!$I$1:$Q$200,7,$A234)&amp;", ")),ISNUMBER(SEARCH(", "&amp;$B234&amp;", ", ", "&amp;INDEX('Form Responses'!$R$1:$R$200,7)&amp;", "))),1,""))</f>
        <v/>
      </c>
      <c r="J234">
        <f>IF(Wizards!$A$8="","",IF(OR(ISNUMBER(SEARCH(", "&amp;$B234&amp;", ", ", "&amp;INDEX('Form Responses'!$I$1:$Q$200,8,$A234)&amp;", ")),ISNUMBER(SEARCH(", "&amp;$B234&amp;", ", ", "&amp;INDEX('Form Responses'!$R$1:$R$200,8)&amp;", "))),1,""))</f>
        <v/>
      </c>
      <c r="K234">
        <f>IF(Wizards!$A$9="","",IF(OR(ISNUMBER(SEARCH(", "&amp;$B234&amp;", ", ", "&amp;INDEX('Form Responses'!$I$1:$Q$200,9,$A234)&amp;", ")),ISNUMBER(SEARCH(", "&amp;$B234&amp;", ", ", "&amp;INDEX('Form Responses'!$R$1:$R$200,9)&amp;", "))),1,""))</f>
        <v/>
      </c>
      <c r="L234">
        <f>IF(Wizards!$A$10="","",IF(OR(ISNUMBER(SEARCH(", "&amp;$B234&amp;", ", ", "&amp;INDEX('Form Responses'!$I$1:$Q$200,10,$A234)&amp;", ")),ISNUMBER(SEARCH(", "&amp;$B234&amp;", ", ", "&amp;INDEX('Form Responses'!$R$1:$R$200,10)&amp;", "))),1,""))</f>
        <v/>
      </c>
      <c r="M234">
        <f>IF(Wizards!$A$11="","",IF(OR(ISNUMBER(SEARCH(", "&amp;$B234&amp;", ", ", "&amp;INDEX('Form Responses'!$I$1:$Q$200,11,$A234)&amp;", ")),ISNUMBER(SEARCH(", "&amp;$B234&amp;", ", ", "&amp;INDEX('Form Responses'!$R$1:$R$200,11)&amp;", "))),1,""))</f>
        <v/>
      </c>
      <c r="N234">
        <f>IF(Wizards!$A$12="","",IF(OR(ISNUMBER(SEARCH(", "&amp;$B234&amp;", ", ", "&amp;INDEX('Form Responses'!$I$1:$Q$200,12,$A234)&amp;", ")),ISNUMBER(SEARCH(", "&amp;$B234&amp;", ", ", "&amp;INDEX('Form Responses'!$R$1:$R$200,12)&amp;", "))),1,""))</f>
        <v/>
      </c>
      <c r="O234">
        <f>IF(Wizards!$A$13="","",IF(OR(ISNUMBER(SEARCH(", "&amp;$B234&amp;", ", ", "&amp;INDEX('Form Responses'!$I$1:$Q$200,13,$A234)&amp;", ")),ISNUMBER(SEARCH(", "&amp;$B234&amp;", ", ", "&amp;INDEX('Form Responses'!$R$1:$R$200,13)&amp;", "))),1,""))</f>
        <v/>
      </c>
      <c r="P234">
        <f>IF(Wizards!$A$14="","",IF(OR(ISNUMBER(SEARCH(", "&amp;$B234&amp;", ", ", "&amp;INDEX('Form Responses'!$I$1:$Q$200,14,$A234)&amp;", ")),ISNUMBER(SEARCH(", "&amp;$B234&amp;", ", ", "&amp;INDEX('Form Responses'!$R$1:$R$200,14)&amp;", "))),1,""))</f>
        <v/>
      </c>
      <c r="Q234">
        <f>IF(Wizards!$A$15="","",IF(OR(ISNUMBER(SEARCH(", "&amp;$B234&amp;", ", ", "&amp;INDEX('Form Responses'!$I$1:$Q$200,15,$A234)&amp;", ")),ISNUMBER(SEARCH(", "&amp;$B234&amp;", ", ", "&amp;INDEX('Form Responses'!$R$1:$R$200,15)&amp;", "))),1,""))</f>
        <v/>
      </c>
      <c r="R234">
        <f>IF(Wizards!$A$16="","",IF(OR(ISNUMBER(SEARCH(", "&amp;$B234&amp;", ", ", "&amp;INDEX('Form Responses'!$I$1:$Q$200,16,$A234)&amp;", ")),ISNUMBER(SEARCH(", "&amp;$B234&amp;", ", ", "&amp;INDEX('Form Responses'!$R$1:$R$200,16)&amp;", "))),1,""))</f>
        <v/>
      </c>
      <c r="S234">
        <f>IF(Wizards!$A$17="","",IF(OR(ISNUMBER(SEARCH(", "&amp;$B234&amp;", ", ", "&amp;INDEX('Form Responses'!$I$1:$Q$200,17,$A234)&amp;", ")),ISNUMBER(SEARCH(", "&amp;$B234&amp;", ", ", "&amp;INDEX('Form Responses'!$R$1:$R$200,17)&amp;", "))),1,""))</f>
        <v/>
      </c>
      <c r="T234">
        <f>IF(Wizards!$A$18="","",IF(OR(ISNUMBER(SEARCH(", "&amp;$B234&amp;", ", ", "&amp;INDEX('Form Responses'!$I$1:$Q$200,18,$A234)&amp;", ")),ISNUMBER(SEARCH(", "&amp;$B234&amp;", ", ", "&amp;INDEX('Form Responses'!$R$1:$R$200,18)&amp;", "))),1,""))</f>
        <v/>
      </c>
      <c r="U234">
        <f>IF(Wizards!$A$19="","",IF(OR(ISNUMBER(SEARCH(", "&amp;$B234&amp;", ", ", "&amp;INDEX('Form Responses'!$I$1:$Q$200,19,$A234)&amp;", ")),ISNUMBER(SEARCH(", "&amp;$B234&amp;", ", ", "&amp;INDEX('Form Responses'!$R$1:$R$200,19)&amp;", "))),1,""))</f>
        <v/>
      </c>
      <c r="V234">
        <f>IF(Wizards!$A$20="","",IF(OR(ISNUMBER(SEARCH(", "&amp;$B234&amp;", ", ", "&amp;INDEX('Form Responses'!$I$1:$Q$200,20,$A234)&amp;", ")),ISNUMBER(SEARCH(", "&amp;$B234&amp;", ", ", "&amp;INDEX('Form Responses'!$R$1:$R$200,20)&amp;", "))),1,""))</f>
        <v/>
      </c>
      <c r="W234">
        <f>IF(Wizards!$A$21="","",IF(OR(ISNUMBER(SEARCH(", "&amp;$B234&amp;", ", ", "&amp;INDEX('Form Responses'!$I$1:$Q$200,21,$A234)&amp;", ")),ISNUMBER(SEARCH(", "&amp;$B234&amp;", ", ", "&amp;INDEX('Form Responses'!$R$1:$R$200,21)&amp;", "))),1,""))</f>
        <v/>
      </c>
      <c r="X234">
        <f>IF(Wizards!$A$22="","",IF(OR(ISNUMBER(SEARCH(", "&amp;$B234&amp;", ", ", "&amp;INDEX('Form Responses'!$I$1:$Q$200,22,$A234)&amp;", ")),ISNUMBER(SEARCH(", "&amp;$B234&amp;", ", ", "&amp;INDEX('Form Responses'!$R$1:$R$200,22)&amp;", "))),1,""))</f>
        <v/>
      </c>
      <c r="Y234">
        <f>IF(Wizards!$A$23="","",IF(OR(ISNUMBER(SEARCH(", "&amp;$B234&amp;", ", ", "&amp;INDEX('Form Responses'!$I$1:$Q$200,23,$A234)&amp;", ")),ISNUMBER(SEARCH(", "&amp;$B234&amp;", ", ", "&amp;INDEX('Form Responses'!$R$1:$R$200,23)&amp;", "))),1,""))</f>
        <v/>
      </c>
      <c r="Z234">
        <f>IF(Wizards!$A$24="","",IF(OR(ISNUMBER(SEARCH(", "&amp;$B234&amp;", ", ", "&amp;INDEX('Form Responses'!$I$1:$Q$200,24,$A234)&amp;", ")),ISNUMBER(SEARCH(", "&amp;$B234&amp;", ", ", "&amp;INDEX('Form Responses'!$R$1:$R$200,24)&amp;", "))),1,""))</f>
        <v/>
      </c>
      <c r="AA234">
        <f>IF(Wizards!$A$25="","",IF(OR(ISNUMBER(SEARCH(", "&amp;$B234&amp;", ", ", "&amp;INDEX('Form Responses'!$I$1:$Q$200,25,$A234)&amp;", ")),ISNUMBER(SEARCH(", "&amp;$B234&amp;", ", ", "&amp;INDEX('Form Responses'!$R$1:$R$200,25)&amp;", "))),1,""))</f>
        <v/>
      </c>
      <c r="AB234">
        <f>IF(D234=1,", "&amp;D$1,"")</f>
        <v/>
      </c>
      <c r="AC234">
        <f>IF(E234=1,", "&amp;E$1,"")</f>
        <v/>
      </c>
      <c r="AD234">
        <f>IF(F234=1,", "&amp;F$1,"")</f>
        <v/>
      </c>
      <c r="AE234">
        <f>IF(G234=1,", "&amp;G$1,"")</f>
        <v/>
      </c>
      <c r="AF234">
        <f>IF(H234=1,", "&amp;H$1,"")</f>
        <v/>
      </c>
      <c r="AG234">
        <f>IF(I234=1,", "&amp;I$1,"")</f>
        <v/>
      </c>
      <c r="AH234">
        <f>IF(J234=1,", "&amp;J$1,"")</f>
        <v/>
      </c>
      <c r="AI234">
        <f>IF(K234=1,", "&amp;K$1,"")</f>
        <v/>
      </c>
      <c r="AJ234">
        <f>IF(L234=1,", "&amp;L$1,"")</f>
        <v/>
      </c>
      <c r="AK234">
        <f>IF(M234=1,", "&amp;M$1,"")</f>
        <v/>
      </c>
      <c r="AL234">
        <f>IF(N234=1,", "&amp;N$1,"")</f>
        <v/>
      </c>
      <c r="AM234">
        <f>IF(O234=1,", "&amp;O$1,"")</f>
        <v/>
      </c>
      <c r="AN234">
        <f>IF(P234=1,", "&amp;P$1,"")</f>
        <v/>
      </c>
      <c r="AO234">
        <f>IF(Q234=1,", "&amp;Q$1,"")</f>
        <v/>
      </c>
      <c r="AP234">
        <f>IF(R234=1,", "&amp;R$1,"")</f>
        <v/>
      </c>
      <c r="AQ234">
        <f>IF(S234=1,", "&amp;S$1,"")</f>
        <v/>
      </c>
      <c r="AR234">
        <f>IF(T234=1,", "&amp;T$1,"")</f>
        <v/>
      </c>
      <c r="AS234">
        <f>IF(U234=1,", "&amp;U$1,"")</f>
        <v/>
      </c>
      <c r="AT234">
        <f>IF(V234=1,", "&amp;V$1,"")</f>
        <v/>
      </c>
      <c r="AU234">
        <f>IF(W234=1,", "&amp;W$1,"")</f>
        <v/>
      </c>
      <c r="AV234">
        <f>IF(X234=1,", "&amp;X$1,"")</f>
        <v/>
      </c>
      <c r="AW234">
        <f>IF(Y234=1,", "&amp;Y$1,"")</f>
        <v/>
      </c>
      <c r="AX234">
        <f>IF(Z234=1,", "&amp;Z$1,"")</f>
        <v/>
      </c>
      <c r="AY234">
        <f>IF(AA234=1,", "&amp;AA$1,"")</f>
        <v/>
      </c>
      <c r="AZ234">
        <f>MID($AB234&amp;$AC234&amp;$AD234&amp;$AE234&amp;$AF234&amp;$AG234&amp;$AH234&amp;$AI234&amp;$AJ234&amp;$AK234&amp;$AL234&amp;$AM234&amp;$AN234&amp;$AO234&amp;$AP234&amp;$AQ234&amp;$AR234&amp;$AS234&amp;$AT234&amp;$AU234&amp;$AV234&amp;$AW234&amp;$AX234&amp;$AY234,3,32767)</f>
        <v/>
      </c>
      <c r="BA234">
        <f>COUNT($D234:$AA234)</f>
        <v/>
      </c>
    </row>
    <row r="235">
      <c r="A235" t="n">
        <v>5</v>
      </c>
      <c r="B235" t="inlineStr">
        <is>
          <t>Skill Empowerment</t>
        </is>
      </c>
      <c r="C235" t="inlineStr">
        <is>
          <t>Transmutation</t>
        </is>
      </c>
      <c r="D235">
        <f>IF(Wizards!$A$2="","",IF(OR(ISNUMBER(SEARCH(", "&amp;$B235&amp;", ", ", "&amp;INDEX('Form Responses'!$I$1:$Q$200,2,$A235)&amp;", ")),ISNUMBER(SEARCH(", "&amp;$B235&amp;", ", ", "&amp;INDEX('Form Responses'!$R$1:$R$200,2)&amp;", "))),1,""))</f>
        <v/>
      </c>
      <c r="E235">
        <f>IF(Wizards!$A$3="","",IF(OR(ISNUMBER(SEARCH(", "&amp;$B235&amp;", ", ", "&amp;INDEX('Form Responses'!$I$1:$Q$200,3,$A235)&amp;", ")),ISNUMBER(SEARCH(", "&amp;$B235&amp;", ", ", "&amp;INDEX('Form Responses'!$R$1:$R$200,3)&amp;", "))),1,""))</f>
        <v/>
      </c>
      <c r="F235">
        <f>IF(Wizards!$A$4="","",IF(OR(ISNUMBER(SEARCH(", "&amp;$B235&amp;", ", ", "&amp;INDEX('Form Responses'!$I$1:$Q$200,4,$A235)&amp;", ")),ISNUMBER(SEARCH(", "&amp;$B235&amp;", ", ", "&amp;INDEX('Form Responses'!$R$1:$R$200,4)&amp;", "))),1,""))</f>
        <v/>
      </c>
      <c r="G235">
        <f>IF(Wizards!$A$5="","",IF(OR(ISNUMBER(SEARCH(", "&amp;$B235&amp;", ", ", "&amp;INDEX('Form Responses'!$I$1:$Q$200,5,$A235)&amp;", ")),ISNUMBER(SEARCH(", "&amp;$B235&amp;", ", ", "&amp;INDEX('Form Responses'!$R$1:$R$200,5)&amp;", "))),1,""))</f>
        <v/>
      </c>
      <c r="H235">
        <f>IF(Wizards!$A$6="","",IF(OR(ISNUMBER(SEARCH(", "&amp;$B235&amp;", ", ", "&amp;INDEX('Form Responses'!$I$1:$Q$200,6,$A235)&amp;", ")),ISNUMBER(SEARCH(", "&amp;$B235&amp;", ", ", "&amp;INDEX('Form Responses'!$R$1:$R$200,6)&amp;", "))),1,""))</f>
        <v/>
      </c>
      <c r="I235">
        <f>IF(Wizards!$A$7="","",IF(OR(ISNUMBER(SEARCH(", "&amp;$B235&amp;", ", ", "&amp;INDEX('Form Responses'!$I$1:$Q$200,7,$A235)&amp;", ")),ISNUMBER(SEARCH(", "&amp;$B235&amp;", ", ", "&amp;INDEX('Form Responses'!$R$1:$R$200,7)&amp;", "))),1,""))</f>
        <v/>
      </c>
      <c r="J235">
        <f>IF(Wizards!$A$8="","",IF(OR(ISNUMBER(SEARCH(", "&amp;$B235&amp;", ", ", "&amp;INDEX('Form Responses'!$I$1:$Q$200,8,$A235)&amp;", ")),ISNUMBER(SEARCH(", "&amp;$B235&amp;", ", ", "&amp;INDEX('Form Responses'!$R$1:$R$200,8)&amp;", "))),1,""))</f>
        <v/>
      </c>
      <c r="K235">
        <f>IF(Wizards!$A$9="","",IF(OR(ISNUMBER(SEARCH(", "&amp;$B235&amp;", ", ", "&amp;INDEX('Form Responses'!$I$1:$Q$200,9,$A235)&amp;", ")),ISNUMBER(SEARCH(", "&amp;$B235&amp;", ", ", "&amp;INDEX('Form Responses'!$R$1:$R$200,9)&amp;", "))),1,""))</f>
        <v/>
      </c>
      <c r="L235">
        <f>IF(Wizards!$A$10="","",IF(OR(ISNUMBER(SEARCH(", "&amp;$B235&amp;", ", ", "&amp;INDEX('Form Responses'!$I$1:$Q$200,10,$A235)&amp;", ")),ISNUMBER(SEARCH(", "&amp;$B235&amp;", ", ", "&amp;INDEX('Form Responses'!$R$1:$R$200,10)&amp;", "))),1,""))</f>
        <v/>
      </c>
      <c r="M235">
        <f>IF(Wizards!$A$11="","",IF(OR(ISNUMBER(SEARCH(", "&amp;$B235&amp;", ", ", "&amp;INDEX('Form Responses'!$I$1:$Q$200,11,$A235)&amp;", ")),ISNUMBER(SEARCH(", "&amp;$B235&amp;", ", ", "&amp;INDEX('Form Responses'!$R$1:$R$200,11)&amp;", "))),1,""))</f>
        <v/>
      </c>
      <c r="N235">
        <f>IF(Wizards!$A$12="","",IF(OR(ISNUMBER(SEARCH(", "&amp;$B235&amp;", ", ", "&amp;INDEX('Form Responses'!$I$1:$Q$200,12,$A235)&amp;", ")),ISNUMBER(SEARCH(", "&amp;$B235&amp;", ", ", "&amp;INDEX('Form Responses'!$R$1:$R$200,12)&amp;", "))),1,""))</f>
        <v/>
      </c>
      <c r="O235">
        <f>IF(Wizards!$A$13="","",IF(OR(ISNUMBER(SEARCH(", "&amp;$B235&amp;", ", ", "&amp;INDEX('Form Responses'!$I$1:$Q$200,13,$A235)&amp;", ")),ISNUMBER(SEARCH(", "&amp;$B235&amp;", ", ", "&amp;INDEX('Form Responses'!$R$1:$R$200,13)&amp;", "))),1,""))</f>
        <v/>
      </c>
      <c r="P235">
        <f>IF(Wizards!$A$14="","",IF(OR(ISNUMBER(SEARCH(", "&amp;$B235&amp;", ", ", "&amp;INDEX('Form Responses'!$I$1:$Q$200,14,$A235)&amp;", ")),ISNUMBER(SEARCH(", "&amp;$B235&amp;", ", ", "&amp;INDEX('Form Responses'!$R$1:$R$200,14)&amp;", "))),1,""))</f>
        <v/>
      </c>
      <c r="Q235">
        <f>IF(Wizards!$A$15="","",IF(OR(ISNUMBER(SEARCH(", "&amp;$B235&amp;", ", ", "&amp;INDEX('Form Responses'!$I$1:$Q$200,15,$A235)&amp;", ")),ISNUMBER(SEARCH(", "&amp;$B235&amp;", ", ", "&amp;INDEX('Form Responses'!$R$1:$R$200,15)&amp;", "))),1,""))</f>
        <v/>
      </c>
      <c r="R235">
        <f>IF(Wizards!$A$16="","",IF(OR(ISNUMBER(SEARCH(", "&amp;$B235&amp;", ", ", "&amp;INDEX('Form Responses'!$I$1:$Q$200,16,$A235)&amp;", ")),ISNUMBER(SEARCH(", "&amp;$B235&amp;", ", ", "&amp;INDEX('Form Responses'!$R$1:$R$200,16)&amp;", "))),1,""))</f>
        <v/>
      </c>
      <c r="S235">
        <f>IF(Wizards!$A$17="","",IF(OR(ISNUMBER(SEARCH(", "&amp;$B235&amp;", ", ", "&amp;INDEX('Form Responses'!$I$1:$Q$200,17,$A235)&amp;", ")),ISNUMBER(SEARCH(", "&amp;$B235&amp;", ", ", "&amp;INDEX('Form Responses'!$R$1:$R$200,17)&amp;", "))),1,""))</f>
        <v/>
      </c>
      <c r="T235">
        <f>IF(Wizards!$A$18="","",IF(OR(ISNUMBER(SEARCH(", "&amp;$B235&amp;", ", ", "&amp;INDEX('Form Responses'!$I$1:$Q$200,18,$A235)&amp;", ")),ISNUMBER(SEARCH(", "&amp;$B235&amp;", ", ", "&amp;INDEX('Form Responses'!$R$1:$R$200,18)&amp;", "))),1,""))</f>
        <v/>
      </c>
      <c r="U235">
        <f>IF(Wizards!$A$19="","",IF(OR(ISNUMBER(SEARCH(", "&amp;$B235&amp;", ", ", "&amp;INDEX('Form Responses'!$I$1:$Q$200,19,$A235)&amp;", ")),ISNUMBER(SEARCH(", "&amp;$B235&amp;", ", ", "&amp;INDEX('Form Responses'!$R$1:$R$200,19)&amp;", "))),1,""))</f>
        <v/>
      </c>
      <c r="V235">
        <f>IF(Wizards!$A$20="","",IF(OR(ISNUMBER(SEARCH(", "&amp;$B235&amp;", ", ", "&amp;INDEX('Form Responses'!$I$1:$Q$200,20,$A235)&amp;", ")),ISNUMBER(SEARCH(", "&amp;$B235&amp;", ", ", "&amp;INDEX('Form Responses'!$R$1:$R$200,20)&amp;", "))),1,""))</f>
        <v/>
      </c>
      <c r="W235">
        <f>IF(Wizards!$A$21="","",IF(OR(ISNUMBER(SEARCH(", "&amp;$B235&amp;", ", ", "&amp;INDEX('Form Responses'!$I$1:$Q$200,21,$A235)&amp;", ")),ISNUMBER(SEARCH(", "&amp;$B235&amp;", ", ", "&amp;INDEX('Form Responses'!$R$1:$R$200,21)&amp;", "))),1,""))</f>
        <v/>
      </c>
      <c r="X235">
        <f>IF(Wizards!$A$22="","",IF(OR(ISNUMBER(SEARCH(", "&amp;$B235&amp;", ", ", "&amp;INDEX('Form Responses'!$I$1:$Q$200,22,$A235)&amp;", ")),ISNUMBER(SEARCH(", "&amp;$B235&amp;", ", ", "&amp;INDEX('Form Responses'!$R$1:$R$200,22)&amp;", "))),1,""))</f>
        <v/>
      </c>
      <c r="Y235">
        <f>IF(Wizards!$A$23="","",IF(OR(ISNUMBER(SEARCH(", "&amp;$B235&amp;", ", ", "&amp;INDEX('Form Responses'!$I$1:$Q$200,23,$A235)&amp;", ")),ISNUMBER(SEARCH(", "&amp;$B235&amp;", ", ", "&amp;INDEX('Form Responses'!$R$1:$R$200,23)&amp;", "))),1,""))</f>
        <v/>
      </c>
      <c r="Z235">
        <f>IF(Wizards!$A$24="","",IF(OR(ISNUMBER(SEARCH(", "&amp;$B235&amp;", ", ", "&amp;INDEX('Form Responses'!$I$1:$Q$200,24,$A235)&amp;", ")),ISNUMBER(SEARCH(", "&amp;$B235&amp;", ", ", "&amp;INDEX('Form Responses'!$R$1:$R$200,24)&amp;", "))),1,""))</f>
        <v/>
      </c>
      <c r="AA235">
        <f>IF(Wizards!$A$25="","",IF(OR(ISNUMBER(SEARCH(", "&amp;$B235&amp;", ", ", "&amp;INDEX('Form Responses'!$I$1:$Q$200,25,$A235)&amp;", ")),ISNUMBER(SEARCH(", "&amp;$B235&amp;", ", ", "&amp;INDEX('Form Responses'!$R$1:$R$200,25)&amp;", "))),1,""))</f>
        <v/>
      </c>
      <c r="AB235">
        <f>IF(D235=1,", "&amp;D$1,"")</f>
        <v/>
      </c>
      <c r="AC235">
        <f>IF(E235=1,", "&amp;E$1,"")</f>
        <v/>
      </c>
      <c r="AD235">
        <f>IF(F235=1,", "&amp;F$1,"")</f>
        <v/>
      </c>
      <c r="AE235">
        <f>IF(G235=1,", "&amp;G$1,"")</f>
        <v/>
      </c>
      <c r="AF235">
        <f>IF(H235=1,", "&amp;H$1,"")</f>
        <v/>
      </c>
      <c r="AG235">
        <f>IF(I235=1,", "&amp;I$1,"")</f>
        <v/>
      </c>
      <c r="AH235">
        <f>IF(J235=1,", "&amp;J$1,"")</f>
        <v/>
      </c>
      <c r="AI235">
        <f>IF(K235=1,", "&amp;K$1,"")</f>
        <v/>
      </c>
      <c r="AJ235">
        <f>IF(L235=1,", "&amp;L$1,"")</f>
        <v/>
      </c>
      <c r="AK235">
        <f>IF(M235=1,", "&amp;M$1,"")</f>
        <v/>
      </c>
      <c r="AL235">
        <f>IF(N235=1,", "&amp;N$1,"")</f>
        <v/>
      </c>
      <c r="AM235">
        <f>IF(O235=1,", "&amp;O$1,"")</f>
        <v/>
      </c>
      <c r="AN235">
        <f>IF(P235=1,", "&amp;P$1,"")</f>
        <v/>
      </c>
      <c r="AO235">
        <f>IF(Q235=1,", "&amp;Q$1,"")</f>
        <v/>
      </c>
      <c r="AP235">
        <f>IF(R235=1,", "&amp;R$1,"")</f>
        <v/>
      </c>
      <c r="AQ235">
        <f>IF(S235=1,", "&amp;S$1,"")</f>
        <v/>
      </c>
      <c r="AR235">
        <f>IF(T235=1,", "&amp;T$1,"")</f>
        <v/>
      </c>
      <c r="AS235">
        <f>IF(U235=1,", "&amp;U$1,"")</f>
        <v/>
      </c>
      <c r="AT235">
        <f>IF(V235=1,", "&amp;V$1,"")</f>
        <v/>
      </c>
      <c r="AU235">
        <f>IF(W235=1,", "&amp;W$1,"")</f>
        <v/>
      </c>
      <c r="AV235">
        <f>IF(X235=1,", "&amp;X$1,"")</f>
        <v/>
      </c>
      <c r="AW235">
        <f>IF(Y235=1,", "&amp;Y$1,"")</f>
        <v/>
      </c>
      <c r="AX235">
        <f>IF(Z235=1,", "&amp;Z$1,"")</f>
        <v/>
      </c>
      <c r="AY235">
        <f>IF(AA235=1,", "&amp;AA$1,"")</f>
        <v/>
      </c>
      <c r="AZ235">
        <f>MID($AB235&amp;$AC235&amp;$AD235&amp;$AE235&amp;$AF235&amp;$AG235&amp;$AH235&amp;$AI235&amp;$AJ235&amp;$AK235&amp;$AL235&amp;$AM235&amp;$AN235&amp;$AO235&amp;$AP235&amp;$AQ235&amp;$AR235&amp;$AS235&amp;$AT235&amp;$AU235&amp;$AV235&amp;$AW235&amp;$AX235&amp;$AY235,3,32767)</f>
        <v/>
      </c>
      <c r="BA235">
        <f>COUNT($D235:$AA235)</f>
        <v/>
      </c>
    </row>
    <row r="236">
      <c r="A236" t="n">
        <v>5</v>
      </c>
      <c r="B236" t="inlineStr">
        <is>
          <t>Songal's Elemental Suffusion</t>
        </is>
      </c>
      <c r="C236" t="inlineStr">
        <is>
          <t>Transmutation</t>
        </is>
      </c>
      <c r="D236">
        <f>IF(Wizards!$A$2="","",IF(OR(ISNUMBER(SEARCH(", "&amp;$B236&amp;", ", ", "&amp;INDEX('Form Responses'!$I$1:$Q$200,2,$A236)&amp;", ")),ISNUMBER(SEARCH(", "&amp;$B236&amp;", ", ", "&amp;INDEX('Form Responses'!$R$1:$R$200,2)&amp;", "))),1,""))</f>
        <v/>
      </c>
      <c r="E236">
        <f>IF(Wizards!$A$3="","",IF(OR(ISNUMBER(SEARCH(", "&amp;$B236&amp;", ", ", "&amp;INDEX('Form Responses'!$I$1:$Q$200,3,$A236)&amp;", ")),ISNUMBER(SEARCH(", "&amp;$B236&amp;", ", ", "&amp;INDEX('Form Responses'!$R$1:$R$200,3)&amp;", "))),1,""))</f>
        <v/>
      </c>
      <c r="F236">
        <f>IF(Wizards!$A$4="","",IF(OR(ISNUMBER(SEARCH(", "&amp;$B236&amp;", ", ", "&amp;INDEX('Form Responses'!$I$1:$Q$200,4,$A236)&amp;", ")),ISNUMBER(SEARCH(", "&amp;$B236&amp;", ", ", "&amp;INDEX('Form Responses'!$R$1:$R$200,4)&amp;", "))),1,""))</f>
        <v/>
      </c>
      <c r="G236">
        <f>IF(Wizards!$A$5="","",IF(OR(ISNUMBER(SEARCH(", "&amp;$B236&amp;", ", ", "&amp;INDEX('Form Responses'!$I$1:$Q$200,5,$A236)&amp;", ")),ISNUMBER(SEARCH(", "&amp;$B236&amp;", ", ", "&amp;INDEX('Form Responses'!$R$1:$R$200,5)&amp;", "))),1,""))</f>
        <v/>
      </c>
      <c r="H236">
        <f>IF(Wizards!$A$6="","",IF(OR(ISNUMBER(SEARCH(", "&amp;$B236&amp;", ", ", "&amp;INDEX('Form Responses'!$I$1:$Q$200,6,$A236)&amp;", ")),ISNUMBER(SEARCH(", "&amp;$B236&amp;", ", ", "&amp;INDEX('Form Responses'!$R$1:$R$200,6)&amp;", "))),1,""))</f>
        <v/>
      </c>
      <c r="I236">
        <f>IF(Wizards!$A$7="","",IF(OR(ISNUMBER(SEARCH(", "&amp;$B236&amp;", ", ", "&amp;INDEX('Form Responses'!$I$1:$Q$200,7,$A236)&amp;", ")),ISNUMBER(SEARCH(", "&amp;$B236&amp;", ", ", "&amp;INDEX('Form Responses'!$R$1:$R$200,7)&amp;", "))),1,""))</f>
        <v/>
      </c>
      <c r="J236">
        <f>IF(Wizards!$A$8="","",IF(OR(ISNUMBER(SEARCH(", "&amp;$B236&amp;", ", ", "&amp;INDEX('Form Responses'!$I$1:$Q$200,8,$A236)&amp;", ")),ISNUMBER(SEARCH(", "&amp;$B236&amp;", ", ", "&amp;INDEX('Form Responses'!$R$1:$R$200,8)&amp;", "))),1,""))</f>
        <v/>
      </c>
      <c r="K236">
        <f>IF(Wizards!$A$9="","",IF(OR(ISNUMBER(SEARCH(", "&amp;$B236&amp;", ", ", "&amp;INDEX('Form Responses'!$I$1:$Q$200,9,$A236)&amp;", ")),ISNUMBER(SEARCH(", "&amp;$B236&amp;", ", ", "&amp;INDEX('Form Responses'!$R$1:$R$200,9)&amp;", "))),1,""))</f>
        <v/>
      </c>
      <c r="L236">
        <f>IF(Wizards!$A$10="","",IF(OR(ISNUMBER(SEARCH(", "&amp;$B236&amp;", ", ", "&amp;INDEX('Form Responses'!$I$1:$Q$200,10,$A236)&amp;", ")),ISNUMBER(SEARCH(", "&amp;$B236&amp;", ", ", "&amp;INDEX('Form Responses'!$R$1:$R$200,10)&amp;", "))),1,""))</f>
        <v/>
      </c>
      <c r="M236">
        <f>IF(Wizards!$A$11="","",IF(OR(ISNUMBER(SEARCH(", "&amp;$B236&amp;", ", ", "&amp;INDEX('Form Responses'!$I$1:$Q$200,11,$A236)&amp;", ")),ISNUMBER(SEARCH(", "&amp;$B236&amp;", ", ", "&amp;INDEX('Form Responses'!$R$1:$R$200,11)&amp;", "))),1,""))</f>
        <v/>
      </c>
      <c r="N236">
        <f>IF(Wizards!$A$12="","",IF(OR(ISNUMBER(SEARCH(", "&amp;$B236&amp;", ", ", "&amp;INDEX('Form Responses'!$I$1:$Q$200,12,$A236)&amp;", ")),ISNUMBER(SEARCH(", "&amp;$B236&amp;", ", ", "&amp;INDEX('Form Responses'!$R$1:$R$200,12)&amp;", "))),1,""))</f>
        <v/>
      </c>
      <c r="O236">
        <f>IF(Wizards!$A$13="","",IF(OR(ISNUMBER(SEARCH(", "&amp;$B236&amp;", ", ", "&amp;INDEX('Form Responses'!$I$1:$Q$200,13,$A236)&amp;", ")),ISNUMBER(SEARCH(", "&amp;$B236&amp;", ", ", "&amp;INDEX('Form Responses'!$R$1:$R$200,13)&amp;", "))),1,""))</f>
        <v/>
      </c>
      <c r="P236">
        <f>IF(Wizards!$A$14="","",IF(OR(ISNUMBER(SEARCH(", "&amp;$B236&amp;", ", ", "&amp;INDEX('Form Responses'!$I$1:$Q$200,14,$A236)&amp;", ")),ISNUMBER(SEARCH(", "&amp;$B236&amp;", ", ", "&amp;INDEX('Form Responses'!$R$1:$R$200,14)&amp;", "))),1,""))</f>
        <v/>
      </c>
      <c r="Q236">
        <f>IF(Wizards!$A$15="","",IF(OR(ISNUMBER(SEARCH(", "&amp;$B236&amp;", ", ", "&amp;INDEX('Form Responses'!$I$1:$Q$200,15,$A236)&amp;", ")),ISNUMBER(SEARCH(", "&amp;$B236&amp;", ", ", "&amp;INDEX('Form Responses'!$R$1:$R$200,15)&amp;", "))),1,""))</f>
        <v/>
      </c>
      <c r="R236">
        <f>IF(Wizards!$A$16="","",IF(OR(ISNUMBER(SEARCH(", "&amp;$B236&amp;", ", ", "&amp;INDEX('Form Responses'!$I$1:$Q$200,16,$A236)&amp;", ")),ISNUMBER(SEARCH(", "&amp;$B236&amp;", ", ", "&amp;INDEX('Form Responses'!$R$1:$R$200,16)&amp;", "))),1,""))</f>
        <v/>
      </c>
      <c r="S236">
        <f>IF(Wizards!$A$17="","",IF(OR(ISNUMBER(SEARCH(", "&amp;$B236&amp;", ", ", "&amp;INDEX('Form Responses'!$I$1:$Q$200,17,$A236)&amp;", ")),ISNUMBER(SEARCH(", "&amp;$B236&amp;", ", ", "&amp;INDEX('Form Responses'!$R$1:$R$200,17)&amp;", "))),1,""))</f>
        <v/>
      </c>
      <c r="T236">
        <f>IF(Wizards!$A$18="","",IF(OR(ISNUMBER(SEARCH(", "&amp;$B236&amp;", ", ", "&amp;INDEX('Form Responses'!$I$1:$Q$200,18,$A236)&amp;", ")),ISNUMBER(SEARCH(", "&amp;$B236&amp;", ", ", "&amp;INDEX('Form Responses'!$R$1:$R$200,18)&amp;", "))),1,""))</f>
        <v/>
      </c>
      <c r="U236">
        <f>IF(Wizards!$A$19="","",IF(OR(ISNUMBER(SEARCH(", "&amp;$B236&amp;", ", ", "&amp;INDEX('Form Responses'!$I$1:$Q$200,19,$A236)&amp;", ")),ISNUMBER(SEARCH(", "&amp;$B236&amp;", ", ", "&amp;INDEX('Form Responses'!$R$1:$R$200,19)&amp;", "))),1,""))</f>
        <v/>
      </c>
      <c r="V236">
        <f>IF(Wizards!$A$20="","",IF(OR(ISNUMBER(SEARCH(", "&amp;$B236&amp;", ", ", "&amp;INDEX('Form Responses'!$I$1:$Q$200,20,$A236)&amp;", ")),ISNUMBER(SEARCH(", "&amp;$B236&amp;", ", ", "&amp;INDEX('Form Responses'!$R$1:$R$200,20)&amp;", "))),1,""))</f>
        <v/>
      </c>
      <c r="W236">
        <f>IF(Wizards!$A$21="","",IF(OR(ISNUMBER(SEARCH(", "&amp;$B236&amp;", ", ", "&amp;INDEX('Form Responses'!$I$1:$Q$200,21,$A236)&amp;", ")),ISNUMBER(SEARCH(", "&amp;$B236&amp;", ", ", "&amp;INDEX('Form Responses'!$R$1:$R$200,21)&amp;", "))),1,""))</f>
        <v/>
      </c>
      <c r="X236">
        <f>IF(Wizards!$A$22="","",IF(OR(ISNUMBER(SEARCH(", "&amp;$B236&amp;", ", ", "&amp;INDEX('Form Responses'!$I$1:$Q$200,22,$A236)&amp;", ")),ISNUMBER(SEARCH(", "&amp;$B236&amp;", ", ", "&amp;INDEX('Form Responses'!$R$1:$R$200,22)&amp;", "))),1,""))</f>
        <v/>
      </c>
      <c r="Y236">
        <f>IF(Wizards!$A$23="","",IF(OR(ISNUMBER(SEARCH(", "&amp;$B236&amp;", ", ", "&amp;INDEX('Form Responses'!$I$1:$Q$200,23,$A236)&amp;", ")),ISNUMBER(SEARCH(", "&amp;$B236&amp;", ", ", "&amp;INDEX('Form Responses'!$R$1:$R$200,23)&amp;", "))),1,""))</f>
        <v/>
      </c>
      <c r="Z236">
        <f>IF(Wizards!$A$24="","",IF(OR(ISNUMBER(SEARCH(", "&amp;$B236&amp;", ", ", "&amp;INDEX('Form Responses'!$I$1:$Q$200,24,$A236)&amp;", ")),ISNUMBER(SEARCH(", "&amp;$B236&amp;", ", ", "&amp;INDEX('Form Responses'!$R$1:$R$200,24)&amp;", "))),1,""))</f>
        <v/>
      </c>
      <c r="AA236">
        <f>IF(Wizards!$A$25="","",IF(OR(ISNUMBER(SEARCH(", "&amp;$B236&amp;", ", ", "&amp;INDEX('Form Responses'!$I$1:$Q$200,25,$A236)&amp;", ")),ISNUMBER(SEARCH(", "&amp;$B236&amp;", ", ", "&amp;INDEX('Form Responses'!$R$1:$R$200,25)&amp;", "))),1,""))</f>
        <v/>
      </c>
      <c r="AB236">
        <f>IF(D236=1,", "&amp;D$1,"")</f>
        <v/>
      </c>
      <c r="AC236">
        <f>IF(E236=1,", "&amp;E$1,"")</f>
        <v/>
      </c>
      <c r="AD236">
        <f>IF(F236=1,", "&amp;F$1,"")</f>
        <v/>
      </c>
      <c r="AE236">
        <f>IF(G236=1,", "&amp;G$1,"")</f>
        <v/>
      </c>
      <c r="AF236">
        <f>IF(H236=1,", "&amp;H$1,"")</f>
        <v/>
      </c>
      <c r="AG236">
        <f>IF(I236=1,", "&amp;I$1,"")</f>
        <v/>
      </c>
      <c r="AH236">
        <f>IF(J236=1,", "&amp;J$1,"")</f>
        <v/>
      </c>
      <c r="AI236">
        <f>IF(K236=1,", "&amp;K$1,"")</f>
        <v/>
      </c>
      <c r="AJ236">
        <f>IF(L236=1,", "&amp;L$1,"")</f>
        <v/>
      </c>
      <c r="AK236">
        <f>IF(M236=1,", "&amp;M$1,"")</f>
        <v/>
      </c>
      <c r="AL236">
        <f>IF(N236=1,", "&amp;N$1,"")</f>
        <v/>
      </c>
      <c r="AM236">
        <f>IF(O236=1,", "&amp;O$1,"")</f>
        <v/>
      </c>
      <c r="AN236">
        <f>IF(P236=1,", "&amp;P$1,"")</f>
        <v/>
      </c>
      <c r="AO236">
        <f>IF(Q236=1,", "&amp;Q$1,"")</f>
        <v/>
      </c>
      <c r="AP236">
        <f>IF(R236=1,", "&amp;R$1,"")</f>
        <v/>
      </c>
      <c r="AQ236">
        <f>IF(S236=1,", "&amp;S$1,"")</f>
        <v/>
      </c>
      <c r="AR236">
        <f>IF(T236=1,", "&amp;T$1,"")</f>
        <v/>
      </c>
      <c r="AS236">
        <f>IF(U236=1,", "&amp;U$1,"")</f>
        <v/>
      </c>
      <c r="AT236">
        <f>IF(V236=1,", "&amp;V$1,"")</f>
        <v/>
      </c>
      <c r="AU236">
        <f>IF(W236=1,", "&amp;W$1,"")</f>
        <v/>
      </c>
      <c r="AV236">
        <f>IF(X236=1,", "&amp;X$1,"")</f>
        <v/>
      </c>
      <c r="AW236">
        <f>IF(Y236=1,", "&amp;Y$1,"")</f>
        <v/>
      </c>
      <c r="AX236">
        <f>IF(Z236=1,", "&amp;Z$1,"")</f>
        <v/>
      </c>
      <c r="AY236">
        <f>IF(AA236=1,", "&amp;AA$1,"")</f>
        <v/>
      </c>
      <c r="AZ236">
        <f>MID($AB236&amp;$AC236&amp;$AD236&amp;$AE236&amp;$AF236&amp;$AG236&amp;$AH236&amp;$AI236&amp;$AJ236&amp;$AK236&amp;$AL236&amp;$AM236&amp;$AN236&amp;$AO236&amp;$AP236&amp;$AQ236&amp;$AR236&amp;$AS236&amp;$AT236&amp;$AU236&amp;$AV236&amp;$AW236&amp;$AX236&amp;$AY236,3,32767)</f>
        <v/>
      </c>
      <c r="BA236">
        <f>COUNT($D236:$AA236)</f>
        <v/>
      </c>
    </row>
    <row r="237">
      <c r="A237" t="n">
        <v>5</v>
      </c>
      <c r="B237" t="inlineStr">
        <is>
          <t>Spirit Lantern</t>
        </is>
      </c>
      <c r="C237" t="inlineStr">
        <is>
          <t>Necromancy</t>
        </is>
      </c>
      <c r="D237">
        <f>IF(Wizards!$A$2="","",IF(OR(ISNUMBER(SEARCH(", "&amp;$B237&amp;", ", ", "&amp;INDEX('Form Responses'!$I$1:$Q$200,2,$A237)&amp;", ")),ISNUMBER(SEARCH(", "&amp;$B237&amp;", ", ", "&amp;INDEX('Form Responses'!$R$1:$R$200,2)&amp;", "))),1,""))</f>
        <v/>
      </c>
      <c r="E237">
        <f>IF(Wizards!$A$3="","",IF(OR(ISNUMBER(SEARCH(", "&amp;$B237&amp;", ", ", "&amp;INDEX('Form Responses'!$I$1:$Q$200,3,$A237)&amp;", ")),ISNUMBER(SEARCH(", "&amp;$B237&amp;", ", ", "&amp;INDEX('Form Responses'!$R$1:$R$200,3)&amp;", "))),1,""))</f>
        <v/>
      </c>
      <c r="F237">
        <f>IF(Wizards!$A$4="","",IF(OR(ISNUMBER(SEARCH(", "&amp;$B237&amp;", ", ", "&amp;INDEX('Form Responses'!$I$1:$Q$200,4,$A237)&amp;", ")),ISNUMBER(SEARCH(", "&amp;$B237&amp;", ", ", "&amp;INDEX('Form Responses'!$R$1:$R$200,4)&amp;", "))),1,""))</f>
        <v/>
      </c>
      <c r="G237">
        <f>IF(Wizards!$A$5="","",IF(OR(ISNUMBER(SEARCH(", "&amp;$B237&amp;", ", ", "&amp;INDEX('Form Responses'!$I$1:$Q$200,5,$A237)&amp;", ")),ISNUMBER(SEARCH(", "&amp;$B237&amp;", ", ", "&amp;INDEX('Form Responses'!$R$1:$R$200,5)&amp;", "))),1,""))</f>
        <v/>
      </c>
      <c r="H237">
        <f>IF(Wizards!$A$6="","",IF(OR(ISNUMBER(SEARCH(", "&amp;$B237&amp;", ", ", "&amp;INDEX('Form Responses'!$I$1:$Q$200,6,$A237)&amp;", ")),ISNUMBER(SEARCH(", "&amp;$B237&amp;", ", ", "&amp;INDEX('Form Responses'!$R$1:$R$200,6)&amp;", "))),1,""))</f>
        <v/>
      </c>
      <c r="I237">
        <f>IF(Wizards!$A$7="","",IF(OR(ISNUMBER(SEARCH(", "&amp;$B237&amp;", ", ", "&amp;INDEX('Form Responses'!$I$1:$Q$200,7,$A237)&amp;", ")),ISNUMBER(SEARCH(", "&amp;$B237&amp;", ", ", "&amp;INDEX('Form Responses'!$R$1:$R$200,7)&amp;", "))),1,""))</f>
        <v/>
      </c>
      <c r="J237">
        <f>IF(Wizards!$A$8="","",IF(OR(ISNUMBER(SEARCH(", "&amp;$B237&amp;", ", ", "&amp;INDEX('Form Responses'!$I$1:$Q$200,8,$A237)&amp;", ")),ISNUMBER(SEARCH(", "&amp;$B237&amp;", ", ", "&amp;INDEX('Form Responses'!$R$1:$R$200,8)&amp;", "))),1,""))</f>
        <v/>
      </c>
      <c r="K237">
        <f>IF(Wizards!$A$9="","",IF(OR(ISNUMBER(SEARCH(", "&amp;$B237&amp;", ", ", "&amp;INDEX('Form Responses'!$I$1:$Q$200,9,$A237)&amp;", ")),ISNUMBER(SEARCH(", "&amp;$B237&amp;", ", ", "&amp;INDEX('Form Responses'!$R$1:$R$200,9)&amp;", "))),1,""))</f>
        <v/>
      </c>
      <c r="L237">
        <f>IF(Wizards!$A$10="","",IF(OR(ISNUMBER(SEARCH(", "&amp;$B237&amp;", ", ", "&amp;INDEX('Form Responses'!$I$1:$Q$200,10,$A237)&amp;", ")),ISNUMBER(SEARCH(", "&amp;$B237&amp;", ", ", "&amp;INDEX('Form Responses'!$R$1:$R$200,10)&amp;", "))),1,""))</f>
        <v/>
      </c>
      <c r="M237">
        <f>IF(Wizards!$A$11="","",IF(OR(ISNUMBER(SEARCH(", "&amp;$B237&amp;", ", ", "&amp;INDEX('Form Responses'!$I$1:$Q$200,11,$A237)&amp;", ")),ISNUMBER(SEARCH(", "&amp;$B237&amp;", ", ", "&amp;INDEX('Form Responses'!$R$1:$R$200,11)&amp;", "))),1,""))</f>
        <v/>
      </c>
      <c r="N237">
        <f>IF(Wizards!$A$12="","",IF(OR(ISNUMBER(SEARCH(", "&amp;$B237&amp;", ", ", "&amp;INDEX('Form Responses'!$I$1:$Q$200,12,$A237)&amp;", ")),ISNUMBER(SEARCH(", "&amp;$B237&amp;", ", ", "&amp;INDEX('Form Responses'!$R$1:$R$200,12)&amp;", "))),1,""))</f>
        <v/>
      </c>
      <c r="O237">
        <f>IF(Wizards!$A$13="","",IF(OR(ISNUMBER(SEARCH(", "&amp;$B237&amp;", ", ", "&amp;INDEX('Form Responses'!$I$1:$Q$200,13,$A237)&amp;", ")),ISNUMBER(SEARCH(", "&amp;$B237&amp;", ", ", "&amp;INDEX('Form Responses'!$R$1:$R$200,13)&amp;", "))),1,""))</f>
        <v/>
      </c>
      <c r="P237">
        <f>IF(Wizards!$A$14="","",IF(OR(ISNUMBER(SEARCH(", "&amp;$B237&amp;", ", ", "&amp;INDEX('Form Responses'!$I$1:$Q$200,14,$A237)&amp;", ")),ISNUMBER(SEARCH(", "&amp;$B237&amp;", ", ", "&amp;INDEX('Form Responses'!$R$1:$R$200,14)&amp;", "))),1,""))</f>
        <v/>
      </c>
      <c r="Q237">
        <f>IF(Wizards!$A$15="","",IF(OR(ISNUMBER(SEARCH(", "&amp;$B237&amp;", ", ", "&amp;INDEX('Form Responses'!$I$1:$Q$200,15,$A237)&amp;", ")),ISNUMBER(SEARCH(", "&amp;$B237&amp;", ", ", "&amp;INDEX('Form Responses'!$R$1:$R$200,15)&amp;", "))),1,""))</f>
        <v/>
      </c>
      <c r="R237">
        <f>IF(Wizards!$A$16="","",IF(OR(ISNUMBER(SEARCH(", "&amp;$B237&amp;", ", ", "&amp;INDEX('Form Responses'!$I$1:$Q$200,16,$A237)&amp;", ")),ISNUMBER(SEARCH(", "&amp;$B237&amp;", ", ", "&amp;INDEX('Form Responses'!$R$1:$R$200,16)&amp;", "))),1,""))</f>
        <v/>
      </c>
      <c r="S237">
        <f>IF(Wizards!$A$17="","",IF(OR(ISNUMBER(SEARCH(", "&amp;$B237&amp;", ", ", "&amp;INDEX('Form Responses'!$I$1:$Q$200,17,$A237)&amp;", ")),ISNUMBER(SEARCH(", "&amp;$B237&amp;", ", ", "&amp;INDEX('Form Responses'!$R$1:$R$200,17)&amp;", "))),1,""))</f>
        <v/>
      </c>
      <c r="T237">
        <f>IF(Wizards!$A$18="","",IF(OR(ISNUMBER(SEARCH(", "&amp;$B237&amp;", ", ", "&amp;INDEX('Form Responses'!$I$1:$Q$200,18,$A237)&amp;", ")),ISNUMBER(SEARCH(", "&amp;$B237&amp;", ", ", "&amp;INDEX('Form Responses'!$R$1:$R$200,18)&amp;", "))),1,""))</f>
        <v/>
      </c>
      <c r="U237">
        <f>IF(Wizards!$A$19="","",IF(OR(ISNUMBER(SEARCH(", "&amp;$B237&amp;", ", ", "&amp;INDEX('Form Responses'!$I$1:$Q$200,19,$A237)&amp;", ")),ISNUMBER(SEARCH(", "&amp;$B237&amp;", ", ", "&amp;INDEX('Form Responses'!$R$1:$R$200,19)&amp;", "))),1,""))</f>
        <v/>
      </c>
      <c r="V237">
        <f>IF(Wizards!$A$20="","",IF(OR(ISNUMBER(SEARCH(", "&amp;$B237&amp;", ", ", "&amp;INDEX('Form Responses'!$I$1:$Q$200,20,$A237)&amp;", ")),ISNUMBER(SEARCH(", "&amp;$B237&amp;", ", ", "&amp;INDEX('Form Responses'!$R$1:$R$200,20)&amp;", "))),1,""))</f>
        <v/>
      </c>
      <c r="W237">
        <f>IF(Wizards!$A$21="","",IF(OR(ISNUMBER(SEARCH(", "&amp;$B237&amp;", ", ", "&amp;INDEX('Form Responses'!$I$1:$Q$200,21,$A237)&amp;", ")),ISNUMBER(SEARCH(", "&amp;$B237&amp;", ", ", "&amp;INDEX('Form Responses'!$R$1:$R$200,21)&amp;", "))),1,""))</f>
        <v/>
      </c>
      <c r="X237">
        <f>IF(Wizards!$A$22="","",IF(OR(ISNUMBER(SEARCH(", "&amp;$B237&amp;", ", ", "&amp;INDEX('Form Responses'!$I$1:$Q$200,22,$A237)&amp;", ")),ISNUMBER(SEARCH(", "&amp;$B237&amp;", ", ", "&amp;INDEX('Form Responses'!$R$1:$R$200,22)&amp;", "))),1,""))</f>
        <v/>
      </c>
      <c r="Y237">
        <f>IF(Wizards!$A$23="","",IF(OR(ISNUMBER(SEARCH(", "&amp;$B237&amp;", ", ", "&amp;INDEX('Form Responses'!$I$1:$Q$200,23,$A237)&amp;", ")),ISNUMBER(SEARCH(", "&amp;$B237&amp;", ", ", "&amp;INDEX('Form Responses'!$R$1:$R$200,23)&amp;", "))),1,""))</f>
        <v/>
      </c>
      <c r="Z237">
        <f>IF(Wizards!$A$24="","",IF(OR(ISNUMBER(SEARCH(", "&amp;$B237&amp;", ", ", "&amp;INDEX('Form Responses'!$I$1:$Q$200,24,$A237)&amp;", ")),ISNUMBER(SEARCH(", "&amp;$B237&amp;", ", ", "&amp;INDEX('Form Responses'!$R$1:$R$200,24)&amp;", "))),1,""))</f>
        <v/>
      </c>
      <c r="AA237">
        <f>IF(Wizards!$A$25="","",IF(OR(ISNUMBER(SEARCH(", "&amp;$B237&amp;", ", ", "&amp;INDEX('Form Responses'!$I$1:$Q$200,25,$A237)&amp;", ")),ISNUMBER(SEARCH(", "&amp;$B237&amp;", ", ", "&amp;INDEX('Form Responses'!$R$1:$R$200,25)&amp;", "))),1,""))</f>
        <v/>
      </c>
      <c r="AB237">
        <f>IF(D237=1,", "&amp;D$1,"")</f>
        <v/>
      </c>
      <c r="AC237">
        <f>IF(E237=1,", "&amp;E$1,"")</f>
        <v/>
      </c>
      <c r="AD237">
        <f>IF(F237=1,", "&amp;F$1,"")</f>
        <v/>
      </c>
      <c r="AE237">
        <f>IF(G237=1,", "&amp;G$1,"")</f>
        <v/>
      </c>
      <c r="AF237">
        <f>IF(H237=1,", "&amp;H$1,"")</f>
        <v/>
      </c>
      <c r="AG237">
        <f>IF(I237=1,", "&amp;I$1,"")</f>
        <v/>
      </c>
      <c r="AH237">
        <f>IF(J237=1,", "&amp;J$1,"")</f>
        <v/>
      </c>
      <c r="AI237">
        <f>IF(K237=1,", "&amp;K$1,"")</f>
        <v/>
      </c>
      <c r="AJ237">
        <f>IF(L237=1,", "&amp;L$1,"")</f>
        <v/>
      </c>
      <c r="AK237">
        <f>IF(M237=1,", "&amp;M$1,"")</f>
        <v/>
      </c>
      <c r="AL237">
        <f>IF(N237=1,", "&amp;N$1,"")</f>
        <v/>
      </c>
      <c r="AM237">
        <f>IF(O237=1,", "&amp;O$1,"")</f>
        <v/>
      </c>
      <c r="AN237">
        <f>IF(P237=1,", "&amp;P$1,"")</f>
        <v/>
      </c>
      <c r="AO237">
        <f>IF(Q237=1,", "&amp;Q$1,"")</f>
        <v/>
      </c>
      <c r="AP237">
        <f>IF(R237=1,", "&amp;R$1,"")</f>
        <v/>
      </c>
      <c r="AQ237">
        <f>IF(S237=1,", "&amp;S$1,"")</f>
        <v/>
      </c>
      <c r="AR237">
        <f>IF(T237=1,", "&amp;T$1,"")</f>
        <v/>
      </c>
      <c r="AS237">
        <f>IF(U237=1,", "&amp;U$1,"")</f>
        <v/>
      </c>
      <c r="AT237">
        <f>IF(V237=1,", "&amp;V$1,"")</f>
        <v/>
      </c>
      <c r="AU237">
        <f>IF(W237=1,", "&amp;W$1,"")</f>
        <v/>
      </c>
      <c r="AV237">
        <f>IF(X237=1,", "&amp;X$1,"")</f>
        <v/>
      </c>
      <c r="AW237">
        <f>IF(Y237=1,", "&amp;Y$1,"")</f>
        <v/>
      </c>
      <c r="AX237">
        <f>IF(Z237=1,", "&amp;Z$1,"")</f>
        <v/>
      </c>
      <c r="AY237">
        <f>IF(AA237=1,", "&amp;AA$1,"")</f>
        <v/>
      </c>
      <c r="AZ237">
        <f>MID($AB237&amp;$AC237&amp;$AD237&amp;$AE237&amp;$AF237&amp;$AG237&amp;$AH237&amp;$AI237&amp;$AJ237&amp;$AK237&amp;$AL237&amp;$AM237&amp;$AN237&amp;$AO237&amp;$AP237&amp;$AQ237&amp;$AR237&amp;$AS237&amp;$AT237&amp;$AU237&amp;$AV237&amp;$AW237&amp;$AX237&amp;$AY237,3,32767)</f>
        <v/>
      </c>
      <c r="BA237">
        <f>COUNT($D237:$AA237)</f>
        <v/>
      </c>
    </row>
    <row r="238">
      <c r="A238" t="n">
        <v>5</v>
      </c>
      <c r="B238" t="inlineStr">
        <is>
          <t>Steel Wind Strike</t>
        </is>
      </c>
      <c r="C238" t="inlineStr">
        <is>
          <t>Conjuration</t>
        </is>
      </c>
      <c r="D238">
        <f>IF(Wizards!$A$2="","",IF(OR(ISNUMBER(SEARCH(", "&amp;$B238&amp;", ", ", "&amp;INDEX('Form Responses'!$I$1:$Q$200,2,$A238)&amp;", ")),ISNUMBER(SEARCH(", "&amp;$B238&amp;", ", ", "&amp;INDEX('Form Responses'!$R$1:$R$200,2)&amp;", "))),1,""))</f>
        <v/>
      </c>
      <c r="E238">
        <f>IF(Wizards!$A$3="","",IF(OR(ISNUMBER(SEARCH(", "&amp;$B238&amp;", ", ", "&amp;INDEX('Form Responses'!$I$1:$Q$200,3,$A238)&amp;", ")),ISNUMBER(SEARCH(", "&amp;$B238&amp;", ", ", "&amp;INDEX('Form Responses'!$R$1:$R$200,3)&amp;", "))),1,""))</f>
        <v/>
      </c>
      <c r="F238">
        <f>IF(Wizards!$A$4="","",IF(OR(ISNUMBER(SEARCH(", "&amp;$B238&amp;", ", ", "&amp;INDEX('Form Responses'!$I$1:$Q$200,4,$A238)&amp;", ")),ISNUMBER(SEARCH(", "&amp;$B238&amp;", ", ", "&amp;INDEX('Form Responses'!$R$1:$R$200,4)&amp;", "))),1,""))</f>
        <v/>
      </c>
      <c r="G238">
        <f>IF(Wizards!$A$5="","",IF(OR(ISNUMBER(SEARCH(", "&amp;$B238&amp;", ", ", "&amp;INDEX('Form Responses'!$I$1:$Q$200,5,$A238)&amp;", ")),ISNUMBER(SEARCH(", "&amp;$B238&amp;", ", ", "&amp;INDEX('Form Responses'!$R$1:$R$200,5)&amp;", "))),1,""))</f>
        <v/>
      </c>
      <c r="H238">
        <f>IF(Wizards!$A$6="","",IF(OR(ISNUMBER(SEARCH(", "&amp;$B238&amp;", ", ", "&amp;INDEX('Form Responses'!$I$1:$Q$200,6,$A238)&amp;", ")),ISNUMBER(SEARCH(", "&amp;$B238&amp;", ", ", "&amp;INDEX('Form Responses'!$R$1:$R$200,6)&amp;", "))),1,""))</f>
        <v/>
      </c>
      <c r="I238">
        <f>IF(Wizards!$A$7="","",IF(OR(ISNUMBER(SEARCH(", "&amp;$B238&amp;", ", ", "&amp;INDEX('Form Responses'!$I$1:$Q$200,7,$A238)&amp;", ")),ISNUMBER(SEARCH(", "&amp;$B238&amp;", ", ", "&amp;INDEX('Form Responses'!$R$1:$R$200,7)&amp;", "))),1,""))</f>
        <v/>
      </c>
      <c r="J238">
        <f>IF(Wizards!$A$8="","",IF(OR(ISNUMBER(SEARCH(", "&amp;$B238&amp;", ", ", "&amp;INDEX('Form Responses'!$I$1:$Q$200,8,$A238)&amp;", ")),ISNUMBER(SEARCH(", "&amp;$B238&amp;", ", ", "&amp;INDEX('Form Responses'!$R$1:$R$200,8)&amp;", "))),1,""))</f>
        <v/>
      </c>
      <c r="K238">
        <f>IF(Wizards!$A$9="","",IF(OR(ISNUMBER(SEARCH(", "&amp;$B238&amp;", ", ", "&amp;INDEX('Form Responses'!$I$1:$Q$200,9,$A238)&amp;", ")),ISNUMBER(SEARCH(", "&amp;$B238&amp;", ", ", "&amp;INDEX('Form Responses'!$R$1:$R$200,9)&amp;", "))),1,""))</f>
        <v/>
      </c>
      <c r="L238">
        <f>IF(Wizards!$A$10="","",IF(OR(ISNUMBER(SEARCH(", "&amp;$B238&amp;", ", ", "&amp;INDEX('Form Responses'!$I$1:$Q$200,10,$A238)&amp;", ")),ISNUMBER(SEARCH(", "&amp;$B238&amp;", ", ", "&amp;INDEX('Form Responses'!$R$1:$R$200,10)&amp;", "))),1,""))</f>
        <v/>
      </c>
      <c r="M238">
        <f>IF(Wizards!$A$11="","",IF(OR(ISNUMBER(SEARCH(", "&amp;$B238&amp;", ", ", "&amp;INDEX('Form Responses'!$I$1:$Q$200,11,$A238)&amp;", ")),ISNUMBER(SEARCH(", "&amp;$B238&amp;", ", ", "&amp;INDEX('Form Responses'!$R$1:$R$200,11)&amp;", "))),1,""))</f>
        <v/>
      </c>
      <c r="N238">
        <f>IF(Wizards!$A$12="","",IF(OR(ISNUMBER(SEARCH(", "&amp;$B238&amp;", ", ", "&amp;INDEX('Form Responses'!$I$1:$Q$200,12,$A238)&amp;", ")),ISNUMBER(SEARCH(", "&amp;$B238&amp;", ", ", "&amp;INDEX('Form Responses'!$R$1:$R$200,12)&amp;", "))),1,""))</f>
        <v/>
      </c>
      <c r="O238">
        <f>IF(Wizards!$A$13="","",IF(OR(ISNUMBER(SEARCH(", "&amp;$B238&amp;", ", ", "&amp;INDEX('Form Responses'!$I$1:$Q$200,13,$A238)&amp;", ")),ISNUMBER(SEARCH(", "&amp;$B238&amp;", ", ", "&amp;INDEX('Form Responses'!$R$1:$R$200,13)&amp;", "))),1,""))</f>
        <v/>
      </c>
      <c r="P238">
        <f>IF(Wizards!$A$14="","",IF(OR(ISNUMBER(SEARCH(", "&amp;$B238&amp;", ", ", "&amp;INDEX('Form Responses'!$I$1:$Q$200,14,$A238)&amp;", ")),ISNUMBER(SEARCH(", "&amp;$B238&amp;", ", ", "&amp;INDEX('Form Responses'!$R$1:$R$200,14)&amp;", "))),1,""))</f>
        <v/>
      </c>
      <c r="Q238">
        <f>IF(Wizards!$A$15="","",IF(OR(ISNUMBER(SEARCH(", "&amp;$B238&amp;", ", ", "&amp;INDEX('Form Responses'!$I$1:$Q$200,15,$A238)&amp;", ")),ISNUMBER(SEARCH(", "&amp;$B238&amp;", ", ", "&amp;INDEX('Form Responses'!$R$1:$R$200,15)&amp;", "))),1,""))</f>
        <v/>
      </c>
      <c r="R238">
        <f>IF(Wizards!$A$16="","",IF(OR(ISNUMBER(SEARCH(", "&amp;$B238&amp;", ", ", "&amp;INDEX('Form Responses'!$I$1:$Q$200,16,$A238)&amp;", ")),ISNUMBER(SEARCH(", "&amp;$B238&amp;", ", ", "&amp;INDEX('Form Responses'!$R$1:$R$200,16)&amp;", "))),1,""))</f>
        <v/>
      </c>
      <c r="S238">
        <f>IF(Wizards!$A$17="","",IF(OR(ISNUMBER(SEARCH(", "&amp;$B238&amp;", ", ", "&amp;INDEX('Form Responses'!$I$1:$Q$200,17,$A238)&amp;", ")),ISNUMBER(SEARCH(", "&amp;$B238&amp;", ", ", "&amp;INDEX('Form Responses'!$R$1:$R$200,17)&amp;", "))),1,""))</f>
        <v/>
      </c>
      <c r="T238">
        <f>IF(Wizards!$A$18="","",IF(OR(ISNUMBER(SEARCH(", "&amp;$B238&amp;", ", ", "&amp;INDEX('Form Responses'!$I$1:$Q$200,18,$A238)&amp;", ")),ISNUMBER(SEARCH(", "&amp;$B238&amp;", ", ", "&amp;INDEX('Form Responses'!$R$1:$R$200,18)&amp;", "))),1,""))</f>
        <v/>
      </c>
      <c r="U238">
        <f>IF(Wizards!$A$19="","",IF(OR(ISNUMBER(SEARCH(", "&amp;$B238&amp;", ", ", "&amp;INDEX('Form Responses'!$I$1:$Q$200,19,$A238)&amp;", ")),ISNUMBER(SEARCH(", "&amp;$B238&amp;", ", ", "&amp;INDEX('Form Responses'!$R$1:$R$200,19)&amp;", "))),1,""))</f>
        <v/>
      </c>
      <c r="V238">
        <f>IF(Wizards!$A$20="","",IF(OR(ISNUMBER(SEARCH(", "&amp;$B238&amp;", ", ", "&amp;INDEX('Form Responses'!$I$1:$Q$200,20,$A238)&amp;", ")),ISNUMBER(SEARCH(", "&amp;$B238&amp;", ", ", "&amp;INDEX('Form Responses'!$R$1:$R$200,20)&amp;", "))),1,""))</f>
        <v/>
      </c>
      <c r="W238">
        <f>IF(Wizards!$A$21="","",IF(OR(ISNUMBER(SEARCH(", "&amp;$B238&amp;", ", ", "&amp;INDEX('Form Responses'!$I$1:$Q$200,21,$A238)&amp;", ")),ISNUMBER(SEARCH(", "&amp;$B238&amp;", ", ", "&amp;INDEX('Form Responses'!$R$1:$R$200,21)&amp;", "))),1,""))</f>
        <v/>
      </c>
      <c r="X238">
        <f>IF(Wizards!$A$22="","",IF(OR(ISNUMBER(SEARCH(", "&amp;$B238&amp;", ", ", "&amp;INDEX('Form Responses'!$I$1:$Q$200,22,$A238)&amp;", ")),ISNUMBER(SEARCH(", "&amp;$B238&amp;", ", ", "&amp;INDEX('Form Responses'!$R$1:$R$200,22)&amp;", "))),1,""))</f>
        <v/>
      </c>
      <c r="Y238">
        <f>IF(Wizards!$A$23="","",IF(OR(ISNUMBER(SEARCH(", "&amp;$B238&amp;", ", ", "&amp;INDEX('Form Responses'!$I$1:$Q$200,23,$A238)&amp;", ")),ISNUMBER(SEARCH(", "&amp;$B238&amp;", ", ", "&amp;INDEX('Form Responses'!$R$1:$R$200,23)&amp;", "))),1,""))</f>
        <v/>
      </c>
      <c r="Z238">
        <f>IF(Wizards!$A$24="","",IF(OR(ISNUMBER(SEARCH(", "&amp;$B238&amp;", ", ", "&amp;INDEX('Form Responses'!$I$1:$Q$200,24,$A238)&amp;", ")),ISNUMBER(SEARCH(", "&amp;$B238&amp;", ", ", "&amp;INDEX('Form Responses'!$R$1:$R$200,24)&amp;", "))),1,""))</f>
        <v/>
      </c>
      <c r="AA238">
        <f>IF(Wizards!$A$25="","",IF(OR(ISNUMBER(SEARCH(", "&amp;$B238&amp;", ", ", "&amp;INDEX('Form Responses'!$I$1:$Q$200,25,$A238)&amp;", ")),ISNUMBER(SEARCH(", "&amp;$B238&amp;", ", ", "&amp;INDEX('Form Responses'!$R$1:$R$200,25)&amp;", "))),1,""))</f>
        <v/>
      </c>
      <c r="AB238">
        <f>IF(D238=1,", "&amp;D$1,"")</f>
        <v/>
      </c>
      <c r="AC238">
        <f>IF(E238=1,", "&amp;E$1,"")</f>
        <v/>
      </c>
      <c r="AD238">
        <f>IF(F238=1,", "&amp;F$1,"")</f>
        <v/>
      </c>
      <c r="AE238">
        <f>IF(G238=1,", "&amp;G$1,"")</f>
        <v/>
      </c>
      <c r="AF238">
        <f>IF(H238=1,", "&amp;H$1,"")</f>
        <v/>
      </c>
      <c r="AG238">
        <f>IF(I238=1,", "&amp;I$1,"")</f>
        <v/>
      </c>
      <c r="AH238">
        <f>IF(J238=1,", "&amp;J$1,"")</f>
        <v/>
      </c>
      <c r="AI238">
        <f>IF(K238=1,", "&amp;K$1,"")</f>
        <v/>
      </c>
      <c r="AJ238">
        <f>IF(L238=1,", "&amp;L$1,"")</f>
        <v/>
      </c>
      <c r="AK238">
        <f>IF(M238=1,", "&amp;M$1,"")</f>
        <v/>
      </c>
      <c r="AL238">
        <f>IF(N238=1,", "&amp;N$1,"")</f>
        <v/>
      </c>
      <c r="AM238">
        <f>IF(O238=1,", "&amp;O$1,"")</f>
        <v/>
      </c>
      <c r="AN238">
        <f>IF(P238=1,", "&amp;P$1,"")</f>
        <v/>
      </c>
      <c r="AO238">
        <f>IF(Q238=1,", "&amp;Q$1,"")</f>
        <v/>
      </c>
      <c r="AP238">
        <f>IF(R238=1,", "&amp;R$1,"")</f>
        <v/>
      </c>
      <c r="AQ238">
        <f>IF(S238=1,", "&amp;S$1,"")</f>
        <v/>
      </c>
      <c r="AR238">
        <f>IF(T238=1,", "&amp;T$1,"")</f>
        <v/>
      </c>
      <c r="AS238">
        <f>IF(U238=1,", "&amp;U$1,"")</f>
        <v/>
      </c>
      <c r="AT238">
        <f>IF(V238=1,", "&amp;V$1,"")</f>
        <v/>
      </c>
      <c r="AU238">
        <f>IF(W238=1,", "&amp;W$1,"")</f>
        <v/>
      </c>
      <c r="AV238">
        <f>IF(X238=1,", "&amp;X$1,"")</f>
        <v/>
      </c>
      <c r="AW238">
        <f>IF(Y238=1,", "&amp;Y$1,"")</f>
        <v/>
      </c>
      <c r="AX238">
        <f>IF(Z238=1,", "&amp;Z$1,"")</f>
        <v/>
      </c>
      <c r="AY238">
        <f>IF(AA238=1,", "&amp;AA$1,"")</f>
        <v/>
      </c>
      <c r="AZ238">
        <f>MID($AB238&amp;$AC238&amp;$AD238&amp;$AE238&amp;$AF238&amp;$AG238&amp;$AH238&amp;$AI238&amp;$AJ238&amp;$AK238&amp;$AL238&amp;$AM238&amp;$AN238&amp;$AO238&amp;$AP238&amp;$AQ238&amp;$AR238&amp;$AS238&amp;$AT238&amp;$AU238&amp;$AV238&amp;$AW238&amp;$AX238&amp;$AY238,3,32767)</f>
        <v/>
      </c>
      <c r="BA238">
        <f>COUNT($D238:$AA238)</f>
        <v/>
      </c>
    </row>
    <row r="239">
      <c r="A239" t="n">
        <v>5</v>
      </c>
      <c r="B239" t="inlineStr">
        <is>
          <t>Summon Draconic Spirit</t>
        </is>
      </c>
      <c r="C239" t="inlineStr">
        <is>
          <t>Conjuration</t>
        </is>
      </c>
      <c r="D239">
        <f>IF(Wizards!$A$2="","",IF(OR(ISNUMBER(SEARCH(", "&amp;$B239&amp;", ", ", "&amp;INDEX('Form Responses'!$I$1:$Q$200,2,$A239)&amp;", ")),ISNUMBER(SEARCH(", "&amp;$B239&amp;", ", ", "&amp;INDEX('Form Responses'!$R$1:$R$200,2)&amp;", "))),1,""))</f>
        <v/>
      </c>
      <c r="E239">
        <f>IF(Wizards!$A$3="","",IF(OR(ISNUMBER(SEARCH(", "&amp;$B239&amp;", ", ", "&amp;INDEX('Form Responses'!$I$1:$Q$200,3,$A239)&amp;", ")),ISNUMBER(SEARCH(", "&amp;$B239&amp;", ", ", "&amp;INDEX('Form Responses'!$R$1:$R$200,3)&amp;", "))),1,""))</f>
        <v/>
      </c>
      <c r="F239">
        <f>IF(Wizards!$A$4="","",IF(OR(ISNUMBER(SEARCH(", "&amp;$B239&amp;", ", ", "&amp;INDEX('Form Responses'!$I$1:$Q$200,4,$A239)&amp;", ")),ISNUMBER(SEARCH(", "&amp;$B239&amp;", ", ", "&amp;INDEX('Form Responses'!$R$1:$R$200,4)&amp;", "))),1,""))</f>
        <v/>
      </c>
      <c r="G239">
        <f>IF(Wizards!$A$5="","",IF(OR(ISNUMBER(SEARCH(", "&amp;$B239&amp;", ", ", "&amp;INDEX('Form Responses'!$I$1:$Q$200,5,$A239)&amp;", ")),ISNUMBER(SEARCH(", "&amp;$B239&amp;", ", ", "&amp;INDEX('Form Responses'!$R$1:$R$200,5)&amp;", "))),1,""))</f>
        <v/>
      </c>
      <c r="H239">
        <f>IF(Wizards!$A$6="","",IF(OR(ISNUMBER(SEARCH(", "&amp;$B239&amp;", ", ", "&amp;INDEX('Form Responses'!$I$1:$Q$200,6,$A239)&amp;", ")),ISNUMBER(SEARCH(", "&amp;$B239&amp;", ", ", "&amp;INDEX('Form Responses'!$R$1:$R$200,6)&amp;", "))),1,""))</f>
        <v/>
      </c>
      <c r="I239">
        <f>IF(Wizards!$A$7="","",IF(OR(ISNUMBER(SEARCH(", "&amp;$B239&amp;", ", ", "&amp;INDEX('Form Responses'!$I$1:$Q$200,7,$A239)&amp;", ")),ISNUMBER(SEARCH(", "&amp;$B239&amp;", ", ", "&amp;INDEX('Form Responses'!$R$1:$R$200,7)&amp;", "))),1,""))</f>
        <v/>
      </c>
      <c r="J239">
        <f>IF(Wizards!$A$8="","",IF(OR(ISNUMBER(SEARCH(", "&amp;$B239&amp;", ", ", "&amp;INDEX('Form Responses'!$I$1:$Q$200,8,$A239)&amp;", ")),ISNUMBER(SEARCH(", "&amp;$B239&amp;", ", ", "&amp;INDEX('Form Responses'!$R$1:$R$200,8)&amp;", "))),1,""))</f>
        <v/>
      </c>
      <c r="K239">
        <f>IF(Wizards!$A$9="","",IF(OR(ISNUMBER(SEARCH(", "&amp;$B239&amp;", ", ", "&amp;INDEX('Form Responses'!$I$1:$Q$200,9,$A239)&amp;", ")),ISNUMBER(SEARCH(", "&amp;$B239&amp;", ", ", "&amp;INDEX('Form Responses'!$R$1:$R$200,9)&amp;", "))),1,""))</f>
        <v/>
      </c>
      <c r="L239">
        <f>IF(Wizards!$A$10="","",IF(OR(ISNUMBER(SEARCH(", "&amp;$B239&amp;", ", ", "&amp;INDEX('Form Responses'!$I$1:$Q$200,10,$A239)&amp;", ")),ISNUMBER(SEARCH(", "&amp;$B239&amp;", ", ", "&amp;INDEX('Form Responses'!$R$1:$R$200,10)&amp;", "))),1,""))</f>
        <v/>
      </c>
      <c r="M239">
        <f>IF(Wizards!$A$11="","",IF(OR(ISNUMBER(SEARCH(", "&amp;$B239&amp;", ", ", "&amp;INDEX('Form Responses'!$I$1:$Q$200,11,$A239)&amp;", ")),ISNUMBER(SEARCH(", "&amp;$B239&amp;", ", ", "&amp;INDEX('Form Responses'!$R$1:$R$200,11)&amp;", "))),1,""))</f>
        <v/>
      </c>
      <c r="N239">
        <f>IF(Wizards!$A$12="","",IF(OR(ISNUMBER(SEARCH(", "&amp;$B239&amp;", ", ", "&amp;INDEX('Form Responses'!$I$1:$Q$200,12,$A239)&amp;", ")),ISNUMBER(SEARCH(", "&amp;$B239&amp;", ", ", "&amp;INDEX('Form Responses'!$R$1:$R$200,12)&amp;", "))),1,""))</f>
        <v/>
      </c>
      <c r="O239">
        <f>IF(Wizards!$A$13="","",IF(OR(ISNUMBER(SEARCH(", "&amp;$B239&amp;", ", ", "&amp;INDEX('Form Responses'!$I$1:$Q$200,13,$A239)&amp;", ")),ISNUMBER(SEARCH(", "&amp;$B239&amp;", ", ", "&amp;INDEX('Form Responses'!$R$1:$R$200,13)&amp;", "))),1,""))</f>
        <v/>
      </c>
      <c r="P239">
        <f>IF(Wizards!$A$14="","",IF(OR(ISNUMBER(SEARCH(", "&amp;$B239&amp;", ", ", "&amp;INDEX('Form Responses'!$I$1:$Q$200,14,$A239)&amp;", ")),ISNUMBER(SEARCH(", "&amp;$B239&amp;", ", ", "&amp;INDEX('Form Responses'!$R$1:$R$200,14)&amp;", "))),1,""))</f>
        <v/>
      </c>
      <c r="Q239">
        <f>IF(Wizards!$A$15="","",IF(OR(ISNUMBER(SEARCH(", "&amp;$B239&amp;", ", ", "&amp;INDEX('Form Responses'!$I$1:$Q$200,15,$A239)&amp;", ")),ISNUMBER(SEARCH(", "&amp;$B239&amp;", ", ", "&amp;INDEX('Form Responses'!$R$1:$R$200,15)&amp;", "))),1,""))</f>
        <v/>
      </c>
      <c r="R239">
        <f>IF(Wizards!$A$16="","",IF(OR(ISNUMBER(SEARCH(", "&amp;$B239&amp;", ", ", "&amp;INDEX('Form Responses'!$I$1:$Q$200,16,$A239)&amp;", ")),ISNUMBER(SEARCH(", "&amp;$B239&amp;", ", ", "&amp;INDEX('Form Responses'!$R$1:$R$200,16)&amp;", "))),1,""))</f>
        <v/>
      </c>
      <c r="S239">
        <f>IF(Wizards!$A$17="","",IF(OR(ISNUMBER(SEARCH(", "&amp;$B239&amp;", ", ", "&amp;INDEX('Form Responses'!$I$1:$Q$200,17,$A239)&amp;", ")),ISNUMBER(SEARCH(", "&amp;$B239&amp;", ", ", "&amp;INDEX('Form Responses'!$R$1:$R$200,17)&amp;", "))),1,""))</f>
        <v/>
      </c>
      <c r="T239">
        <f>IF(Wizards!$A$18="","",IF(OR(ISNUMBER(SEARCH(", "&amp;$B239&amp;", ", ", "&amp;INDEX('Form Responses'!$I$1:$Q$200,18,$A239)&amp;", ")),ISNUMBER(SEARCH(", "&amp;$B239&amp;", ", ", "&amp;INDEX('Form Responses'!$R$1:$R$200,18)&amp;", "))),1,""))</f>
        <v/>
      </c>
      <c r="U239">
        <f>IF(Wizards!$A$19="","",IF(OR(ISNUMBER(SEARCH(", "&amp;$B239&amp;", ", ", "&amp;INDEX('Form Responses'!$I$1:$Q$200,19,$A239)&amp;", ")),ISNUMBER(SEARCH(", "&amp;$B239&amp;", ", ", "&amp;INDEX('Form Responses'!$R$1:$R$200,19)&amp;", "))),1,""))</f>
        <v/>
      </c>
      <c r="V239">
        <f>IF(Wizards!$A$20="","",IF(OR(ISNUMBER(SEARCH(", "&amp;$B239&amp;", ", ", "&amp;INDEX('Form Responses'!$I$1:$Q$200,20,$A239)&amp;", ")),ISNUMBER(SEARCH(", "&amp;$B239&amp;", ", ", "&amp;INDEX('Form Responses'!$R$1:$R$200,20)&amp;", "))),1,""))</f>
        <v/>
      </c>
      <c r="W239">
        <f>IF(Wizards!$A$21="","",IF(OR(ISNUMBER(SEARCH(", "&amp;$B239&amp;", ", ", "&amp;INDEX('Form Responses'!$I$1:$Q$200,21,$A239)&amp;", ")),ISNUMBER(SEARCH(", "&amp;$B239&amp;", ", ", "&amp;INDEX('Form Responses'!$R$1:$R$200,21)&amp;", "))),1,""))</f>
        <v/>
      </c>
      <c r="X239">
        <f>IF(Wizards!$A$22="","",IF(OR(ISNUMBER(SEARCH(", "&amp;$B239&amp;", ", ", "&amp;INDEX('Form Responses'!$I$1:$Q$200,22,$A239)&amp;", ")),ISNUMBER(SEARCH(", "&amp;$B239&amp;", ", ", "&amp;INDEX('Form Responses'!$R$1:$R$200,22)&amp;", "))),1,""))</f>
        <v/>
      </c>
      <c r="Y239">
        <f>IF(Wizards!$A$23="","",IF(OR(ISNUMBER(SEARCH(", "&amp;$B239&amp;", ", ", "&amp;INDEX('Form Responses'!$I$1:$Q$200,23,$A239)&amp;", ")),ISNUMBER(SEARCH(", "&amp;$B239&amp;", ", ", "&amp;INDEX('Form Responses'!$R$1:$R$200,23)&amp;", "))),1,""))</f>
        <v/>
      </c>
      <c r="Z239">
        <f>IF(Wizards!$A$24="","",IF(OR(ISNUMBER(SEARCH(", "&amp;$B239&amp;", ", ", "&amp;INDEX('Form Responses'!$I$1:$Q$200,24,$A239)&amp;", ")),ISNUMBER(SEARCH(", "&amp;$B239&amp;", ", ", "&amp;INDEX('Form Responses'!$R$1:$R$200,24)&amp;", "))),1,""))</f>
        <v/>
      </c>
      <c r="AA239">
        <f>IF(Wizards!$A$25="","",IF(OR(ISNUMBER(SEARCH(", "&amp;$B239&amp;", ", ", "&amp;INDEX('Form Responses'!$I$1:$Q$200,25,$A239)&amp;", ")),ISNUMBER(SEARCH(", "&amp;$B239&amp;", ", ", "&amp;INDEX('Form Responses'!$R$1:$R$200,25)&amp;", "))),1,""))</f>
        <v/>
      </c>
      <c r="AB239">
        <f>IF(D239=1,", "&amp;D$1,"")</f>
        <v/>
      </c>
      <c r="AC239">
        <f>IF(E239=1,", "&amp;E$1,"")</f>
        <v/>
      </c>
      <c r="AD239">
        <f>IF(F239=1,", "&amp;F$1,"")</f>
        <v/>
      </c>
      <c r="AE239">
        <f>IF(G239=1,", "&amp;G$1,"")</f>
        <v/>
      </c>
      <c r="AF239">
        <f>IF(H239=1,", "&amp;H$1,"")</f>
        <v/>
      </c>
      <c r="AG239">
        <f>IF(I239=1,", "&amp;I$1,"")</f>
        <v/>
      </c>
      <c r="AH239">
        <f>IF(J239=1,", "&amp;J$1,"")</f>
        <v/>
      </c>
      <c r="AI239">
        <f>IF(K239=1,", "&amp;K$1,"")</f>
        <v/>
      </c>
      <c r="AJ239">
        <f>IF(L239=1,", "&amp;L$1,"")</f>
        <v/>
      </c>
      <c r="AK239">
        <f>IF(M239=1,", "&amp;M$1,"")</f>
        <v/>
      </c>
      <c r="AL239">
        <f>IF(N239=1,", "&amp;N$1,"")</f>
        <v/>
      </c>
      <c r="AM239">
        <f>IF(O239=1,", "&amp;O$1,"")</f>
        <v/>
      </c>
      <c r="AN239">
        <f>IF(P239=1,", "&amp;P$1,"")</f>
        <v/>
      </c>
      <c r="AO239">
        <f>IF(Q239=1,", "&amp;Q$1,"")</f>
        <v/>
      </c>
      <c r="AP239">
        <f>IF(R239=1,", "&amp;R$1,"")</f>
        <v/>
      </c>
      <c r="AQ239">
        <f>IF(S239=1,", "&amp;S$1,"")</f>
        <v/>
      </c>
      <c r="AR239">
        <f>IF(T239=1,", "&amp;T$1,"")</f>
        <v/>
      </c>
      <c r="AS239">
        <f>IF(U239=1,", "&amp;U$1,"")</f>
        <v/>
      </c>
      <c r="AT239">
        <f>IF(V239=1,", "&amp;V$1,"")</f>
        <v/>
      </c>
      <c r="AU239">
        <f>IF(W239=1,", "&amp;W$1,"")</f>
        <v/>
      </c>
      <c r="AV239">
        <f>IF(X239=1,", "&amp;X$1,"")</f>
        <v/>
      </c>
      <c r="AW239">
        <f>IF(Y239=1,", "&amp;Y$1,"")</f>
        <v/>
      </c>
      <c r="AX239">
        <f>IF(Z239=1,", "&amp;Z$1,"")</f>
        <v/>
      </c>
      <c r="AY239">
        <f>IF(AA239=1,", "&amp;AA$1,"")</f>
        <v/>
      </c>
      <c r="AZ239">
        <f>MID($AB239&amp;$AC239&amp;$AD239&amp;$AE239&amp;$AF239&amp;$AG239&amp;$AH239&amp;$AI239&amp;$AJ239&amp;$AK239&amp;$AL239&amp;$AM239&amp;$AN239&amp;$AO239&amp;$AP239&amp;$AQ239&amp;$AR239&amp;$AS239&amp;$AT239&amp;$AU239&amp;$AV239&amp;$AW239&amp;$AX239&amp;$AY239,3,32767)</f>
        <v/>
      </c>
      <c r="BA239">
        <f>COUNT($D239:$AA239)</f>
        <v/>
      </c>
    </row>
    <row r="240">
      <c r="A240" t="n">
        <v>5</v>
      </c>
      <c r="B240" t="inlineStr">
        <is>
          <t>Summon Dragon</t>
        </is>
      </c>
      <c r="C240" t="inlineStr">
        <is>
          <t>Conjuration</t>
        </is>
      </c>
      <c r="D240">
        <f>IF(Wizards!$A$2="","",IF(OR(ISNUMBER(SEARCH(", "&amp;$B240&amp;", ", ", "&amp;INDEX('Form Responses'!$I$1:$Q$200,2,$A240)&amp;", ")),ISNUMBER(SEARCH(", "&amp;$B240&amp;", ", ", "&amp;INDEX('Form Responses'!$R$1:$R$200,2)&amp;", "))),1,""))</f>
        <v/>
      </c>
      <c r="E240">
        <f>IF(Wizards!$A$3="","",IF(OR(ISNUMBER(SEARCH(", "&amp;$B240&amp;", ", ", "&amp;INDEX('Form Responses'!$I$1:$Q$200,3,$A240)&amp;", ")),ISNUMBER(SEARCH(", "&amp;$B240&amp;", ", ", "&amp;INDEX('Form Responses'!$R$1:$R$200,3)&amp;", "))),1,""))</f>
        <v/>
      </c>
      <c r="F240">
        <f>IF(Wizards!$A$4="","",IF(OR(ISNUMBER(SEARCH(", "&amp;$B240&amp;", ", ", "&amp;INDEX('Form Responses'!$I$1:$Q$200,4,$A240)&amp;", ")),ISNUMBER(SEARCH(", "&amp;$B240&amp;", ", ", "&amp;INDEX('Form Responses'!$R$1:$R$200,4)&amp;", "))),1,""))</f>
        <v/>
      </c>
      <c r="G240">
        <f>IF(Wizards!$A$5="","",IF(OR(ISNUMBER(SEARCH(", "&amp;$B240&amp;", ", ", "&amp;INDEX('Form Responses'!$I$1:$Q$200,5,$A240)&amp;", ")),ISNUMBER(SEARCH(", "&amp;$B240&amp;", ", ", "&amp;INDEX('Form Responses'!$R$1:$R$200,5)&amp;", "))),1,""))</f>
        <v/>
      </c>
      <c r="H240">
        <f>IF(Wizards!$A$6="","",IF(OR(ISNUMBER(SEARCH(", "&amp;$B240&amp;", ", ", "&amp;INDEX('Form Responses'!$I$1:$Q$200,6,$A240)&amp;", ")),ISNUMBER(SEARCH(", "&amp;$B240&amp;", ", ", "&amp;INDEX('Form Responses'!$R$1:$R$200,6)&amp;", "))),1,""))</f>
        <v/>
      </c>
      <c r="I240">
        <f>IF(Wizards!$A$7="","",IF(OR(ISNUMBER(SEARCH(", "&amp;$B240&amp;", ", ", "&amp;INDEX('Form Responses'!$I$1:$Q$200,7,$A240)&amp;", ")),ISNUMBER(SEARCH(", "&amp;$B240&amp;", ", ", "&amp;INDEX('Form Responses'!$R$1:$R$200,7)&amp;", "))),1,""))</f>
        <v/>
      </c>
      <c r="J240">
        <f>IF(Wizards!$A$8="","",IF(OR(ISNUMBER(SEARCH(", "&amp;$B240&amp;", ", ", "&amp;INDEX('Form Responses'!$I$1:$Q$200,8,$A240)&amp;", ")),ISNUMBER(SEARCH(", "&amp;$B240&amp;", ", ", "&amp;INDEX('Form Responses'!$R$1:$R$200,8)&amp;", "))),1,""))</f>
        <v/>
      </c>
      <c r="K240">
        <f>IF(Wizards!$A$9="","",IF(OR(ISNUMBER(SEARCH(", "&amp;$B240&amp;", ", ", "&amp;INDEX('Form Responses'!$I$1:$Q$200,9,$A240)&amp;", ")),ISNUMBER(SEARCH(", "&amp;$B240&amp;", ", ", "&amp;INDEX('Form Responses'!$R$1:$R$200,9)&amp;", "))),1,""))</f>
        <v/>
      </c>
      <c r="L240">
        <f>IF(Wizards!$A$10="","",IF(OR(ISNUMBER(SEARCH(", "&amp;$B240&amp;", ", ", "&amp;INDEX('Form Responses'!$I$1:$Q$200,10,$A240)&amp;", ")),ISNUMBER(SEARCH(", "&amp;$B240&amp;", ", ", "&amp;INDEX('Form Responses'!$R$1:$R$200,10)&amp;", "))),1,""))</f>
        <v/>
      </c>
      <c r="M240">
        <f>IF(Wizards!$A$11="","",IF(OR(ISNUMBER(SEARCH(", "&amp;$B240&amp;", ", ", "&amp;INDEX('Form Responses'!$I$1:$Q$200,11,$A240)&amp;", ")),ISNUMBER(SEARCH(", "&amp;$B240&amp;", ", ", "&amp;INDEX('Form Responses'!$R$1:$R$200,11)&amp;", "))),1,""))</f>
        <v/>
      </c>
      <c r="N240">
        <f>IF(Wizards!$A$12="","",IF(OR(ISNUMBER(SEARCH(", "&amp;$B240&amp;", ", ", "&amp;INDEX('Form Responses'!$I$1:$Q$200,12,$A240)&amp;", ")),ISNUMBER(SEARCH(", "&amp;$B240&amp;", ", ", "&amp;INDEX('Form Responses'!$R$1:$R$200,12)&amp;", "))),1,""))</f>
        <v/>
      </c>
      <c r="O240">
        <f>IF(Wizards!$A$13="","",IF(OR(ISNUMBER(SEARCH(", "&amp;$B240&amp;", ", ", "&amp;INDEX('Form Responses'!$I$1:$Q$200,13,$A240)&amp;", ")),ISNUMBER(SEARCH(", "&amp;$B240&amp;", ", ", "&amp;INDEX('Form Responses'!$R$1:$R$200,13)&amp;", "))),1,""))</f>
        <v/>
      </c>
      <c r="P240">
        <f>IF(Wizards!$A$14="","",IF(OR(ISNUMBER(SEARCH(", "&amp;$B240&amp;", ", ", "&amp;INDEX('Form Responses'!$I$1:$Q$200,14,$A240)&amp;", ")),ISNUMBER(SEARCH(", "&amp;$B240&amp;", ", ", "&amp;INDEX('Form Responses'!$R$1:$R$200,14)&amp;", "))),1,""))</f>
        <v/>
      </c>
      <c r="Q240">
        <f>IF(Wizards!$A$15="","",IF(OR(ISNUMBER(SEARCH(", "&amp;$B240&amp;", ", ", "&amp;INDEX('Form Responses'!$I$1:$Q$200,15,$A240)&amp;", ")),ISNUMBER(SEARCH(", "&amp;$B240&amp;", ", ", "&amp;INDEX('Form Responses'!$R$1:$R$200,15)&amp;", "))),1,""))</f>
        <v/>
      </c>
      <c r="R240">
        <f>IF(Wizards!$A$16="","",IF(OR(ISNUMBER(SEARCH(", "&amp;$B240&amp;", ", ", "&amp;INDEX('Form Responses'!$I$1:$Q$200,16,$A240)&amp;", ")),ISNUMBER(SEARCH(", "&amp;$B240&amp;", ", ", "&amp;INDEX('Form Responses'!$R$1:$R$200,16)&amp;", "))),1,""))</f>
        <v/>
      </c>
      <c r="S240">
        <f>IF(Wizards!$A$17="","",IF(OR(ISNUMBER(SEARCH(", "&amp;$B240&amp;", ", ", "&amp;INDEX('Form Responses'!$I$1:$Q$200,17,$A240)&amp;", ")),ISNUMBER(SEARCH(", "&amp;$B240&amp;", ", ", "&amp;INDEX('Form Responses'!$R$1:$R$200,17)&amp;", "))),1,""))</f>
        <v/>
      </c>
      <c r="T240">
        <f>IF(Wizards!$A$18="","",IF(OR(ISNUMBER(SEARCH(", "&amp;$B240&amp;", ", ", "&amp;INDEX('Form Responses'!$I$1:$Q$200,18,$A240)&amp;", ")),ISNUMBER(SEARCH(", "&amp;$B240&amp;", ", ", "&amp;INDEX('Form Responses'!$R$1:$R$200,18)&amp;", "))),1,""))</f>
        <v/>
      </c>
      <c r="U240">
        <f>IF(Wizards!$A$19="","",IF(OR(ISNUMBER(SEARCH(", "&amp;$B240&amp;", ", ", "&amp;INDEX('Form Responses'!$I$1:$Q$200,19,$A240)&amp;", ")),ISNUMBER(SEARCH(", "&amp;$B240&amp;", ", ", "&amp;INDEX('Form Responses'!$R$1:$R$200,19)&amp;", "))),1,""))</f>
        <v/>
      </c>
      <c r="V240">
        <f>IF(Wizards!$A$20="","",IF(OR(ISNUMBER(SEARCH(", "&amp;$B240&amp;", ", ", "&amp;INDEX('Form Responses'!$I$1:$Q$200,20,$A240)&amp;", ")),ISNUMBER(SEARCH(", "&amp;$B240&amp;", ", ", "&amp;INDEX('Form Responses'!$R$1:$R$200,20)&amp;", "))),1,""))</f>
        <v/>
      </c>
      <c r="W240">
        <f>IF(Wizards!$A$21="","",IF(OR(ISNUMBER(SEARCH(", "&amp;$B240&amp;", ", ", "&amp;INDEX('Form Responses'!$I$1:$Q$200,21,$A240)&amp;", ")),ISNUMBER(SEARCH(", "&amp;$B240&amp;", ", ", "&amp;INDEX('Form Responses'!$R$1:$R$200,21)&amp;", "))),1,""))</f>
        <v/>
      </c>
      <c r="X240">
        <f>IF(Wizards!$A$22="","",IF(OR(ISNUMBER(SEARCH(", "&amp;$B240&amp;", ", ", "&amp;INDEX('Form Responses'!$I$1:$Q$200,22,$A240)&amp;", ")),ISNUMBER(SEARCH(", "&amp;$B240&amp;", ", ", "&amp;INDEX('Form Responses'!$R$1:$R$200,22)&amp;", "))),1,""))</f>
        <v/>
      </c>
      <c r="Y240">
        <f>IF(Wizards!$A$23="","",IF(OR(ISNUMBER(SEARCH(", "&amp;$B240&amp;", ", ", "&amp;INDEX('Form Responses'!$I$1:$Q$200,23,$A240)&amp;", ")),ISNUMBER(SEARCH(", "&amp;$B240&amp;", ", ", "&amp;INDEX('Form Responses'!$R$1:$R$200,23)&amp;", "))),1,""))</f>
        <v/>
      </c>
      <c r="Z240">
        <f>IF(Wizards!$A$24="","",IF(OR(ISNUMBER(SEARCH(", "&amp;$B240&amp;", ", ", "&amp;INDEX('Form Responses'!$I$1:$Q$200,24,$A240)&amp;", ")),ISNUMBER(SEARCH(", "&amp;$B240&amp;", ", ", "&amp;INDEX('Form Responses'!$R$1:$R$200,24)&amp;", "))),1,""))</f>
        <v/>
      </c>
      <c r="AA240">
        <f>IF(Wizards!$A$25="","",IF(OR(ISNUMBER(SEARCH(", "&amp;$B240&amp;", ", ", "&amp;INDEX('Form Responses'!$I$1:$Q$200,25,$A240)&amp;", ")),ISNUMBER(SEARCH(", "&amp;$B240&amp;", ", ", "&amp;INDEX('Form Responses'!$R$1:$R$200,25)&amp;", "))),1,""))</f>
        <v/>
      </c>
      <c r="AB240">
        <f>IF(D240=1,", "&amp;D$1,"")</f>
        <v/>
      </c>
      <c r="AC240">
        <f>IF(E240=1,", "&amp;E$1,"")</f>
        <v/>
      </c>
      <c r="AD240">
        <f>IF(F240=1,", "&amp;F$1,"")</f>
        <v/>
      </c>
      <c r="AE240">
        <f>IF(G240=1,", "&amp;G$1,"")</f>
        <v/>
      </c>
      <c r="AF240">
        <f>IF(H240=1,", "&amp;H$1,"")</f>
        <v/>
      </c>
      <c r="AG240">
        <f>IF(I240=1,", "&amp;I$1,"")</f>
        <v/>
      </c>
      <c r="AH240">
        <f>IF(J240=1,", "&amp;J$1,"")</f>
        <v/>
      </c>
      <c r="AI240">
        <f>IF(K240=1,", "&amp;K$1,"")</f>
        <v/>
      </c>
      <c r="AJ240">
        <f>IF(L240=1,", "&amp;L$1,"")</f>
        <v/>
      </c>
      <c r="AK240">
        <f>IF(M240=1,", "&amp;M$1,"")</f>
        <v/>
      </c>
      <c r="AL240">
        <f>IF(N240=1,", "&amp;N$1,"")</f>
        <v/>
      </c>
      <c r="AM240">
        <f>IF(O240=1,", "&amp;O$1,"")</f>
        <v/>
      </c>
      <c r="AN240">
        <f>IF(P240=1,", "&amp;P$1,"")</f>
        <v/>
      </c>
      <c r="AO240">
        <f>IF(Q240=1,", "&amp;Q$1,"")</f>
        <v/>
      </c>
      <c r="AP240">
        <f>IF(R240=1,", "&amp;R$1,"")</f>
        <v/>
      </c>
      <c r="AQ240">
        <f>IF(S240=1,", "&amp;S$1,"")</f>
        <v/>
      </c>
      <c r="AR240">
        <f>IF(T240=1,", "&amp;T$1,"")</f>
        <v/>
      </c>
      <c r="AS240">
        <f>IF(U240=1,", "&amp;U$1,"")</f>
        <v/>
      </c>
      <c r="AT240">
        <f>IF(V240=1,", "&amp;V$1,"")</f>
        <v/>
      </c>
      <c r="AU240">
        <f>IF(W240=1,", "&amp;W$1,"")</f>
        <v/>
      </c>
      <c r="AV240">
        <f>IF(X240=1,", "&amp;X$1,"")</f>
        <v/>
      </c>
      <c r="AW240">
        <f>IF(Y240=1,", "&amp;Y$1,"")</f>
        <v/>
      </c>
      <c r="AX240">
        <f>IF(Z240=1,", "&amp;Z$1,"")</f>
        <v/>
      </c>
      <c r="AY240">
        <f>IF(AA240=1,", "&amp;AA$1,"")</f>
        <v/>
      </c>
      <c r="AZ240">
        <f>MID($AB240&amp;$AC240&amp;$AD240&amp;$AE240&amp;$AF240&amp;$AG240&amp;$AH240&amp;$AI240&amp;$AJ240&amp;$AK240&amp;$AL240&amp;$AM240&amp;$AN240&amp;$AO240&amp;$AP240&amp;$AQ240&amp;$AR240&amp;$AS240&amp;$AT240&amp;$AU240&amp;$AV240&amp;$AW240&amp;$AX240&amp;$AY240,3,32767)</f>
        <v/>
      </c>
      <c r="BA240">
        <f>COUNT($D240:$AA240)</f>
        <v/>
      </c>
    </row>
    <row r="241">
      <c r="A241" t="n">
        <v>5</v>
      </c>
      <c r="B241" t="inlineStr">
        <is>
          <t>Synaptic Static</t>
        </is>
      </c>
      <c r="C241" t="inlineStr">
        <is>
          <t>Enchantment</t>
        </is>
      </c>
      <c r="D241">
        <f>IF(Wizards!$A$2="","",IF(OR(ISNUMBER(SEARCH(", "&amp;$B241&amp;", ", ", "&amp;INDEX('Form Responses'!$I$1:$Q$200,2,$A241)&amp;", ")),ISNUMBER(SEARCH(", "&amp;$B241&amp;", ", ", "&amp;INDEX('Form Responses'!$R$1:$R$200,2)&amp;", "))),1,""))</f>
        <v/>
      </c>
      <c r="E241">
        <f>IF(Wizards!$A$3="","",IF(OR(ISNUMBER(SEARCH(", "&amp;$B241&amp;", ", ", "&amp;INDEX('Form Responses'!$I$1:$Q$200,3,$A241)&amp;", ")),ISNUMBER(SEARCH(", "&amp;$B241&amp;", ", ", "&amp;INDEX('Form Responses'!$R$1:$R$200,3)&amp;", "))),1,""))</f>
        <v/>
      </c>
      <c r="F241">
        <f>IF(Wizards!$A$4="","",IF(OR(ISNUMBER(SEARCH(", "&amp;$B241&amp;", ", ", "&amp;INDEX('Form Responses'!$I$1:$Q$200,4,$A241)&amp;", ")),ISNUMBER(SEARCH(", "&amp;$B241&amp;", ", ", "&amp;INDEX('Form Responses'!$R$1:$R$200,4)&amp;", "))),1,""))</f>
        <v/>
      </c>
      <c r="G241">
        <f>IF(Wizards!$A$5="","",IF(OR(ISNUMBER(SEARCH(", "&amp;$B241&amp;", ", ", "&amp;INDEX('Form Responses'!$I$1:$Q$200,5,$A241)&amp;", ")),ISNUMBER(SEARCH(", "&amp;$B241&amp;", ", ", "&amp;INDEX('Form Responses'!$R$1:$R$200,5)&amp;", "))),1,""))</f>
        <v/>
      </c>
      <c r="H241">
        <f>IF(Wizards!$A$6="","",IF(OR(ISNUMBER(SEARCH(", "&amp;$B241&amp;", ", ", "&amp;INDEX('Form Responses'!$I$1:$Q$200,6,$A241)&amp;", ")),ISNUMBER(SEARCH(", "&amp;$B241&amp;", ", ", "&amp;INDEX('Form Responses'!$R$1:$R$200,6)&amp;", "))),1,""))</f>
        <v/>
      </c>
      <c r="I241">
        <f>IF(Wizards!$A$7="","",IF(OR(ISNUMBER(SEARCH(", "&amp;$B241&amp;", ", ", "&amp;INDEX('Form Responses'!$I$1:$Q$200,7,$A241)&amp;", ")),ISNUMBER(SEARCH(", "&amp;$B241&amp;", ", ", "&amp;INDEX('Form Responses'!$R$1:$R$200,7)&amp;", "))),1,""))</f>
        <v/>
      </c>
      <c r="J241">
        <f>IF(Wizards!$A$8="","",IF(OR(ISNUMBER(SEARCH(", "&amp;$B241&amp;", ", ", "&amp;INDEX('Form Responses'!$I$1:$Q$200,8,$A241)&amp;", ")),ISNUMBER(SEARCH(", "&amp;$B241&amp;", ", ", "&amp;INDEX('Form Responses'!$R$1:$R$200,8)&amp;", "))),1,""))</f>
        <v/>
      </c>
      <c r="K241">
        <f>IF(Wizards!$A$9="","",IF(OR(ISNUMBER(SEARCH(", "&amp;$B241&amp;", ", ", "&amp;INDEX('Form Responses'!$I$1:$Q$200,9,$A241)&amp;", ")),ISNUMBER(SEARCH(", "&amp;$B241&amp;", ", ", "&amp;INDEX('Form Responses'!$R$1:$R$200,9)&amp;", "))),1,""))</f>
        <v/>
      </c>
      <c r="L241">
        <f>IF(Wizards!$A$10="","",IF(OR(ISNUMBER(SEARCH(", "&amp;$B241&amp;", ", ", "&amp;INDEX('Form Responses'!$I$1:$Q$200,10,$A241)&amp;", ")),ISNUMBER(SEARCH(", "&amp;$B241&amp;", ", ", "&amp;INDEX('Form Responses'!$R$1:$R$200,10)&amp;", "))),1,""))</f>
        <v/>
      </c>
      <c r="M241">
        <f>IF(Wizards!$A$11="","",IF(OR(ISNUMBER(SEARCH(", "&amp;$B241&amp;", ", ", "&amp;INDEX('Form Responses'!$I$1:$Q$200,11,$A241)&amp;", ")),ISNUMBER(SEARCH(", "&amp;$B241&amp;", ", ", "&amp;INDEX('Form Responses'!$R$1:$R$200,11)&amp;", "))),1,""))</f>
        <v/>
      </c>
      <c r="N241">
        <f>IF(Wizards!$A$12="","",IF(OR(ISNUMBER(SEARCH(", "&amp;$B241&amp;", ", ", "&amp;INDEX('Form Responses'!$I$1:$Q$200,12,$A241)&amp;", ")),ISNUMBER(SEARCH(", "&amp;$B241&amp;", ", ", "&amp;INDEX('Form Responses'!$R$1:$R$200,12)&amp;", "))),1,""))</f>
        <v/>
      </c>
      <c r="O241">
        <f>IF(Wizards!$A$13="","",IF(OR(ISNUMBER(SEARCH(", "&amp;$B241&amp;", ", ", "&amp;INDEX('Form Responses'!$I$1:$Q$200,13,$A241)&amp;", ")),ISNUMBER(SEARCH(", "&amp;$B241&amp;", ", ", "&amp;INDEX('Form Responses'!$R$1:$R$200,13)&amp;", "))),1,""))</f>
        <v/>
      </c>
      <c r="P241">
        <f>IF(Wizards!$A$14="","",IF(OR(ISNUMBER(SEARCH(", "&amp;$B241&amp;", ", ", "&amp;INDEX('Form Responses'!$I$1:$Q$200,14,$A241)&amp;", ")),ISNUMBER(SEARCH(", "&amp;$B241&amp;", ", ", "&amp;INDEX('Form Responses'!$R$1:$R$200,14)&amp;", "))),1,""))</f>
        <v/>
      </c>
      <c r="Q241">
        <f>IF(Wizards!$A$15="","",IF(OR(ISNUMBER(SEARCH(", "&amp;$B241&amp;", ", ", "&amp;INDEX('Form Responses'!$I$1:$Q$200,15,$A241)&amp;", ")),ISNUMBER(SEARCH(", "&amp;$B241&amp;", ", ", "&amp;INDEX('Form Responses'!$R$1:$R$200,15)&amp;", "))),1,""))</f>
        <v/>
      </c>
      <c r="R241">
        <f>IF(Wizards!$A$16="","",IF(OR(ISNUMBER(SEARCH(", "&amp;$B241&amp;", ", ", "&amp;INDEX('Form Responses'!$I$1:$Q$200,16,$A241)&amp;", ")),ISNUMBER(SEARCH(", "&amp;$B241&amp;", ", ", "&amp;INDEX('Form Responses'!$R$1:$R$200,16)&amp;", "))),1,""))</f>
        <v/>
      </c>
      <c r="S241">
        <f>IF(Wizards!$A$17="","",IF(OR(ISNUMBER(SEARCH(", "&amp;$B241&amp;", ", ", "&amp;INDEX('Form Responses'!$I$1:$Q$200,17,$A241)&amp;", ")),ISNUMBER(SEARCH(", "&amp;$B241&amp;", ", ", "&amp;INDEX('Form Responses'!$R$1:$R$200,17)&amp;", "))),1,""))</f>
        <v/>
      </c>
      <c r="T241">
        <f>IF(Wizards!$A$18="","",IF(OR(ISNUMBER(SEARCH(", "&amp;$B241&amp;", ", ", "&amp;INDEX('Form Responses'!$I$1:$Q$200,18,$A241)&amp;", ")),ISNUMBER(SEARCH(", "&amp;$B241&amp;", ", ", "&amp;INDEX('Form Responses'!$R$1:$R$200,18)&amp;", "))),1,""))</f>
        <v/>
      </c>
      <c r="U241">
        <f>IF(Wizards!$A$19="","",IF(OR(ISNUMBER(SEARCH(", "&amp;$B241&amp;", ", ", "&amp;INDEX('Form Responses'!$I$1:$Q$200,19,$A241)&amp;", ")),ISNUMBER(SEARCH(", "&amp;$B241&amp;", ", ", "&amp;INDEX('Form Responses'!$R$1:$R$200,19)&amp;", "))),1,""))</f>
        <v/>
      </c>
      <c r="V241">
        <f>IF(Wizards!$A$20="","",IF(OR(ISNUMBER(SEARCH(", "&amp;$B241&amp;", ", ", "&amp;INDEX('Form Responses'!$I$1:$Q$200,20,$A241)&amp;", ")),ISNUMBER(SEARCH(", "&amp;$B241&amp;", ", ", "&amp;INDEX('Form Responses'!$R$1:$R$200,20)&amp;", "))),1,""))</f>
        <v/>
      </c>
      <c r="W241">
        <f>IF(Wizards!$A$21="","",IF(OR(ISNUMBER(SEARCH(", "&amp;$B241&amp;", ", ", "&amp;INDEX('Form Responses'!$I$1:$Q$200,21,$A241)&amp;", ")),ISNUMBER(SEARCH(", "&amp;$B241&amp;", ", ", "&amp;INDEX('Form Responses'!$R$1:$R$200,21)&amp;", "))),1,""))</f>
        <v/>
      </c>
      <c r="X241">
        <f>IF(Wizards!$A$22="","",IF(OR(ISNUMBER(SEARCH(", "&amp;$B241&amp;", ", ", "&amp;INDEX('Form Responses'!$I$1:$Q$200,22,$A241)&amp;", ")),ISNUMBER(SEARCH(", "&amp;$B241&amp;", ", ", "&amp;INDEX('Form Responses'!$R$1:$R$200,22)&amp;", "))),1,""))</f>
        <v/>
      </c>
      <c r="Y241">
        <f>IF(Wizards!$A$23="","",IF(OR(ISNUMBER(SEARCH(", "&amp;$B241&amp;", ", ", "&amp;INDEX('Form Responses'!$I$1:$Q$200,23,$A241)&amp;", ")),ISNUMBER(SEARCH(", "&amp;$B241&amp;", ", ", "&amp;INDEX('Form Responses'!$R$1:$R$200,23)&amp;", "))),1,""))</f>
        <v/>
      </c>
      <c r="Z241">
        <f>IF(Wizards!$A$24="","",IF(OR(ISNUMBER(SEARCH(", "&amp;$B241&amp;", ", ", "&amp;INDEX('Form Responses'!$I$1:$Q$200,24,$A241)&amp;", ")),ISNUMBER(SEARCH(", "&amp;$B241&amp;", ", ", "&amp;INDEX('Form Responses'!$R$1:$R$200,24)&amp;", "))),1,""))</f>
        <v/>
      </c>
      <c r="AA241">
        <f>IF(Wizards!$A$25="","",IF(OR(ISNUMBER(SEARCH(", "&amp;$B241&amp;", ", ", "&amp;INDEX('Form Responses'!$I$1:$Q$200,25,$A241)&amp;", ")),ISNUMBER(SEARCH(", "&amp;$B241&amp;", ", ", "&amp;INDEX('Form Responses'!$R$1:$R$200,25)&amp;", "))),1,""))</f>
        <v/>
      </c>
      <c r="AB241">
        <f>IF(D241=1,", "&amp;D$1,"")</f>
        <v/>
      </c>
      <c r="AC241">
        <f>IF(E241=1,", "&amp;E$1,"")</f>
        <v/>
      </c>
      <c r="AD241">
        <f>IF(F241=1,", "&amp;F$1,"")</f>
        <v/>
      </c>
      <c r="AE241">
        <f>IF(G241=1,", "&amp;G$1,"")</f>
        <v/>
      </c>
      <c r="AF241">
        <f>IF(H241=1,", "&amp;H$1,"")</f>
        <v/>
      </c>
      <c r="AG241">
        <f>IF(I241=1,", "&amp;I$1,"")</f>
        <v/>
      </c>
      <c r="AH241">
        <f>IF(J241=1,", "&amp;J$1,"")</f>
        <v/>
      </c>
      <c r="AI241">
        <f>IF(K241=1,", "&amp;K$1,"")</f>
        <v/>
      </c>
      <c r="AJ241">
        <f>IF(L241=1,", "&amp;L$1,"")</f>
        <v/>
      </c>
      <c r="AK241">
        <f>IF(M241=1,", "&amp;M$1,"")</f>
        <v/>
      </c>
      <c r="AL241">
        <f>IF(N241=1,", "&amp;N$1,"")</f>
        <v/>
      </c>
      <c r="AM241">
        <f>IF(O241=1,", "&amp;O$1,"")</f>
        <v/>
      </c>
      <c r="AN241">
        <f>IF(P241=1,", "&amp;P$1,"")</f>
        <v/>
      </c>
      <c r="AO241">
        <f>IF(Q241=1,", "&amp;Q$1,"")</f>
        <v/>
      </c>
      <c r="AP241">
        <f>IF(R241=1,", "&amp;R$1,"")</f>
        <v/>
      </c>
      <c r="AQ241">
        <f>IF(S241=1,", "&amp;S$1,"")</f>
        <v/>
      </c>
      <c r="AR241">
        <f>IF(T241=1,", "&amp;T$1,"")</f>
        <v/>
      </c>
      <c r="AS241">
        <f>IF(U241=1,", "&amp;U$1,"")</f>
        <v/>
      </c>
      <c r="AT241">
        <f>IF(V241=1,", "&amp;V$1,"")</f>
        <v/>
      </c>
      <c r="AU241">
        <f>IF(W241=1,", "&amp;W$1,"")</f>
        <v/>
      </c>
      <c r="AV241">
        <f>IF(X241=1,", "&amp;X$1,"")</f>
        <v/>
      </c>
      <c r="AW241">
        <f>IF(Y241=1,", "&amp;Y$1,"")</f>
        <v/>
      </c>
      <c r="AX241">
        <f>IF(Z241=1,", "&amp;Z$1,"")</f>
        <v/>
      </c>
      <c r="AY241">
        <f>IF(AA241=1,", "&amp;AA$1,"")</f>
        <v/>
      </c>
      <c r="AZ241">
        <f>MID($AB241&amp;$AC241&amp;$AD241&amp;$AE241&amp;$AF241&amp;$AG241&amp;$AH241&amp;$AI241&amp;$AJ241&amp;$AK241&amp;$AL241&amp;$AM241&amp;$AN241&amp;$AO241&amp;$AP241&amp;$AQ241&amp;$AR241&amp;$AS241&amp;$AT241&amp;$AU241&amp;$AV241&amp;$AW241&amp;$AX241&amp;$AY241,3,32767)</f>
        <v/>
      </c>
      <c r="BA241">
        <f>COUNT($D241:$AA241)</f>
        <v/>
      </c>
    </row>
    <row r="242">
      <c r="A242" t="n">
        <v>5</v>
      </c>
      <c r="B242" t="inlineStr">
        <is>
          <t>Telekinesis</t>
        </is>
      </c>
      <c r="C242" t="inlineStr">
        <is>
          <t>Transmutation</t>
        </is>
      </c>
      <c r="D242">
        <f>IF(Wizards!$A$2="","",IF(OR(ISNUMBER(SEARCH(", "&amp;$B242&amp;", ", ", "&amp;INDEX('Form Responses'!$I$1:$Q$200,2,$A242)&amp;", ")),ISNUMBER(SEARCH(", "&amp;$B242&amp;", ", ", "&amp;INDEX('Form Responses'!$R$1:$R$200,2)&amp;", "))),1,""))</f>
        <v/>
      </c>
      <c r="E242">
        <f>IF(Wizards!$A$3="","",IF(OR(ISNUMBER(SEARCH(", "&amp;$B242&amp;", ", ", "&amp;INDEX('Form Responses'!$I$1:$Q$200,3,$A242)&amp;", ")),ISNUMBER(SEARCH(", "&amp;$B242&amp;", ", ", "&amp;INDEX('Form Responses'!$R$1:$R$200,3)&amp;", "))),1,""))</f>
        <v/>
      </c>
      <c r="F242">
        <f>IF(Wizards!$A$4="","",IF(OR(ISNUMBER(SEARCH(", "&amp;$B242&amp;", ", ", "&amp;INDEX('Form Responses'!$I$1:$Q$200,4,$A242)&amp;", ")),ISNUMBER(SEARCH(", "&amp;$B242&amp;", ", ", "&amp;INDEX('Form Responses'!$R$1:$R$200,4)&amp;", "))),1,""))</f>
        <v/>
      </c>
      <c r="G242">
        <f>IF(Wizards!$A$5="","",IF(OR(ISNUMBER(SEARCH(", "&amp;$B242&amp;", ", ", "&amp;INDEX('Form Responses'!$I$1:$Q$200,5,$A242)&amp;", ")),ISNUMBER(SEARCH(", "&amp;$B242&amp;", ", ", "&amp;INDEX('Form Responses'!$R$1:$R$200,5)&amp;", "))),1,""))</f>
        <v/>
      </c>
      <c r="H242">
        <f>IF(Wizards!$A$6="","",IF(OR(ISNUMBER(SEARCH(", "&amp;$B242&amp;", ", ", "&amp;INDEX('Form Responses'!$I$1:$Q$200,6,$A242)&amp;", ")),ISNUMBER(SEARCH(", "&amp;$B242&amp;", ", ", "&amp;INDEX('Form Responses'!$R$1:$R$200,6)&amp;", "))),1,""))</f>
        <v/>
      </c>
      <c r="I242">
        <f>IF(Wizards!$A$7="","",IF(OR(ISNUMBER(SEARCH(", "&amp;$B242&amp;", ", ", "&amp;INDEX('Form Responses'!$I$1:$Q$200,7,$A242)&amp;", ")),ISNUMBER(SEARCH(", "&amp;$B242&amp;", ", ", "&amp;INDEX('Form Responses'!$R$1:$R$200,7)&amp;", "))),1,""))</f>
        <v/>
      </c>
      <c r="J242">
        <f>IF(Wizards!$A$8="","",IF(OR(ISNUMBER(SEARCH(", "&amp;$B242&amp;", ", ", "&amp;INDEX('Form Responses'!$I$1:$Q$200,8,$A242)&amp;", ")),ISNUMBER(SEARCH(", "&amp;$B242&amp;", ", ", "&amp;INDEX('Form Responses'!$R$1:$R$200,8)&amp;", "))),1,""))</f>
        <v/>
      </c>
      <c r="K242">
        <f>IF(Wizards!$A$9="","",IF(OR(ISNUMBER(SEARCH(", "&amp;$B242&amp;", ", ", "&amp;INDEX('Form Responses'!$I$1:$Q$200,9,$A242)&amp;", ")),ISNUMBER(SEARCH(", "&amp;$B242&amp;", ", ", "&amp;INDEX('Form Responses'!$R$1:$R$200,9)&amp;", "))),1,""))</f>
        <v/>
      </c>
      <c r="L242">
        <f>IF(Wizards!$A$10="","",IF(OR(ISNUMBER(SEARCH(", "&amp;$B242&amp;", ", ", "&amp;INDEX('Form Responses'!$I$1:$Q$200,10,$A242)&amp;", ")),ISNUMBER(SEARCH(", "&amp;$B242&amp;", ", ", "&amp;INDEX('Form Responses'!$R$1:$R$200,10)&amp;", "))),1,""))</f>
        <v/>
      </c>
      <c r="M242">
        <f>IF(Wizards!$A$11="","",IF(OR(ISNUMBER(SEARCH(", "&amp;$B242&amp;", ", ", "&amp;INDEX('Form Responses'!$I$1:$Q$200,11,$A242)&amp;", ")),ISNUMBER(SEARCH(", "&amp;$B242&amp;", ", ", "&amp;INDEX('Form Responses'!$R$1:$R$200,11)&amp;", "))),1,""))</f>
        <v/>
      </c>
      <c r="N242">
        <f>IF(Wizards!$A$12="","",IF(OR(ISNUMBER(SEARCH(", "&amp;$B242&amp;", ", ", "&amp;INDEX('Form Responses'!$I$1:$Q$200,12,$A242)&amp;", ")),ISNUMBER(SEARCH(", "&amp;$B242&amp;", ", ", "&amp;INDEX('Form Responses'!$R$1:$R$200,12)&amp;", "))),1,""))</f>
        <v/>
      </c>
      <c r="O242">
        <f>IF(Wizards!$A$13="","",IF(OR(ISNUMBER(SEARCH(", "&amp;$B242&amp;", ", ", "&amp;INDEX('Form Responses'!$I$1:$Q$200,13,$A242)&amp;", ")),ISNUMBER(SEARCH(", "&amp;$B242&amp;", ", ", "&amp;INDEX('Form Responses'!$R$1:$R$200,13)&amp;", "))),1,""))</f>
        <v/>
      </c>
      <c r="P242">
        <f>IF(Wizards!$A$14="","",IF(OR(ISNUMBER(SEARCH(", "&amp;$B242&amp;", ", ", "&amp;INDEX('Form Responses'!$I$1:$Q$200,14,$A242)&amp;", ")),ISNUMBER(SEARCH(", "&amp;$B242&amp;", ", ", "&amp;INDEX('Form Responses'!$R$1:$R$200,14)&amp;", "))),1,""))</f>
        <v/>
      </c>
      <c r="Q242">
        <f>IF(Wizards!$A$15="","",IF(OR(ISNUMBER(SEARCH(", "&amp;$B242&amp;", ", ", "&amp;INDEX('Form Responses'!$I$1:$Q$200,15,$A242)&amp;", ")),ISNUMBER(SEARCH(", "&amp;$B242&amp;", ", ", "&amp;INDEX('Form Responses'!$R$1:$R$200,15)&amp;", "))),1,""))</f>
        <v/>
      </c>
      <c r="R242">
        <f>IF(Wizards!$A$16="","",IF(OR(ISNUMBER(SEARCH(", "&amp;$B242&amp;", ", ", "&amp;INDEX('Form Responses'!$I$1:$Q$200,16,$A242)&amp;", ")),ISNUMBER(SEARCH(", "&amp;$B242&amp;", ", ", "&amp;INDEX('Form Responses'!$R$1:$R$200,16)&amp;", "))),1,""))</f>
        <v/>
      </c>
      <c r="S242">
        <f>IF(Wizards!$A$17="","",IF(OR(ISNUMBER(SEARCH(", "&amp;$B242&amp;", ", ", "&amp;INDEX('Form Responses'!$I$1:$Q$200,17,$A242)&amp;", ")),ISNUMBER(SEARCH(", "&amp;$B242&amp;", ", ", "&amp;INDEX('Form Responses'!$R$1:$R$200,17)&amp;", "))),1,""))</f>
        <v/>
      </c>
      <c r="T242">
        <f>IF(Wizards!$A$18="","",IF(OR(ISNUMBER(SEARCH(", "&amp;$B242&amp;", ", ", "&amp;INDEX('Form Responses'!$I$1:$Q$200,18,$A242)&amp;", ")),ISNUMBER(SEARCH(", "&amp;$B242&amp;", ", ", "&amp;INDEX('Form Responses'!$R$1:$R$200,18)&amp;", "))),1,""))</f>
        <v/>
      </c>
      <c r="U242">
        <f>IF(Wizards!$A$19="","",IF(OR(ISNUMBER(SEARCH(", "&amp;$B242&amp;", ", ", "&amp;INDEX('Form Responses'!$I$1:$Q$200,19,$A242)&amp;", ")),ISNUMBER(SEARCH(", "&amp;$B242&amp;", ", ", "&amp;INDEX('Form Responses'!$R$1:$R$200,19)&amp;", "))),1,""))</f>
        <v/>
      </c>
      <c r="V242">
        <f>IF(Wizards!$A$20="","",IF(OR(ISNUMBER(SEARCH(", "&amp;$B242&amp;", ", ", "&amp;INDEX('Form Responses'!$I$1:$Q$200,20,$A242)&amp;", ")),ISNUMBER(SEARCH(", "&amp;$B242&amp;", ", ", "&amp;INDEX('Form Responses'!$R$1:$R$200,20)&amp;", "))),1,""))</f>
        <v/>
      </c>
      <c r="W242">
        <f>IF(Wizards!$A$21="","",IF(OR(ISNUMBER(SEARCH(", "&amp;$B242&amp;", ", ", "&amp;INDEX('Form Responses'!$I$1:$Q$200,21,$A242)&amp;", ")),ISNUMBER(SEARCH(", "&amp;$B242&amp;", ", ", "&amp;INDEX('Form Responses'!$R$1:$R$200,21)&amp;", "))),1,""))</f>
        <v/>
      </c>
      <c r="X242">
        <f>IF(Wizards!$A$22="","",IF(OR(ISNUMBER(SEARCH(", "&amp;$B242&amp;", ", ", "&amp;INDEX('Form Responses'!$I$1:$Q$200,22,$A242)&amp;", ")),ISNUMBER(SEARCH(", "&amp;$B242&amp;", ", ", "&amp;INDEX('Form Responses'!$R$1:$R$200,22)&amp;", "))),1,""))</f>
        <v/>
      </c>
      <c r="Y242">
        <f>IF(Wizards!$A$23="","",IF(OR(ISNUMBER(SEARCH(", "&amp;$B242&amp;", ", ", "&amp;INDEX('Form Responses'!$I$1:$Q$200,23,$A242)&amp;", ")),ISNUMBER(SEARCH(", "&amp;$B242&amp;", ", ", "&amp;INDEX('Form Responses'!$R$1:$R$200,23)&amp;", "))),1,""))</f>
        <v/>
      </c>
      <c r="Z242">
        <f>IF(Wizards!$A$24="","",IF(OR(ISNUMBER(SEARCH(", "&amp;$B242&amp;", ", ", "&amp;INDEX('Form Responses'!$I$1:$Q$200,24,$A242)&amp;", ")),ISNUMBER(SEARCH(", "&amp;$B242&amp;", ", ", "&amp;INDEX('Form Responses'!$R$1:$R$200,24)&amp;", "))),1,""))</f>
        <v/>
      </c>
      <c r="AA242">
        <f>IF(Wizards!$A$25="","",IF(OR(ISNUMBER(SEARCH(", "&amp;$B242&amp;", ", ", "&amp;INDEX('Form Responses'!$I$1:$Q$200,25,$A242)&amp;", ")),ISNUMBER(SEARCH(", "&amp;$B242&amp;", ", ", "&amp;INDEX('Form Responses'!$R$1:$R$200,25)&amp;", "))),1,""))</f>
        <v/>
      </c>
      <c r="AB242">
        <f>IF(D242=1,", "&amp;D$1,"")</f>
        <v/>
      </c>
      <c r="AC242">
        <f>IF(E242=1,", "&amp;E$1,"")</f>
        <v/>
      </c>
      <c r="AD242">
        <f>IF(F242=1,", "&amp;F$1,"")</f>
        <v/>
      </c>
      <c r="AE242">
        <f>IF(G242=1,", "&amp;G$1,"")</f>
        <v/>
      </c>
      <c r="AF242">
        <f>IF(H242=1,", "&amp;H$1,"")</f>
        <v/>
      </c>
      <c r="AG242">
        <f>IF(I242=1,", "&amp;I$1,"")</f>
        <v/>
      </c>
      <c r="AH242">
        <f>IF(J242=1,", "&amp;J$1,"")</f>
        <v/>
      </c>
      <c r="AI242">
        <f>IF(K242=1,", "&amp;K$1,"")</f>
        <v/>
      </c>
      <c r="AJ242">
        <f>IF(L242=1,", "&amp;L$1,"")</f>
        <v/>
      </c>
      <c r="AK242">
        <f>IF(M242=1,", "&amp;M$1,"")</f>
        <v/>
      </c>
      <c r="AL242">
        <f>IF(N242=1,", "&amp;N$1,"")</f>
        <v/>
      </c>
      <c r="AM242">
        <f>IF(O242=1,", "&amp;O$1,"")</f>
        <v/>
      </c>
      <c r="AN242">
        <f>IF(P242=1,", "&amp;P$1,"")</f>
        <v/>
      </c>
      <c r="AO242">
        <f>IF(Q242=1,", "&amp;Q$1,"")</f>
        <v/>
      </c>
      <c r="AP242">
        <f>IF(R242=1,", "&amp;R$1,"")</f>
        <v/>
      </c>
      <c r="AQ242">
        <f>IF(S242=1,", "&amp;S$1,"")</f>
        <v/>
      </c>
      <c r="AR242">
        <f>IF(T242=1,", "&amp;T$1,"")</f>
        <v/>
      </c>
      <c r="AS242">
        <f>IF(U242=1,", "&amp;U$1,"")</f>
        <v/>
      </c>
      <c r="AT242">
        <f>IF(V242=1,", "&amp;V$1,"")</f>
        <v/>
      </c>
      <c r="AU242">
        <f>IF(W242=1,", "&amp;W$1,"")</f>
        <v/>
      </c>
      <c r="AV242">
        <f>IF(X242=1,", "&amp;X$1,"")</f>
        <v/>
      </c>
      <c r="AW242">
        <f>IF(Y242=1,", "&amp;Y$1,"")</f>
        <v/>
      </c>
      <c r="AX242">
        <f>IF(Z242=1,", "&amp;Z$1,"")</f>
        <v/>
      </c>
      <c r="AY242">
        <f>IF(AA242=1,", "&amp;AA$1,"")</f>
        <v/>
      </c>
      <c r="AZ242">
        <f>MID($AB242&amp;$AC242&amp;$AD242&amp;$AE242&amp;$AF242&amp;$AG242&amp;$AH242&amp;$AI242&amp;$AJ242&amp;$AK242&amp;$AL242&amp;$AM242&amp;$AN242&amp;$AO242&amp;$AP242&amp;$AQ242&amp;$AR242&amp;$AS242&amp;$AT242&amp;$AU242&amp;$AV242&amp;$AW242&amp;$AX242&amp;$AY242,3,32767)</f>
        <v/>
      </c>
      <c r="BA242">
        <f>COUNT($D242:$AA242)</f>
        <v/>
      </c>
    </row>
    <row r="243">
      <c r="A243" t="n">
        <v>5</v>
      </c>
      <c r="B243" t="inlineStr">
        <is>
          <t>Teleportation Circle</t>
        </is>
      </c>
      <c r="C243" t="inlineStr">
        <is>
          <t>Conjuration</t>
        </is>
      </c>
      <c r="D243">
        <f>IF(Wizards!$A$2="","",IF(OR(ISNUMBER(SEARCH(", "&amp;$B243&amp;", ", ", "&amp;INDEX('Form Responses'!$I$1:$Q$200,2,$A243)&amp;", ")),ISNUMBER(SEARCH(", "&amp;$B243&amp;", ", ", "&amp;INDEX('Form Responses'!$R$1:$R$200,2)&amp;", "))),1,""))</f>
        <v/>
      </c>
      <c r="E243">
        <f>IF(Wizards!$A$3="","",IF(OR(ISNUMBER(SEARCH(", "&amp;$B243&amp;", ", ", "&amp;INDEX('Form Responses'!$I$1:$Q$200,3,$A243)&amp;", ")),ISNUMBER(SEARCH(", "&amp;$B243&amp;", ", ", "&amp;INDEX('Form Responses'!$R$1:$R$200,3)&amp;", "))),1,""))</f>
        <v/>
      </c>
      <c r="F243">
        <f>IF(Wizards!$A$4="","",IF(OR(ISNUMBER(SEARCH(", "&amp;$B243&amp;", ", ", "&amp;INDEX('Form Responses'!$I$1:$Q$200,4,$A243)&amp;", ")),ISNUMBER(SEARCH(", "&amp;$B243&amp;", ", ", "&amp;INDEX('Form Responses'!$R$1:$R$200,4)&amp;", "))),1,""))</f>
        <v/>
      </c>
      <c r="G243">
        <f>IF(Wizards!$A$5="","",IF(OR(ISNUMBER(SEARCH(", "&amp;$B243&amp;", ", ", "&amp;INDEX('Form Responses'!$I$1:$Q$200,5,$A243)&amp;", ")),ISNUMBER(SEARCH(", "&amp;$B243&amp;", ", ", "&amp;INDEX('Form Responses'!$R$1:$R$200,5)&amp;", "))),1,""))</f>
        <v/>
      </c>
      <c r="H243">
        <f>IF(Wizards!$A$6="","",IF(OR(ISNUMBER(SEARCH(", "&amp;$B243&amp;", ", ", "&amp;INDEX('Form Responses'!$I$1:$Q$200,6,$A243)&amp;", ")),ISNUMBER(SEARCH(", "&amp;$B243&amp;", ", ", "&amp;INDEX('Form Responses'!$R$1:$R$200,6)&amp;", "))),1,""))</f>
        <v/>
      </c>
      <c r="I243">
        <f>IF(Wizards!$A$7="","",IF(OR(ISNUMBER(SEARCH(", "&amp;$B243&amp;", ", ", "&amp;INDEX('Form Responses'!$I$1:$Q$200,7,$A243)&amp;", ")),ISNUMBER(SEARCH(", "&amp;$B243&amp;", ", ", "&amp;INDEX('Form Responses'!$R$1:$R$200,7)&amp;", "))),1,""))</f>
        <v/>
      </c>
      <c r="J243">
        <f>IF(Wizards!$A$8="","",IF(OR(ISNUMBER(SEARCH(", "&amp;$B243&amp;", ", ", "&amp;INDEX('Form Responses'!$I$1:$Q$200,8,$A243)&amp;", ")),ISNUMBER(SEARCH(", "&amp;$B243&amp;", ", ", "&amp;INDEX('Form Responses'!$R$1:$R$200,8)&amp;", "))),1,""))</f>
        <v/>
      </c>
      <c r="K243">
        <f>IF(Wizards!$A$9="","",IF(OR(ISNUMBER(SEARCH(", "&amp;$B243&amp;", ", ", "&amp;INDEX('Form Responses'!$I$1:$Q$200,9,$A243)&amp;", ")),ISNUMBER(SEARCH(", "&amp;$B243&amp;", ", ", "&amp;INDEX('Form Responses'!$R$1:$R$200,9)&amp;", "))),1,""))</f>
        <v/>
      </c>
      <c r="L243">
        <f>IF(Wizards!$A$10="","",IF(OR(ISNUMBER(SEARCH(", "&amp;$B243&amp;", ", ", "&amp;INDEX('Form Responses'!$I$1:$Q$200,10,$A243)&amp;", ")),ISNUMBER(SEARCH(", "&amp;$B243&amp;", ", ", "&amp;INDEX('Form Responses'!$R$1:$R$200,10)&amp;", "))),1,""))</f>
        <v/>
      </c>
      <c r="M243">
        <f>IF(Wizards!$A$11="","",IF(OR(ISNUMBER(SEARCH(", "&amp;$B243&amp;", ", ", "&amp;INDEX('Form Responses'!$I$1:$Q$200,11,$A243)&amp;", ")),ISNUMBER(SEARCH(", "&amp;$B243&amp;", ", ", "&amp;INDEX('Form Responses'!$R$1:$R$200,11)&amp;", "))),1,""))</f>
        <v/>
      </c>
      <c r="N243">
        <f>IF(Wizards!$A$12="","",IF(OR(ISNUMBER(SEARCH(", "&amp;$B243&amp;", ", ", "&amp;INDEX('Form Responses'!$I$1:$Q$200,12,$A243)&amp;", ")),ISNUMBER(SEARCH(", "&amp;$B243&amp;", ", ", "&amp;INDEX('Form Responses'!$R$1:$R$200,12)&amp;", "))),1,""))</f>
        <v/>
      </c>
      <c r="O243">
        <f>IF(Wizards!$A$13="","",IF(OR(ISNUMBER(SEARCH(", "&amp;$B243&amp;", ", ", "&amp;INDEX('Form Responses'!$I$1:$Q$200,13,$A243)&amp;", ")),ISNUMBER(SEARCH(", "&amp;$B243&amp;", ", ", "&amp;INDEX('Form Responses'!$R$1:$R$200,13)&amp;", "))),1,""))</f>
        <v/>
      </c>
      <c r="P243">
        <f>IF(Wizards!$A$14="","",IF(OR(ISNUMBER(SEARCH(", "&amp;$B243&amp;", ", ", "&amp;INDEX('Form Responses'!$I$1:$Q$200,14,$A243)&amp;", ")),ISNUMBER(SEARCH(", "&amp;$B243&amp;", ", ", "&amp;INDEX('Form Responses'!$R$1:$R$200,14)&amp;", "))),1,""))</f>
        <v/>
      </c>
      <c r="Q243">
        <f>IF(Wizards!$A$15="","",IF(OR(ISNUMBER(SEARCH(", "&amp;$B243&amp;", ", ", "&amp;INDEX('Form Responses'!$I$1:$Q$200,15,$A243)&amp;", ")),ISNUMBER(SEARCH(", "&amp;$B243&amp;", ", ", "&amp;INDEX('Form Responses'!$R$1:$R$200,15)&amp;", "))),1,""))</f>
        <v/>
      </c>
      <c r="R243">
        <f>IF(Wizards!$A$16="","",IF(OR(ISNUMBER(SEARCH(", "&amp;$B243&amp;", ", ", "&amp;INDEX('Form Responses'!$I$1:$Q$200,16,$A243)&amp;", ")),ISNUMBER(SEARCH(", "&amp;$B243&amp;", ", ", "&amp;INDEX('Form Responses'!$R$1:$R$200,16)&amp;", "))),1,""))</f>
        <v/>
      </c>
      <c r="S243">
        <f>IF(Wizards!$A$17="","",IF(OR(ISNUMBER(SEARCH(", "&amp;$B243&amp;", ", ", "&amp;INDEX('Form Responses'!$I$1:$Q$200,17,$A243)&amp;", ")),ISNUMBER(SEARCH(", "&amp;$B243&amp;", ", ", "&amp;INDEX('Form Responses'!$R$1:$R$200,17)&amp;", "))),1,""))</f>
        <v/>
      </c>
      <c r="T243">
        <f>IF(Wizards!$A$18="","",IF(OR(ISNUMBER(SEARCH(", "&amp;$B243&amp;", ", ", "&amp;INDEX('Form Responses'!$I$1:$Q$200,18,$A243)&amp;", ")),ISNUMBER(SEARCH(", "&amp;$B243&amp;", ", ", "&amp;INDEX('Form Responses'!$R$1:$R$200,18)&amp;", "))),1,""))</f>
        <v/>
      </c>
      <c r="U243">
        <f>IF(Wizards!$A$19="","",IF(OR(ISNUMBER(SEARCH(", "&amp;$B243&amp;", ", ", "&amp;INDEX('Form Responses'!$I$1:$Q$200,19,$A243)&amp;", ")),ISNUMBER(SEARCH(", "&amp;$B243&amp;", ", ", "&amp;INDEX('Form Responses'!$R$1:$R$200,19)&amp;", "))),1,""))</f>
        <v/>
      </c>
      <c r="V243">
        <f>IF(Wizards!$A$20="","",IF(OR(ISNUMBER(SEARCH(", "&amp;$B243&amp;", ", ", "&amp;INDEX('Form Responses'!$I$1:$Q$200,20,$A243)&amp;", ")),ISNUMBER(SEARCH(", "&amp;$B243&amp;", ", ", "&amp;INDEX('Form Responses'!$R$1:$R$200,20)&amp;", "))),1,""))</f>
        <v/>
      </c>
      <c r="W243">
        <f>IF(Wizards!$A$21="","",IF(OR(ISNUMBER(SEARCH(", "&amp;$B243&amp;", ", ", "&amp;INDEX('Form Responses'!$I$1:$Q$200,21,$A243)&amp;", ")),ISNUMBER(SEARCH(", "&amp;$B243&amp;", ", ", "&amp;INDEX('Form Responses'!$R$1:$R$200,21)&amp;", "))),1,""))</f>
        <v/>
      </c>
      <c r="X243">
        <f>IF(Wizards!$A$22="","",IF(OR(ISNUMBER(SEARCH(", "&amp;$B243&amp;", ", ", "&amp;INDEX('Form Responses'!$I$1:$Q$200,22,$A243)&amp;", ")),ISNUMBER(SEARCH(", "&amp;$B243&amp;", ", ", "&amp;INDEX('Form Responses'!$R$1:$R$200,22)&amp;", "))),1,""))</f>
        <v/>
      </c>
      <c r="Y243">
        <f>IF(Wizards!$A$23="","",IF(OR(ISNUMBER(SEARCH(", "&amp;$B243&amp;", ", ", "&amp;INDEX('Form Responses'!$I$1:$Q$200,23,$A243)&amp;", ")),ISNUMBER(SEARCH(", "&amp;$B243&amp;", ", ", "&amp;INDEX('Form Responses'!$R$1:$R$200,23)&amp;", "))),1,""))</f>
        <v/>
      </c>
      <c r="Z243">
        <f>IF(Wizards!$A$24="","",IF(OR(ISNUMBER(SEARCH(", "&amp;$B243&amp;", ", ", "&amp;INDEX('Form Responses'!$I$1:$Q$200,24,$A243)&amp;", ")),ISNUMBER(SEARCH(", "&amp;$B243&amp;", ", ", "&amp;INDEX('Form Responses'!$R$1:$R$200,24)&amp;", "))),1,""))</f>
        <v/>
      </c>
      <c r="AA243">
        <f>IF(Wizards!$A$25="","",IF(OR(ISNUMBER(SEARCH(", "&amp;$B243&amp;", ", ", "&amp;INDEX('Form Responses'!$I$1:$Q$200,25,$A243)&amp;", ")),ISNUMBER(SEARCH(", "&amp;$B243&amp;", ", ", "&amp;INDEX('Form Responses'!$R$1:$R$200,25)&amp;", "))),1,""))</f>
        <v/>
      </c>
      <c r="AB243">
        <f>IF(D243=1,", "&amp;D$1,"")</f>
        <v/>
      </c>
      <c r="AC243">
        <f>IF(E243=1,", "&amp;E$1,"")</f>
        <v/>
      </c>
      <c r="AD243">
        <f>IF(F243=1,", "&amp;F$1,"")</f>
        <v/>
      </c>
      <c r="AE243">
        <f>IF(G243=1,", "&amp;G$1,"")</f>
        <v/>
      </c>
      <c r="AF243">
        <f>IF(H243=1,", "&amp;H$1,"")</f>
        <v/>
      </c>
      <c r="AG243">
        <f>IF(I243=1,", "&amp;I$1,"")</f>
        <v/>
      </c>
      <c r="AH243">
        <f>IF(J243=1,", "&amp;J$1,"")</f>
        <v/>
      </c>
      <c r="AI243">
        <f>IF(K243=1,", "&amp;K$1,"")</f>
        <v/>
      </c>
      <c r="AJ243">
        <f>IF(L243=1,", "&amp;L$1,"")</f>
        <v/>
      </c>
      <c r="AK243">
        <f>IF(M243=1,", "&amp;M$1,"")</f>
        <v/>
      </c>
      <c r="AL243">
        <f>IF(N243=1,", "&amp;N$1,"")</f>
        <v/>
      </c>
      <c r="AM243">
        <f>IF(O243=1,", "&amp;O$1,"")</f>
        <v/>
      </c>
      <c r="AN243">
        <f>IF(P243=1,", "&amp;P$1,"")</f>
        <v/>
      </c>
      <c r="AO243">
        <f>IF(Q243=1,", "&amp;Q$1,"")</f>
        <v/>
      </c>
      <c r="AP243">
        <f>IF(R243=1,", "&amp;R$1,"")</f>
        <v/>
      </c>
      <c r="AQ243">
        <f>IF(S243=1,", "&amp;S$1,"")</f>
        <v/>
      </c>
      <c r="AR243">
        <f>IF(T243=1,", "&amp;T$1,"")</f>
        <v/>
      </c>
      <c r="AS243">
        <f>IF(U243=1,", "&amp;U$1,"")</f>
        <v/>
      </c>
      <c r="AT243">
        <f>IF(V243=1,", "&amp;V$1,"")</f>
        <v/>
      </c>
      <c r="AU243">
        <f>IF(W243=1,", "&amp;W$1,"")</f>
        <v/>
      </c>
      <c r="AV243">
        <f>IF(X243=1,", "&amp;X$1,"")</f>
        <v/>
      </c>
      <c r="AW243">
        <f>IF(Y243=1,", "&amp;Y$1,"")</f>
        <v/>
      </c>
      <c r="AX243">
        <f>IF(Z243=1,", "&amp;Z$1,"")</f>
        <v/>
      </c>
      <c r="AY243">
        <f>IF(AA243=1,", "&amp;AA$1,"")</f>
        <v/>
      </c>
      <c r="AZ243">
        <f>MID($AB243&amp;$AC243&amp;$AD243&amp;$AE243&amp;$AF243&amp;$AG243&amp;$AH243&amp;$AI243&amp;$AJ243&amp;$AK243&amp;$AL243&amp;$AM243&amp;$AN243&amp;$AO243&amp;$AP243&amp;$AQ243&amp;$AR243&amp;$AS243&amp;$AT243&amp;$AU243&amp;$AV243&amp;$AW243&amp;$AX243&amp;$AY243,3,32767)</f>
        <v/>
      </c>
      <c r="BA243">
        <f>COUNT($D243:$AA243)</f>
        <v/>
      </c>
    </row>
    <row r="244">
      <c r="A244" t="n">
        <v>5</v>
      </c>
      <c r="B244" t="inlineStr">
        <is>
          <t>Transmute Rock</t>
        </is>
      </c>
      <c r="C244" t="inlineStr">
        <is>
          <t>Transmutation</t>
        </is>
      </c>
      <c r="D244">
        <f>IF(Wizards!$A$2="","",IF(OR(ISNUMBER(SEARCH(", "&amp;$B244&amp;", ", ", "&amp;INDEX('Form Responses'!$I$1:$Q$200,2,$A244)&amp;", ")),ISNUMBER(SEARCH(", "&amp;$B244&amp;", ", ", "&amp;INDEX('Form Responses'!$R$1:$R$200,2)&amp;", "))),1,""))</f>
        <v/>
      </c>
      <c r="E244">
        <f>IF(Wizards!$A$3="","",IF(OR(ISNUMBER(SEARCH(", "&amp;$B244&amp;", ", ", "&amp;INDEX('Form Responses'!$I$1:$Q$200,3,$A244)&amp;", ")),ISNUMBER(SEARCH(", "&amp;$B244&amp;", ", ", "&amp;INDEX('Form Responses'!$R$1:$R$200,3)&amp;", "))),1,""))</f>
        <v/>
      </c>
      <c r="F244">
        <f>IF(Wizards!$A$4="","",IF(OR(ISNUMBER(SEARCH(", "&amp;$B244&amp;", ", ", "&amp;INDEX('Form Responses'!$I$1:$Q$200,4,$A244)&amp;", ")),ISNUMBER(SEARCH(", "&amp;$B244&amp;", ", ", "&amp;INDEX('Form Responses'!$R$1:$R$200,4)&amp;", "))),1,""))</f>
        <v/>
      </c>
      <c r="G244">
        <f>IF(Wizards!$A$5="","",IF(OR(ISNUMBER(SEARCH(", "&amp;$B244&amp;", ", ", "&amp;INDEX('Form Responses'!$I$1:$Q$200,5,$A244)&amp;", ")),ISNUMBER(SEARCH(", "&amp;$B244&amp;", ", ", "&amp;INDEX('Form Responses'!$R$1:$R$200,5)&amp;", "))),1,""))</f>
        <v/>
      </c>
      <c r="H244">
        <f>IF(Wizards!$A$6="","",IF(OR(ISNUMBER(SEARCH(", "&amp;$B244&amp;", ", ", "&amp;INDEX('Form Responses'!$I$1:$Q$200,6,$A244)&amp;", ")),ISNUMBER(SEARCH(", "&amp;$B244&amp;", ", ", "&amp;INDEX('Form Responses'!$R$1:$R$200,6)&amp;", "))),1,""))</f>
        <v/>
      </c>
      <c r="I244">
        <f>IF(Wizards!$A$7="","",IF(OR(ISNUMBER(SEARCH(", "&amp;$B244&amp;", ", ", "&amp;INDEX('Form Responses'!$I$1:$Q$200,7,$A244)&amp;", ")),ISNUMBER(SEARCH(", "&amp;$B244&amp;", ", ", "&amp;INDEX('Form Responses'!$R$1:$R$200,7)&amp;", "))),1,""))</f>
        <v/>
      </c>
      <c r="J244">
        <f>IF(Wizards!$A$8="","",IF(OR(ISNUMBER(SEARCH(", "&amp;$B244&amp;", ", ", "&amp;INDEX('Form Responses'!$I$1:$Q$200,8,$A244)&amp;", ")),ISNUMBER(SEARCH(", "&amp;$B244&amp;", ", ", "&amp;INDEX('Form Responses'!$R$1:$R$200,8)&amp;", "))),1,""))</f>
        <v/>
      </c>
      <c r="K244">
        <f>IF(Wizards!$A$9="","",IF(OR(ISNUMBER(SEARCH(", "&amp;$B244&amp;", ", ", "&amp;INDEX('Form Responses'!$I$1:$Q$200,9,$A244)&amp;", ")),ISNUMBER(SEARCH(", "&amp;$B244&amp;", ", ", "&amp;INDEX('Form Responses'!$R$1:$R$200,9)&amp;", "))),1,""))</f>
        <v/>
      </c>
      <c r="L244">
        <f>IF(Wizards!$A$10="","",IF(OR(ISNUMBER(SEARCH(", "&amp;$B244&amp;", ", ", "&amp;INDEX('Form Responses'!$I$1:$Q$200,10,$A244)&amp;", ")),ISNUMBER(SEARCH(", "&amp;$B244&amp;", ", ", "&amp;INDEX('Form Responses'!$R$1:$R$200,10)&amp;", "))),1,""))</f>
        <v/>
      </c>
      <c r="M244">
        <f>IF(Wizards!$A$11="","",IF(OR(ISNUMBER(SEARCH(", "&amp;$B244&amp;", ", ", "&amp;INDEX('Form Responses'!$I$1:$Q$200,11,$A244)&amp;", ")),ISNUMBER(SEARCH(", "&amp;$B244&amp;", ", ", "&amp;INDEX('Form Responses'!$R$1:$R$200,11)&amp;", "))),1,""))</f>
        <v/>
      </c>
      <c r="N244">
        <f>IF(Wizards!$A$12="","",IF(OR(ISNUMBER(SEARCH(", "&amp;$B244&amp;", ", ", "&amp;INDEX('Form Responses'!$I$1:$Q$200,12,$A244)&amp;", ")),ISNUMBER(SEARCH(", "&amp;$B244&amp;", ", ", "&amp;INDEX('Form Responses'!$R$1:$R$200,12)&amp;", "))),1,""))</f>
        <v/>
      </c>
      <c r="O244">
        <f>IF(Wizards!$A$13="","",IF(OR(ISNUMBER(SEARCH(", "&amp;$B244&amp;", ", ", "&amp;INDEX('Form Responses'!$I$1:$Q$200,13,$A244)&amp;", ")),ISNUMBER(SEARCH(", "&amp;$B244&amp;", ", ", "&amp;INDEX('Form Responses'!$R$1:$R$200,13)&amp;", "))),1,""))</f>
        <v/>
      </c>
      <c r="P244">
        <f>IF(Wizards!$A$14="","",IF(OR(ISNUMBER(SEARCH(", "&amp;$B244&amp;", ", ", "&amp;INDEX('Form Responses'!$I$1:$Q$200,14,$A244)&amp;", ")),ISNUMBER(SEARCH(", "&amp;$B244&amp;", ", ", "&amp;INDEX('Form Responses'!$R$1:$R$200,14)&amp;", "))),1,""))</f>
        <v/>
      </c>
      <c r="Q244">
        <f>IF(Wizards!$A$15="","",IF(OR(ISNUMBER(SEARCH(", "&amp;$B244&amp;", ", ", "&amp;INDEX('Form Responses'!$I$1:$Q$200,15,$A244)&amp;", ")),ISNUMBER(SEARCH(", "&amp;$B244&amp;", ", ", "&amp;INDEX('Form Responses'!$R$1:$R$200,15)&amp;", "))),1,""))</f>
        <v/>
      </c>
      <c r="R244">
        <f>IF(Wizards!$A$16="","",IF(OR(ISNUMBER(SEARCH(", "&amp;$B244&amp;", ", ", "&amp;INDEX('Form Responses'!$I$1:$Q$200,16,$A244)&amp;", ")),ISNUMBER(SEARCH(", "&amp;$B244&amp;", ", ", "&amp;INDEX('Form Responses'!$R$1:$R$200,16)&amp;", "))),1,""))</f>
        <v/>
      </c>
      <c r="S244">
        <f>IF(Wizards!$A$17="","",IF(OR(ISNUMBER(SEARCH(", "&amp;$B244&amp;", ", ", "&amp;INDEX('Form Responses'!$I$1:$Q$200,17,$A244)&amp;", ")),ISNUMBER(SEARCH(", "&amp;$B244&amp;", ", ", "&amp;INDEX('Form Responses'!$R$1:$R$200,17)&amp;", "))),1,""))</f>
        <v/>
      </c>
      <c r="T244">
        <f>IF(Wizards!$A$18="","",IF(OR(ISNUMBER(SEARCH(", "&amp;$B244&amp;", ", ", "&amp;INDEX('Form Responses'!$I$1:$Q$200,18,$A244)&amp;", ")),ISNUMBER(SEARCH(", "&amp;$B244&amp;", ", ", "&amp;INDEX('Form Responses'!$R$1:$R$200,18)&amp;", "))),1,""))</f>
        <v/>
      </c>
      <c r="U244">
        <f>IF(Wizards!$A$19="","",IF(OR(ISNUMBER(SEARCH(", "&amp;$B244&amp;", ", ", "&amp;INDEX('Form Responses'!$I$1:$Q$200,19,$A244)&amp;", ")),ISNUMBER(SEARCH(", "&amp;$B244&amp;", ", ", "&amp;INDEX('Form Responses'!$R$1:$R$200,19)&amp;", "))),1,""))</f>
        <v/>
      </c>
      <c r="V244">
        <f>IF(Wizards!$A$20="","",IF(OR(ISNUMBER(SEARCH(", "&amp;$B244&amp;", ", ", "&amp;INDEX('Form Responses'!$I$1:$Q$200,20,$A244)&amp;", ")),ISNUMBER(SEARCH(", "&amp;$B244&amp;", ", ", "&amp;INDEX('Form Responses'!$R$1:$R$200,20)&amp;", "))),1,""))</f>
        <v/>
      </c>
      <c r="W244">
        <f>IF(Wizards!$A$21="","",IF(OR(ISNUMBER(SEARCH(", "&amp;$B244&amp;", ", ", "&amp;INDEX('Form Responses'!$I$1:$Q$200,21,$A244)&amp;", ")),ISNUMBER(SEARCH(", "&amp;$B244&amp;", ", ", "&amp;INDEX('Form Responses'!$R$1:$R$200,21)&amp;", "))),1,""))</f>
        <v/>
      </c>
      <c r="X244">
        <f>IF(Wizards!$A$22="","",IF(OR(ISNUMBER(SEARCH(", "&amp;$B244&amp;", ", ", "&amp;INDEX('Form Responses'!$I$1:$Q$200,22,$A244)&amp;", ")),ISNUMBER(SEARCH(", "&amp;$B244&amp;", ", ", "&amp;INDEX('Form Responses'!$R$1:$R$200,22)&amp;", "))),1,""))</f>
        <v/>
      </c>
      <c r="Y244">
        <f>IF(Wizards!$A$23="","",IF(OR(ISNUMBER(SEARCH(", "&amp;$B244&amp;", ", ", "&amp;INDEX('Form Responses'!$I$1:$Q$200,23,$A244)&amp;", ")),ISNUMBER(SEARCH(", "&amp;$B244&amp;", ", ", "&amp;INDEX('Form Responses'!$R$1:$R$200,23)&amp;", "))),1,""))</f>
        <v/>
      </c>
      <c r="Z244">
        <f>IF(Wizards!$A$24="","",IF(OR(ISNUMBER(SEARCH(", "&amp;$B244&amp;", ", ", "&amp;INDEX('Form Responses'!$I$1:$Q$200,24,$A244)&amp;", ")),ISNUMBER(SEARCH(", "&amp;$B244&amp;", ", ", "&amp;INDEX('Form Responses'!$R$1:$R$200,24)&amp;", "))),1,""))</f>
        <v/>
      </c>
      <c r="AA244">
        <f>IF(Wizards!$A$25="","",IF(OR(ISNUMBER(SEARCH(", "&amp;$B244&amp;", ", ", "&amp;INDEX('Form Responses'!$I$1:$Q$200,25,$A244)&amp;", ")),ISNUMBER(SEARCH(", "&amp;$B244&amp;", ", ", "&amp;INDEX('Form Responses'!$R$1:$R$200,25)&amp;", "))),1,""))</f>
        <v/>
      </c>
      <c r="AB244">
        <f>IF(D244=1,", "&amp;D$1,"")</f>
        <v/>
      </c>
      <c r="AC244">
        <f>IF(E244=1,", "&amp;E$1,"")</f>
        <v/>
      </c>
      <c r="AD244">
        <f>IF(F244=1,", "&amp;F$1,"")</f>
        <v/>
      </c>
      <c r="AE244">
        <f>IF(G244=1,", "&amp;G$1,"")</f>
        <v/>
      </c>
      <c r="AF244">
        <f>IF(H244=1,", "&amp;H$1,"")</f>
        <v/>
      </c>
      <c r="AG244">
        <f>IF(I244=1,", "&amp;I$1,"")</f>
        <v/>
      </c>
      <c r="AH244">
        <f>IF(J244=1,", "&amp;J$1,"")</f>
        <v/>
      </c>
      <c r="AI244">
        <f>IF(K244=1,", "&amp;K$1,"")</f>
        <v/>
      </c>
      <c r="AJ244">
        <f>IF(L244=1,", "&amp;L$1,"")</f>
        <v/>
      </c>
      <c r="AK244">
        <f>IF(M244=1,", "&amp;M$1,"")</f>
        <v/>
      </c>
      <c r="AL244">
        <f>IF(N244=1,", "&amp;N$1,"")</f>
        <v/>
      </c>
      <c r="AM244">
        <f>IF(O244=1,", "&amp;O$1,"")</f>
        <v/>
      </c>
      <c r="AN244">
        <f>IF(P244=1,", "&amp;P$1,"")</f>
        <v/>
      </c>
      <c r="AO244">
        <f>IF(Q244=1,", "&amp;Q$1,"")</f>
        <v/>
      </c>
      <c r="AP244">
        <f>IF(R244=1,", "&amp;R$1,"")</f>
        <v/>
      </c>
      <c r="AQ244">
        <f>IF(S244=1,", "&amp;S$1,"")</f>
        <v/>
      </c>
      <c r="AR244">
        <f>IF(T244=1,", "&amp;T$1,"")</f>
        <v/>
      </c>
      <c r="AS244">
        <f>IF(U244=1,", "&amp;U$1,"")</f>
        <v/>
      </c>
      <c r="AT244">
        <f>IF(V244=1,", "&amp;V$1,"")</f>
        <v/>
      </c>
      <c r="AU244">
        <f>IF(W244=1,", "&amp;W$1,"")</f>
        <v/>
      </c>
      <c r="AV244">
        <f>IF(X244=1,", "&amp;X$1,"")</f>
        <v/>
      </c>
      <c r="AW244">
        <f>IF(Y244=1,", "&amp;Y$1,"")</f>
        <v/>
      </c>
      <c r="AX244">
        <f>IF(Z244=1,", "&amp;Z$1,"")</f>
        <v/>
      </c>
      <c r="AY244">
        <f>IF(AA244=1,", "&amp;AA$1,"")</f>
        <v/>
      </c>
      <c r="AZ244">
        <f>MID($AB244&amp;$AC244&amp;$AD244&amp;$AE244&amp;$AF244&amp;$AG244&amp;$AH244&amp;$AI244&amp;$AJ244&amp;$AK244&amp;$AL244&amp;$AM244&amp;$AN244&amp;$AO244&amp;$AP244&amp;$AQ244&amp;$AR244&amp;$AS244&amp;$AT244&amp;$AU244&amp;$AV244&amp;$AW244&amp;$AX244&amp;$AY244,3,32767)</f>
        <v/>
      </c>
      <c r="BA244">
        <f>COUNT($D244:$AA244)</f>
        <v/>
      </c>
    </row>
    <row r="245">
      <c r="A245" t="n">
        <v>5</v>
      </c>
      <c r="B245" t="inlineStr">
        <is>
          <t>Wall of Force</t>
        </is>
      </c>
      <c r="C245" t="inlineStr">
        <is>
          <t>Evocation</t>
        </is>
      </c>
      <c r="D245">
        <f>IF(Wizards!$A$2="","",IF(OR(ISNUMBER(SEARCH(", "&amp;$B245&amp;", ", ", "&amp;INDEX('Form Responses'!$I$1:$Q$200,2,$A245)&amp;", ")),ISNUMBER(SEARCH(", "&amp;$B245&amp;", ", ", "&amp;INDEX('Form Responses'!$R$1:$R$200,2)&amp;", "))),1,""))</f>
        <v/>
      </c>
      <c r="E245">
        <f>IF(Wizards!$A$3="","",IF(OR(ISNUMBER(SEARCH(", "&amp;$B245&amp;", ", ", "&amp;INDEX('Form Responses'!$I$1:$Q$200,3,$A245)&amp;", ")),ISNUMBER(SEARCH(", "&amp;$B245&amp;", ", ", "&amp;INDEX('Form Responses'!$R$1:$R$200,3)&amp;", "))),1,""))</f>
        <v/>
      </c>
      <c r="F245">
        <f>IF(Wizards!$A$4="","",IF(OR(ISNUMBER(SEARCH(", "&amp;$B245&amp;", ", ", "&amp;INDEX('Form Responses'!$I$1:$Q$200,4,$A245)&amp;", ")),ISNUMBER(SEARCH(", "&amp;$B245&amp;", ", ", "&amp;INDEX('Form Responses'!$R$1:$R$200,4)&amp;", "))),1,""))</f>
        <v/>
      </c>
      <c r="G245">
        <f>IF(Wizards!$A$5="","",IF(OR(ISNUMBER(SEARCH(", "&amp;$B245&amp;", ", ", "&amp;INDEX('Form Responses'!$I$1:$Q$200,5,$A245)&amp;", ")),ISNUMBER(SEARCH(", "&amp;$B245&amp;", ", ", "&amp;INDEX('Form Responses'!$R$1:$R$200,5)&amp;", "))),1,""))</f>
        <v/>
      </c>
      <c r="H245">
        <f>IF(Wizards!$A$6="","",IF(OR(ISNUMBER(SEARCH(", "&amp;$B245&amp;", ", ", "&amp;INDEX('Form Responses'!$I$1:$Q$200,6,$A245)&amp;", ")),ISNUMBER(SEARCH(", "&amp;$B245&amp;", ", ", "&amp;INDEX('Form Responses'!$R$1:$R$200,6)&amp;", "))),1,""))</f>
        <v/>
      </c>
      <c r="I245">
        <f>IF(Wizards!$A$7="","",IF(OR(ISNUMBER(SEARCH(", "&amp;$B245&amp;", ", ", "&amp;INDEX('Form Responses'!$I$1:$Q$200,7,$A245)&amp;", ")),ISNUMBER(SEARCH(", "&amp;$B245&amp;", ", ", "&amp;INDEX('Form Responses'!$R$1:$R$200,7)&amp;", "))),1,""))</f>
        <v/>
      </c>
      <c r="J245">
        <f>IF(Wizards!$A$8="","",IF(OR(ISNUMBER(SEARCH(", "&amp;$B245&amp;", ", ", "&amp;INDEX('Form Responses'!$I$1:$Q$200,8,$A245)&amp;", ")),ISNUMBER(SEARCH(", "&amp;$B245&amp;", ", ", "&amp;INDEX('Form Responses'!$R$1:$R$200,8)&amp;", "))),1,""))</f>
        <v/>
      </c>
      <c r="K245">
        <f>IF(Wizards!$A$9="","",IF(OR(ISNUMBER(SEARCH(", "&amp;$B245&amp;", ", ", "&amp;INDEX('Form Responses'!$I$1:$Q$200,9,$A245)&amp;", ")),ISNUMBER(SEARCH(", "&amp;$B245&amp;", ", ", "&amp;INDEX('Form Responses'!$R$1:$R$200,9)&amp;", "))),1,""))</f>
        <v/>
      </c>
      <c r="L245">
        <f>IF(Wizards!$A$10="","",IF(OR(ISNUMBER(SEARCH(", "&amp;$B245&amp;", ", ", "&amp;INDEX('Form Responses'!$I$1:$Q$200,10,$A245)&amp;", ")),ISNUMBER(SEARCH(", "&amp;$B245&amp;", ", ", "&amp;INDEX('Form Responses'!$R$1:$R$200,10)&amp;", "))),1,""))</f>
        <v/>
      </c>
      <c r="M245">
        <f>IF(Wizards!$A$11="","",IF(OR(ISNUMBER(SEARCH(", "&amp;$B245&amp;", ", ", "&amp;INDEX('Form Responses'!$I$1:$Q$200,11,$A245)&amp;", ")),ISNUMBER(SEARCH(", "&amp;$B245&amp;", ", ", "&amp;INDEX('Form Responses'!$R$1:$R$200,11)&amp;", "))),1,""))</f>
        <v/>
      </c>
      <c r="N245">
        <f>IF(Wizards!$A$12="","",IF(OR(ISNUMBER(SEARCH(", "&amp;$B245&amp;", ", ", "&amp;INDEX('Form Responses'!$I$1:$Q$200,12,$A245)&amp;", ")),ISNUMBER(SEARCH(", "&amp;$B245&amp;", ", ", "&amp;INDEX('Form Responses'!$R$1:$R$200,12)&amp;", "))),1,""))</f>
        <v/>
      </c>
      <c r="O245">
        <f>IF(Wizards!$A$13="","",IF(OR(ISNUMBER(SEARCH(", "&amp;$B245&amp;", ", ", "&amp;INDEX('Form Responses'!$I$1:$Q$200,13,$A245)&amp;", ")),ISNUMBER(SEARCH(", "&amp;$B245&amp;", ", ", "&amp;INDEX('Form Responses'!$R$1:$R$200,13)&amp;", "))),1,""))</f>
        <v/>
      </c>
      <c r="P245">
        <f>IF(Wizards!$A$14="","",IF(OR(ISNUMBER(SEARCH(", "&amp;$B245&amp;", ", ", "&amp;INDEX('Form Responses'!$I$1:$Q$200,14,$A245)&amp;", ")),ISNUMBER(SEARCH(", "&amp;$B245&amp;", ", ", "&amp;INDEX('Form Responses'!$R$1:$R$200,14)&amp;", "))),1,""))</f>
        <v/>
      </c>
      <c r="Q245">
        <f>IF(Wizards!$A$15="","",IF(OR(ISNUMBER(SEARCH(", "&amp;$B245&amp;", ", ", "&amp;INDEX('Form Responses'!$I$1:$Q$200,15,$A245)&amp;", ")),ISNUMBER(SEARCH(", "&amp;$B245&amp;", ", ", "&amp;INDEX('Form Responses'!$R$1:$R$200,15)&amp;", "))),1,""))</f>
        <v/>
      </c>
      <c r="R245">
        <f>IF(Wizards!$A$16="","",IF(OR(ISNUMBER(SEARCH(", "&amp;$B245&amp;", ", ", "&amp;INDEX('Form Responses'!$I$1:$Q$200,16,$A245)&amp;", ")),ISNUMBER(SEARCH(", "&amp;$B245&amp;", ", ", "&amp;INDEX('Form Responses'!$R$1:$R$200,16)&amp;", "))),1,""))</f>
        <v/>
      </c>
      <c r="S245">
        <f>IF(Wizards!$A$17="","",IF(OR(ISNUMBER(SEARCH(", "&amp;$B245&amp;", ", ", "&amp;INDEX('Form Responses'!$I$1:$Q$200,17,$A245)&amp;", ")),ISNUMBER(SEARCH(", "&amp;$B245&amp;", ", ", "&amp;INDEX('Form Responses'!$R$1:$R$200,17)&amp;", "))),1,""))</f>
        <v/>
      </c>
      <c r="T245">
        <f>IF(Wizards!$A$18="","",IF(OR(ISNUMBER(SEARCH(", "&amp;$B245&amp;", ", ", "&amp;INDEX('Form Responses'!$I$1:$Q$200,18,$A245)&amp;", ")),ISNUMBER(SEARCH(", "&amp;$B245&amp;", ", ", "&amp;INDEX('Form Responses'!$R$1:$R$200,18)&amp;", "))),1,""))</f>
        <v/>
      </c>
      <c r="U245">
        <f>IF(Wizards!$A$19="","",IF(OR(ISNUMBER(SEARCH(", "&amp;$B245&amp;", ", ", "&amp;INDEX('Form Responses'!$I$1:$Q$200,19,$A245)&amp;", ")),ISNUMBER(SEARCH(", "&amp;$B245&amp;", ", ", "&amp;INDEX('Form Responses'!$R$1:$R$200,19)&amp;", "))),1,""))</f>
        <v/>
      </c>
      <c r="V245">
        <f>IF(Wizards!$A$20="","",IF(OR(ISNUMBER(SEARCH(", "&amp;$B245&amp;", ", ", "&amp;INDEX('Form Responses'!$I$1:$Q$200,20,$A245)&amp;", ")),ISNUMBER(SEARCH(", "&amp;$B245&amp;", ", ", "&amp;INDEX('Form Responses'!$R$1:$R$200,20)&amp;", "))),1,""))</f>
        <v/>
      </c>
      <c r="W245">
        <f>IF(Wizards!$A$21="","",IF(OR(ISNUMBER(SEARCH(", "&amp;$B245&amp;", ", ", "&amp;INDEX('Form Responses'!$I$1:$Q$200,21,$A245)&amp;", ")),ISNUMBER(SEARCH(", "&amp;$B245&amp;", ", ", "&amp;INDEX('Form Responses'!$R$1:$R$200,21)&amp;", "))),1,""))</f>
        <v/>
      </c>
      <c r="X245">
        <f>IF(Wizards!$A$22="","",IF(OR(ISNUMBER(SEARCH(", "&amp;$B245&amp;", ", ", "&amp;INDEX('Form Responses'!$I$1:$Q$200,22,$A245)&amp;", ")),ISNUMBER(SEARCH(", "&amp;$B245&amp;", ", ", "&amp;INDEX('Form Responses'!$R$1:$R$200,22)&amp;", "))),1,""))</f>
        <v/>
      </c>
      <c r="Y245">
        <f>IF(Wizards!$A$23="","",IF(OR(ISNUMBER(SEARCH(", "&amp;$B245&amp;", ", ", "&amp;INDEX('Form Responses'!$I$1:$Q$200,23,$A245)&amp;", ")),ISNUMBER(SEARCH(", "&amp;$B245&amp;", ", ", "&amp;INDEX('Form Responses'!$R$1:$R$200,23)&amp;", "))),1,""))</f>
        <v/>
      </c>
      <c r="Z245">
        <f>IF(Wizards!$A$24="","",IF(OR(ISNUMBER(SEARCH(", "&amp;$B245&amp;", ", ", "&amp;INDEX('Form Responses'!$I$1:$Q$200,24,$A245)&amp;", ")),ISNUMBER(SEARCH(", "&amp;$B245&amp;", ", ", "&amp;INDEX('Form Responses'!$R$1:$R$200,24)&amp;", "))),1,""))</f>
        <v/>
      </c>
      <c r="AA245">
        <f>IF(Wizards!$A$25="","",IF(OR(ISNUMBER(SEARCH(", "&amp;$B245&amp;", ", ", "&amp;INDEX('Form Responses'!$I$1:$Q$200,25,$A245)&amp;", ")),ISNUMBER(SEARCH(", "&amp;$B245&amp;", ", ", "&amp;INDEX('Form Responses'!$R$1:$R$200,25)&amp;", "))),1,""))</f>
        <v/>
      </c>
      <c r="AB245">
        <f>IF(D245=1,", "&amp;D$1,"")</f>
        <v/>
      </c>
      <c r="AC245">
        <f>IF(E245=1,", "&amp;E$1,"")</f>
        <v/>
      </c>
      <c r="AD245">
        <f>IF(F245=1,", "&amp;F$1,"")</f>
        <v/>
      </c>
      <c r="AE245">
        <f>IF(G245=1,", "&amp;G$1,"")</f>
        <v/>
      </c>
      <c r="AF245">
        <f>IF(H245=1,", "&amp;H$1,"")</f>
        <v/>
      </c>
      <c r="AG245">
        <f>IF(I245=1,", "&amp;I$1,"")</f>
        <v/>
      </c>
      <c r="AH245">
        <f>IF(J245=1,", "&amp;J$1,"")</f>
        <v/>
      </c>
      <c r="AI245">
        <f>IF(K245=1,", "&amp;K$1,"")</f>
        <v/>
      </c>
      <c r="AJ245">
        <f>IF(L245=1,", "&amp;L$1,"")</f>
        <v/>
      </c>
      <c r="AK245">
        <f>IF(M245=1,", "&amp;M$1,"")</f>
        <v/>
      </c>
      <c r="AL245">
        <f>IF(N245=1,", "&amp;N$1,"")</f>
        <v/>
      </c>
      <c r="AM245">
        <f>IF(O245=1,", "&amp;O$1,"")</f>
        <v/>
      </c>
      <c r="AN245">
        <f>IF(P245=1,", "&amp;P$1,"")</f>
        <v/>
      </c>
      <c r="AO245">
        <f>IF(Q245=1,", "&amp;Q$1,"")</f>
        <v/>
      </c>
      <c r="AP245">
        <f>IF(R245=1,", "&amp;R$1,"")</f>
        <v/>
      </c>
      <c r="AQ245">
        <f>IF(S245=1,", "&amp;S$1,"")</f>
        <v/>
      </c>
      <c r="AR245">
        <f>IF(T245=1,", "&amp;T$1,"")</f>
        <v/>
      </c>
      <c r="AS245">
        <f>IF(U245=1,", "&amp;U$1,"")</f>
        <v/>
      </c>
      <c r="AT245">
        <f>IF(V245=1,", "&amp;V$1,"")</f>
        <v/>
      </c>
      <c r="AU245">
        <f>IF(W245=1,", "&amp;W$1,"")</f>
        <v/>
      </c>
      <c r="AV245">
        <f>IF(X245=1,", "&amp;X$1,"")</f>
        <v/>
      </c>
      <c r="AW245">
        <f>IF(Y245=1,", "&amp;Y$1,"")</f>
        <v/>
      </c>
      <c r="AX245">
        <f>IF(Z245=1,", "&amp;Z$1,"")</f>
        <v/>
      </c>
      <c r="AY245">
        <f>IF(AA245=1,", "&amp;AA$1,"")</f>
        <v/>
      </c>
      <c r="AZ245">
        <f>MID($AB245&amp;$AC245&amp;$AD245&amp;$AE245&amp;$AF245&amp;$AG245&amp;$AH245&amp;$AI245&amp;$AJ245&amp;$AK245&amp;$AL245&amp;$AM245&amp;$AN245&amp;$AO245&amp;$AP245&amp;$AQ245&amp;$AR245&amp;$AS245&amp;$AT245&amp;$AU245&amp;$AV245&amp;$AW245&amp;$AX245&amp;$AY245,3,32767)</f>
        <v/>
      </c>
      <c r="BA245">
        <f>COUNT($D245:$AA245)</f>
        <v/>
      </c>
    </row>
    <row r="246">
      <c r="A246" t="n">
        <v>5</v>
      </c>
      <c r="B246" t="inlineStr">
        <is>
          <t>Wall of Light</t>
        </is>
      </c>
      <c r="C246" t="inlineStr">
        <is>
          <t>Evocation</t>
        </is>
      </c>
      <c r="D246">
        <f>IF(Wizards!$A$2="","",IF(OR(ISNUMBER(SEARCH(", "&amp;$B246&amp;", ", ", "&amp;INDEX('Form Responses'!$I$1:$Q$200,2,$A246)&amp;", ")),ISNUMBER(SEARCH(", "&amp;$B246&amp;", ", ", "&amp;INDEX('Form Responses'!$R$1:$R$200,2)&amp;", "))),1,""))</f>
        <v/>
      </c>
      <c r="E246">
        <f>IF(Wizards!$A$3="","",IF(OR(ISNUMBER(SEARCH(", "&amp;$B246&amp;", ", ", "&amp;INDEX('Form Responses'!$I$1:$Q$200,3,$A246)&amp;", ")),ISNUMBER(SEARCH(", "&amp;$B246&amp;", ", ", "&amp;INDEX('Form Responses'!$R$1:$R$200,3)&amp;", "))),1,""))</f>
        <v/>
      </c>
      <c r="F246">
        <f>IF(Wizards!$A$4="","",IF(OR(ISNUMBER(SEARCH(", "&amp;$B246&amp;", ", ", "&amp;INDEX('Form Responses'!$I$1:$Q$200,4,$A246)&amp;", ")),ISNUMBER(SEARCH(", "&amp;$B246&amp;", ", ", "&amp;INDEX('Form Responses'!$R$1:$R$200,4)&amp;", "))),1,""))</f>
        <v/>
      </c>
      <c r="G246">
        <f>IF(Wizards!$A$5="","",IF(OR(ISNUMBER(SEARCH(", "&amp;$B246&amp;", ", ", "&amp;INDEX('Form Responses'!$I$1:$Q$200,5,$A246)&amp;", ")),ISNUMBER(SEARCH(", "&amp;$B246&amp;", ", ", "&amp;INDEX('Form Responses'!$R$1:$R$200,5)&amp;", "))),1,""))</f>
        <v/>
      </c>
      <c r="H246">
        <f>IF(Wizards!$A$6="","",IF(OR(ISNUMBER(SEARCH(", "&amp;$B246&amp;", ", ", "&amp;INDEX('Form Responses'!$I$1:$Q$200,6,$A246)&amp;", ")),ISNUMBER(SEARCH(", "&amp;$B246&amp;", ", ", "&amp;INDEX('Form Responses'!$R$1:$R$200,6)&amp;", "))),1,""))</f>
        <v/>
      </c>
      <c r="I246">
        <f>IF(Wizards!$A$7="","",IF(OR(ISNUMBER(SEARCH(", "&amp;$B246&amp;", ", ", "&amp;INDEX('Form Responses'!$I$1:$Q$200,7,$A246)&amp;", ")),ISNUMBER(SEARCH(", "&amp;$B246&amp;", ", ", "&amp;INDEX('Form Responses'!$R$1:$R$200,7)&amp;", "))),1,""))</f>
        <v/>
      </c>
      <c r="J246">
        <f>IF(Wizards!$A$8="","",IF(OR(ISNUMBER(SEARCH(", "&amp;$B246&amp;", ", ", "&amp;INDEX('Form Responses'!$I$1:$Q$200,8,$A246)&amp;", ")),ISNUMBER(SEARCH(", "&amp;$B246&amp;", ", ", "&amp;INDEX('Form Responses'!$R$1:$R$200,8)&amp;", "))),1,""))</f>
        <v/>
      </c>
      <c r="K246">
        <f>IF(Wizards!$A$9="","",IF(OR(ISNUMBER(SEARCH(", "&amp;$B246&amp;", ", ", "&amp;INDEX('Form Responses'!$I$1:$Q$200,9,$A246)&amp;", ")),ISNUMBER(SEARCH(", "&amp;$B246&amp;", ", ", "&amp;INDEX('Form Responses'!$R$1:$R$200,9)&amp;", "))),1,""))</f>
        <v/>
      </c>
      <c r="L246">
        <f>IF(Wizards!$A$10="","",IF(OR(ISNUMBER(SEARCH(", "&amp;$B246&amp;", ", ", "&amp;INDEX('Form Responses'!$I$1:$Q$200,10,$A246)&amp;", ")),ISNUMBER(SEARCH(", "&amp;$B246&amp;", ", ", "&amp;INDEX('Form Responses'!$R$1:$R$200,10)&amp;", "))),1,""))</f>
        <v/>
      </c>
      <c r="M246">
        <f>IF(Wizards!$A$11="","",IF(OR(ISNUMBER(SEARCH(", "&amp;$B246&amp;", ", ", "&amp;INDEX('Form Responses'!$I$1:$Q$200,11,$A246)&amp;", ")),ISNUMBER(SEARCH(", "&amp;$B246&amp;", ", ", "&amp;INDEX('Form Responses'!$R$1:$R$200,11)&amp;", "))),1,""))</f>
        <v/>
      </c>
      <c r="N246">
        <f>IF(Wizards!$A$12="","",IF(OR(ISNUMBER(SEARCH(", "&amp;$B246&amp;", ", ", "&amp;INDEX('Form Responses'!$I$1:$Q$200,12,$A246)&amp;", ")),ISNUMBER(SEARCH(", "&amp;$B246&amp;", ", ", "&amp;INDEX('Form Responses'!$R$1:$R$200,12)&amp;", "))),1,""))</f>
        <v/>
      </c>
      <c r="O246">
        <f>IF(Wizards!$A$13="","",IF(OR(ISNUMBER(SEARCH(", "&amp;$B246&amp;", ", ", "&amp;INDEX('Form Responses'!$I$1:$Q$200,13,$A246)&amp;", ")),ISNUMBER(SEARCH(", "&amp;$B246&amp;", ", ", "&amp;INDEX('Form Responses'!$R$1:$R$200,13)&amp;", "))),1,""))</f>
        <v/>
      </c>
      <c r="P246">
        <f>IF(Wizards!$A$14="","",IF(OR(ISNUMBER(SEARCH(", "&amp;$B246&amp;", ", ", "&amp;INDEX('Form Responses'!$I$1:$Q$200,14,$A246)&amp;", ")),ISNUMBER(SEARCH(", "&amp;$B246&amp;", ", ", "&amp;INDEX('Form Responses'!$R$1:$R$200,14)&amp;", "))),1,""))</f>
        <v/>
      </c>
      <c r="Q246">
        <f>IF(Wizards!$A$15="","",IF(OR(ISNUMBER(SEARCH(", "&amp;$B246&amp;", ", ", "&amp;INDEX('Form Responses'!$I$1:$Q$200,15,$A246)&amp;", ")),ISNUMBER(SEARCH(", "&amp;$B246&amp;", ", ", "&amp;INDEX('Form Responses'!$R$1:$R$200,15)&amp;", "))),1,""))</f>
        <v/>
      </c>
      <c r="R246">
        <f>IF(Wizards!$A$16="","",IF(OR(ISNUMBER(SEARCH(", "&amp;$B246&amp;", ", ", "&amp;INDEX('Form Responses'!$I$1:$Q$200,16,$A246)&amp;", ")),ISNUMBER(SEARCH(", "&amp;$B246&amp;", ", ", "&amp;INDEX('Form Responses'!$R$1:$R$200,16)&amp;", "))),1,""))</f>
        <v/>
      </c>
      <c r="S246">
        <f>IF(Wizards!$A$17="","",IF(OR(ISNUMBER(SEARCH(", "&amp;$B246&amp;", ", ", "&amp;INDEX('Form Responses'!$I$1:$Q$200,17,$A246)&amp;", ")),ISNUMBER(SEARCH(", "&amp;$B246&amp;", ", ", "&amp;INDEX('Form Responses'!$R$1:$R$200,17)&amp;", "))),1,""))</f>
        <v/>
      </c>
      <c r="T246">
        <f>IF(Wizards!$A$18="","",IF(OR(ISNUMBER(SEARCH(", "&amp;$B246&amp;", ", ", "&amp;INDEX('Form Responses'!$I$1:$Q$200,18,$A246)&amp;", ")),ISNUMBER(SEARCH(", "&amp;$B246&amp;", ", ", "&amp;INDEX('Form Responses'!$R$1:$R$200,18)&amp;", "))),1,""))</f>
        <v/>
      </c>
      <c r="U246">
        <f>IF(Wizards!$A$19="","",IF(OR(ISNUMBER(SEARCH(", "&amp;$B246&amp;", ", ", "&amp;INDEX('Form Responses'!$I$1:$Q$200,19,$A246)&amp;", ")),ISNUMBER(SEARCH(", "&amp;$B246&amp;", ", ", "&amp;INDEX('Form Responses'!$R$1:$R$200,19)&amp;", "))),1,""))</f>
        <v/>
      </c>
      <c r="V246">
        <f>IF(Wizards!$A$20="","",IF(OR(ISNUMBER(SEARCH(", "&amp;$B246&amp;", ", ", "&amp;INDEX('Form Responses'!$I$1:$Q$200,20,$A246)&amp;", ")),ISNUMBER(SEARCH(", "&amp;$B246&amp;", ", ", "&amp;INDEX('Form Responses'!$R$1:$R$200,20)&amp;", "))),1,""))</f>
        <v/>
      </c>
      <c r="W246">
        <f>IF(Wizards!$A$21="","",IF(OR(ISNUMBER(SEARCH(", "&amp;$B246&amp;", ", ", "&amp;INDEX('Form Responses'!$I$1:$Q$200,21,$A246)&amp;", ")),ISNUMBER(SEARCH(", "&amp;$B246&amp;", ", ", "&amp;INDEX('Form Responses'!$R$1:$R$200,21)&amp;", "))),1,""))</f>
        <v/>
      </c>
      <c r="X246">
        <f>IF(Wizards!$A$22="","",IF(OR(ISNUMBER(SEARCH(", "&amp;$B246&amp;", ", ", "&amp;INDEX('Form Responses'!$I$1:$Q$200,22,$A246)&amp;", ")),ISNUMBER(SEARCH(", "&amp;$B246&amp;", ", ", "&amp;INDEX('Form Responses'!$R$1:$R$200,22)&amp;", "))),1,""))</f>
        <v/>
      </c>
      <c r="Y246">
        <f>IF(Wizards!$A$23="","",IF(OR(ISNUMBER(SEARCH(", "&amp;$B246&amp;", ", ", "&amp;INDEX('Form Responses'!$I$1:$Q$200,23,$A246)&amp;", ")),ISNUMBER(SEARCH(", "&amp;$B246&amp;", ", ", "&amp;INDEX('Form Responses'!$R$1:$R$200,23)&amp;", "))),1,""))</f>
        <v/>
      </c>
      <c r="Z246">
        <f>IF(Wizards!$A$24="","",IF(OR(ISNUMBER(SEARCH(", "&amp;$B246&amp;", ", ", "&amp;INDEX('Form Responses'!$I$1:$Q$200,24,$A246)&amp;", ")),ISNUMBER(SEARCH(", "&amp;$B246&amp;", ", ", "&amp;INDEX('Form Responses'!$R$1:$R$200,24)&amp;", "))),1,""))</f>
        <v/>
      </c>
      <c r="AA246">
        <f>IF(Wizards!$A$25="","",IF(OR(ISNUMBER(SEARCH(", "&amp;$B246&amp;", ", ", "&amp;INDEX('Form Responses'!$I$1:$Q$200,25,$A246)&amp;", ")),ISNUMBER(SEARCH(", "&amp;$B246&amp;", ", ", "&amp;INDEX('Form Responses'!$R$1:$R$200,25)&amp;", "))),1,""))</f>
        <v/>
      </c>
      <c r="AB246">
        <f>IF(D246=1,", "&amp;D$1,"")</f>
        <v/>
      </c>
      <c r="AC246">
        <f>IF(E246=1,", "&amp;E$1,"")</f>
        <v/>
      </c>
      <c r="AD246">
        <f>IF(F246=1,", "&amp;F$1,"")</f>
        <v/>
      </c>
      <c r="AE246">
        <f>IF(G246=1,", "&amp;G$1,"")</f>
        <v/>
      </c>
      <c r="AF246">
        <f>IF(H246=1,", "&amp;H$1,"")</f>
        <v/>
      </c>
      <c r="AG246">
        <f>IF(I246=1,", "&amp;I$1,"")</f>
        <v/>
      </c>
      <c r="AH246">
        <f>IF(J246=1,", "&amp;J$1,"")</f>
        <v/>
      </c>
      <c r="AI246">
        <f>IF(K246=1,", "&amp;K$1,"")</f>
        <v/>
      </c>
      <c r="AJ246">
        <f>IF(L246=1,", "&amp;L$1,"")</f>
        <v/>
      </c>
      <c r="AK246">
        <f>IF(M246=1,", "&amp;M$1,"")</f>
        <v/>
      </c>
      <c r="AL246">
        <f>IF(N246=1,", "&amp;N$1,"")</f>
        <v/>
      </c>
      <c r="AM246">
        <f>IF(O246=1,", "&amp;O$1,"")</f>
        <v/>
      </c>
      <c r="AN246">
        <f>IF(P246=1,", "&amp;P$1,"")</f>
        <v/>
      </c>
      <c r="AO246">
        <f>IF(Q246=1,", "&amp;Q$1,"")</f>
        <v/>
      </c>
      <c r="AP246">
        <f>IF(R246=1,", "&amp;R$1,"")</f>
        <v/>
      </c>
      <c r="AQ246">
        <f>IF(S246=1,", "&amp;S$1,"")</f>
        <v/>
      </c>
      <c r="AR246">
        <f>IF(T246=1,", "&amp;T$1,"")</f>
        <v/>
      </c>
      <c r="AS246">
        <f>IF(U246=1,", "&amp;U$1,"")</f>
        <v/>
      </c>
      <c r="AT246">
        <f>IF(V246=1,", "&amp;V$1,"")</f>
        <v/>
      </c>
      <c r="AU246">
        <f>IF(W246=1,", "&amp;W$1,"")</f>
        <v/>
      </c>
      <c r="AV246">
        <f>IF(X246=1,", "&amp;X$1,"")</f>
        <v/>
      </c>
      <c r="AW246">
        <f>IF(Y246=1,", "&amp;Y$1,"")</f>
        <v/>
      </c>
      <c r="AX246">
        <f>IF(Z246=1,", "&amp;Z$1,"")</f>
        <v/>
      </c>
      <c r="AY246">
        <f>IF(AA246=1,", "&amp;AA$1,"")</f>
        <v/>
      </c>
      <c r="AZ246">
        <f>MID($AB246&amp;$AC246&amp;$AD246&amp;$AE246&amp;$AF246&amp;$AG246&amp;$AH246&amp;$AI246&amp;$AJ246&amp;$AK246&amp;$AL246&amp;$AM246&amp;$AN246&amp;$AO246&amp;$AP246&amp;$AQ246&amp;$AR246&amp;$AS246&amp;$AT246&amp;$AU246&amp;$AV246&amp;$AW246&amp;$AX246&amp;$AY246,3,32767)</f>
        <v/>
      </c>
      <c r="BA246">
        <f>COUNT($D246:$AA246)</f>
        <v/>
      </c>
    </row>
    <row r="247">
      <c r="A247" t="n">
        <v>5</v>
      </c>
      <c r="B247" t="inlineStr">
        <is>
          <t>Wall of Stone</t>
        </is>
      </c>
      <c r="C247" t="inlineStr">
        <is>
          <t>Evocation</t>
        </is>
      </c>
      <c r="D247">
        <f>IF(Wizards!$A$2="","",IF(OR(ISNUMBER(SEARCH(", "&amp;$B247&amp;", ", ", "&amp;INDEX('Form Responses'!$I$1:$Q$200,2,$A247)&amp;", ")),ISNUMBER(SEARCH(", "&amp;$B247&amp;", ", ", "&amp;INDEX('Form Responses'!$R$1:$R$200,2)&amp;", "))),1,""))</f>
        <v/>
      </c>
      <c r="E247">
        <f>IF(Wizards!$A$3="","",IF(OR(ISNUMBER(SEARCH(", "&amp;$B247&amp;", ", ", "&amp;INDEX('Form Responses'!$I$1:$Q$200,3,$A247)&amp;", ")),ISNUMBER(SEARCH(", "&amp;$B247&amp;", ", ", "&amp;INDEX('Form Responses'!$R$1:$R$200,3)&amp;", "))),1,""))</f>
        <v/>
      </c>
      <c r="F247">
        <f>IF(Wizards!$A$4="","",IF(OR(ISNUMBER(SEARCH(", "&amp;$B247&amp;", ", ", "&amp;INDEX('Form Responses'!$I$1:$Q$200,4,$A247)&amp;", ")),ISNUMBER(SEARCH(", "&amp;$B247&amp;", ", ", "&amp;INDEX('Form Responses'!$R$1:$R$200,4)&amp;", "))),1,""))</f>
        <v/>
      </c>
      <c r="G247">
        <f>IF(Wizards!$A$5="","",IF(OR(ISNUMBER(SEARCH(", "&amp;$B247&amp;", ", ", "&amp;INDEX('Form Responses'!$I$1:$Q$200,5,$A247)&amp;", ")),ISNUMBER(SEARCH(", "&amp;$B247&amp;", ", ", "&amp;INDEX('Form Responses'!$R$1:$R$200,5)&amp;", "))),1,""))</f>
        <v/>
      </c>
      <c r="H247">
        <f>IF(Wizards!$A$6="","",IF(OR(ISNUMBER(SEARCH(", "&amp;$B247&amp;", ", ", "&amp;INDEX('Form Responses'!$I$1:$Q$200,6,$A247)&amp;", ")),ISNUMBER(SEARCH(", "&amp;$B247&amp;", ", ", "&amp;INDEX('Form Responses'!$R$1:$R$200,6)&amp;", "))),1,""))</f>
        <v/>
      </c>
      <c r="I247">
        <f>IF(Wizards!$A$7="","",IF(OR(ISNUMBER(SEARCH(", "&amp;$B247&amp;", ", ", "&amp;INDEX('Form Responses'!$I$1:$Q$200,7,$A247)&amp;", ")),ISNUMBER(SEARCH(", "&amp;$B247&amp;", ", ", "&amp;INDEX('Form Responses'!$R$1:$R$200,7)&amp;", "))),1,""))</f>
        <v/>
      </c>
      <c r="J247">
        <f>IF(Wizards!$A$8="","",IF(OR(ISNUMBER(SEARCH(", "&amp;$B247&amp;", ", ", "&amp;INDEX('Form Responses'!$I$1:$Q$200,8,$A247)&amp;", ")),ISNUMBER(SEARCH(", "&amp;$B247&amp;", ", ", "&amp;INDEX('Form Responses'!$R$1:$R$200,8)&amp;", "))),1,""))</f>
        <v/>
      </c>
      <c r="K247">
        <f>IF(Wizards!$A$9="","",IF(OR(ISNUMBER(SEARCH(", "&amp;$B247&amp;", ", ", "&amp;INDEX('Form Responses'!$I$1:$Q$200,9,$A247)&amp;", ")),ISNUMBER(SEARCH(", "&amp;$B247&amp;", ", ", "&amp;INDEX('Form Responses'!$R$1:$R$200,9)&amp;", "))),1,""))</f>
        <v/>
      </c>
      <c r="L247">
        <f>IF(Wizards!$A$10="","",IF(OR(ISNUMBER(SEARCH(", "&amp;$B247&amp;", ", ", "&amp;INDEX('Form Responses'!$I$1:$Q$200,10,$A247)&amp;", ")),ISNUMBER(SEARCH(", "&amp;$B247&amp;", ", ", "&amp;INDEX('Form Responses'!$R$1:$R$200,10)&amp;", "))),1,""))</f>
        <v/>
      </c>
      <c r="M247">
        <f>IF(Wizards!$A$11="","",IF(OR(ISNUMBER(SEARCH(", "&amp;$B247&amp;", ", ", "&amp;INDEX('Form Responses'!$I$1:$Q$200,11,$A247)&amp;", ")),ISNUMBER(SEARCH(", "&amp;$B247&amp;", ", ", "&amp;INDEX('Form Responses'!$R$1:$R$200,11)&amp;", "))),1,""))</f>
        <v/>
      </c>
      <c r="N247">
        <f>IF(Wizards!$A$12="","",IF(OR(ISNUMBER(SEARCH(", "&amp;$B247&amp;", ", ", "&amp;INDEX('Form Responses'!$I$1:$Q$200,12,$A247)&amp;", ")),ISNUMBER(SEARCH(", "&amp;$B247&amp;", ", ", "&amp;INDEX('Form Responses'!$R$1:$R$200,12)&amp;", "))),1,""))</f>
        <v/>
      </c>
      <c r="O247">
        <f>IF(Wizards!$A$13="","",IF(OR(ISNUMBER(SEARCH(", "&amp;$B247&amp;", ", ", "&amp;INDEX('Form Responses'!$I$1:$Q$200,13,$A247)&amp;", ")),ISNUMBER(SEARCH(", "&amp;$B247&amp;", ", ", "&amp;INDEX('Form Responses'!$R$1:$R$200,13)&amp;", "))),1,""))</f>
        <v/>
      </c>
      <c r="P247">
        <f>IF(Wizards!$A$14="","",IF(OR(ISNUMBER(SEARCH(", "&amp;$B247&amp;", ", ", "&amp;INDEX('Form Responses'!$I$1:$Q$200,14,$A247)&amp;", ")),ISNUMBER(SEARCH(", "&amp;$B247&amp;", ", ", "&amp;INDEX('Form Responses'!$R$1:$R$200,14)&amp;", "))),1,""))</f>
        <v/>
      </c>
      <c r="Q247">
        <f>IF(Wizards!$A$15="","",IF(OR(ISNUMBER(SEARCH(", "&amp;$B247&amp;", ", ", "&amp;INDEX('Form Responses'!$I$1:$Q$200,15,$A247)&amp;", ")),ISNUMBER(SEARCH(", "&amp;$B247&amp;", ", ", "&amp;INDEX('Form Responses'!$R$1:$R$200,15)&amp;", "))),1,""))</f>
        <v/>
      </c>
      <c r="R247">
        <f>IF(Wizards!$A$16="","",IF(OR(ISNUMBER(SEARCH(", "&amp;$B247&amp;", ", ", "&amp;INDEX('Form Responses'!$I$1:$Q$200,16,$A247)&amp;", ")),ISNUMBER(SEARCH(", "&amp;$B247&amp;", ", ", "&amp;INDEX('Form Responses'!$R$1:$R$200,16)&amp;", "))),1,""))</f>
        <v/>
      </c>
      <c r="S247">
        <f>IF(Wizards!$A$17="","",IF(OR(ISNUMBER(SEARCH(", "&amp;$B247&amp;", ", ", "&amp;INDEX('Form Responses'!$I$1:$Q$200,17,$A247)&amp;", ")),ISNUMBER(SEARCH(", "&amp;$B247&amp;", ", ", "&amp;INDEX('Form Responses'!$R$1:$R$200,17)&amp;", "))),1,""))</f>
        <v/>
      </c>
      <c r="T247">
        <f>IF(Wizards!$A$18="","",IF(OR(ISNUMBER(SEARCH(", "&amp;$B247&amp;", ", ", "&amp;INDEX('Form Responses'!$I$1:$Q$200,18,$A247)&amp;", ")),ISNUMBER(SEARCH(", "&amp;$B247&amp;", ", ", "&amp;INDEX('Form Responses'!$R$1:$R$200,18)&amp;", "))),1,""))</f>
        <v/>
      </c>
      <c r="U247">
        <f>IF(Wizards!$A$19="","",IF(OR(ISNUMBER(SEARCH(", "&amp;$B247&amp;", ", ", "&amp;INDEX('Form Responses'!$I$1:$Q$200,19,$A247)&amp;", ")),ISNUMBER(SEARCH(", "&amp;$B247&amp;", ", ", "&amp;INDEX('Form Responses'!$R$1:$R$200,19)&amp;", "))),1,""))</f>
        <v/>
      </c>
      <c r="V247">
        <f>IF(Wizards!$A$20="","",IF(OR(ISNUMBER(SEARCH(", "&amp;$B247&amp;", ", ", "&amp;INDEX('Form Responses'!$I$1:$Q$200,20,$A247)&amp;", ")),ISNUMBER(SEARCH(", "&amp;$B247&amp;", ", ", "&amp;INDEX('Form Responses'!$R$1:$R$200,20)&amp;", "))),1,""))</f>
        <v/>
      </c>
      <c r="W247">
        <f>IF(Wizards!$A$21="","",IF(OR(ISNUMBER(SEARCH(", "&amp;$B247&amp;", ", ", "&amp;INDEX('Form Responses'!$I$1:$Q$200,21,$A247)&amp;", ")),ISNUMBER(SEARCH(", "&amp;$B247&amp;", ", ", "&amp;INDEX('Form Responses'!$R$1:$R$200,21)&amp;", "))),1,""))</f>
        <v/>
      </c>
      <c r="X247">
        <f>IF(Wizards!$A$22="","",IF(OR(ISNUMBER(SEARCH(", "&amp;$B247&amp;", ", ", "&amp;INDEX('Form Responses'!$I$1:$Q$200,22,$A247)&amp;", ")),ISNUMBER(SEARCH(", "&amp;$B247&amp;", ", ", "&amp;INDEX('Form Responses'!$R$1:$R$200,22)&amp;", "))),1,""))</f>
        <v/>
      </c>
      <c r="Y247">
        <f>IF(Wizards!$A$23="","",IF(OR(ISNUMBER(SEARCH(", "&amp;$B247&amp;", ", ", "&amp;INDEX('Form Responses'!$I$1:$Q$200,23,$A247)&amp;", ")),ISNUMBER(SEARCH(", "&amp;$B247&amp;", ", ", "&amp;INDEX('Form Responses'!$R$1:$R$200,23)&amp;", "))),1,""))</f>
        <v/>
      </c>
      <c r="Z247">
        <f>IF(Wizards!$A$24="","",IF(OR(ISNUMBER(SEARCH(", "&amp;$B247&amp;", ", ", "&amp;INDEX('Form Responses'!$I$1:$Q$200,24,$A247)&amp;", ")),ISNUMBER(SEARCH(", "&amp;$B247&amp;", ", ", "&amp;INDEX('Form Responses'!$R$1:$R$200,24)&amp;", "))),1,""))</f>
        <v/>
      </c>
      <c r="AA247">
        <f>IF(Wizards!$A$25="","",IF(OR(ISNUMBER(SEARCH(", "&amp;$B247&amp;", ", ", "&amp;INDEX('Form Responses'!$I$1:$Q$200,25,$A247)&amp;", ")),ISNUMBER(SEARCH(", "&amp;$B247&amp;", ", ", "&amp;INDEX('Form Responses'!$R$1:$R$200,25)&amp;", "))),1,""))</f>
        <v/>
      </c>
      <c r="AB247">
        <f>IF(D247=1,", "&amp;D$1,"")</f>
        <v/>
      </c>
      <c r="AC247">
        <f>IF(E247=1,", "&amp;E$1,"")</f>
        <v/>
      </c>
      <c r="AD247">
        <f>IF(F247=1,", "&amp;F$1,"")</f>
        <v/>
      </c>
      <c r="AE247">
        <f>IF(G247=1,", "&amp;G$1,"")</f>
        <v/>
      </c>
      <c r="AF247">
        <f>IF(H247=1,", "&amp;H$1,"")</f>
        <v/>
      </c>
      <c r="AG247">
        <f>IF(I247=1,", "&amp;I$1,"")</f>
        <v/>
      </c>
      <c r="AH247">
        <f>IF(J247=1,", "&amp;J$1,"")</f>
        <v/>
      </c>
      <c r="AI247">
        <f>IF(K247=1,", "&amp;K$1,"")</f>
        <v/>
      </c>
      <c r="AJ247">
        <f>IF(L247=1,", "&amp;L$1,"")</f>
        <v/>
      </c>
      <c r="AK247">
        <f>IF(M247=1,", "&amp;M$1,"")</f>
        <v/>
      </c>
      <c r="AL247">
        <f>IF(N247=1,", "&amp;N$1,"")</f>
        <v/>
      </c>
      <c r="AM247">
        <f>IF(O247=1,", "&amp;O$1,"")</f>
        <v/>
      </c>
      <c r="AN247">
        <f>IF(P247=1,", "&amp;P$1,"")</f>
        <v/>
      </c>
      <c r="AO247">
        <f>IF(Q247=1,", "&amp;Q$1,"")</f>
        <v/>
      </c>
      <c r="AP247">
        <f>IF(R247=1,", "&amp;R$1,"")</f>
        <v/>
      </c>
      <c r="AQ247">
        <f>IF(S247=1,", "&amp;S$1,"")</f>
        <v/>
      </c>
      <c r="AR247">
        <f>IF(T247=1,", "&amp;T$1,"")</f>
        <v/>
      </c>
      <c r="AS247">
        <f>IF(U247=1,", "&amp;U$1,"")</f>
        <v/>
      </c>
      <c r="AT247">
        <f>IF(V247=1,", "&amp;V$1,"")</f>
        <v/>
      </c>
      <c r="AU247">
        <f>IF(W247=1,", "&amp;W$1,"")</f>
        <v/>
      </c>
      <c r="AV247">
        <f>IF(X247=1,", "&amp;X$1,"")</f>
        <v/>
      </c>
      <c r="AW247">
        <f>IF(Y247=1,", "&amp;Y$1,"")</f>
        <v/>
      </c>
      <c r="AX247">
        <f>IF(Z247=1,", "&amp;Z$1,"")</f>
        <v/>
      </c>
      <c r="AY247">
        <f>IF(AA247=1,", "&amp;AA$1,"")</f>
        <v/>
      </c>
      <c r="AZ247">
        <f>MID($AB247&amp;$AC247&amp;$AD247&amp;$AE247&amp;$AF247&amp;$AG247&amp;$AH247&amp;$AI247&amp;$AJ247&amp;$AK247&amp;$AL247&amp;$AM247&amp;$AN247&amp;$AO247&amp;$AP247&amp;$AQ247&amp;$AR247&amp;$AS247&amp;$AT247&amp;$AU247&amp;$AV247&amp;$AW247&amp;$AX247&amp;$AY247,3,32767)</f>
        <v/>
      </c>
      <c r="BA247">
        <f>COUNT($D247:$AA247)</f>
        <v/>
      </c>
    </row>
    <row r="248">
      <c r="A248" t="n">
        <v>5</v>
      </c>
      <c r="B248" t="inlineStr">
        <is>
          <t>Waves of Exhaustion</t>
        </is>
      </c>
      <c r="C248" t="inlineStr">
        <is>
          <t>Necromancy</t>
        </is>
      </c>
      <c r="D248">
        <f>IF(Wizards!$A$2="","",IF(OR(ISNUMBER(SEARCH(", "&amp;$B248&amp;", ", ", "&amp;INDEX('Form Responses'!$I$1:$Q$200,2,$A248)&amp;", ")),ISNUMBER(SEARCH(", "&amp;$B248&amp;", ", ", "&amp;INDEX('Form Responses'!$R$1:$R$200,2)&amp;", "))),1,""))</f>
        <v/>
      </c>
      <c r="E248">
        <f>IF(Wizards!$A$3="","",IF(OR(ISNUMBER(SEARCH(", "&amp;$B248&amp;", ", ", "&amp;INDEX('Form Responses'!$I$1:$Q$200,3,$A248)&amp;", ")),ISNUMBER(SEARCH(", "&amp;$B248&amp;", ", ", "&amp;INDEX('Form Responses'!$R$1:$R$200,3)&amp;", "))),1,""))</f>
        <v/>
      </c>
      <c r="F248">
        <f>IF(Wizards!$A$4="","",IF(OR(ISNUMBER(SEARCH(", "&amp;$B248&amp;", ", ", "&amp;INDEX('Form Responses'!$I$1:$Q$200,4,$A248)&amp;", ")),ISNUMBER(SEARCH(", "&amp;$B248&amp;", ", ", "&amp;INDEX('Form Responses'!$R$1:$R$200,4)&amp;", "))),1,""))</f>
        <v/>
      </c>
      <c r="G248">
        <f>IF(Wizards!$A$5="","",IF(OR(ISNUMBER(SEARCH(", "&amp;$B248&amp;", ", ", "&amp;INDEX('Form Responses'!$I$1:$Q$200,5,$A248)&amp;", ")),ISNUMBER(SEARCH(", "&amp;$B248&amp;", ", ", "&amp;INDEX('Form Responses'!$R$1:$R$200,5)&amp;", "))),1,""))</f>
        <v/>
      </c>
      <c r="H248">
        <f>IF(Wizards!$A$6="","",IF(OR(ISNUMBER(SEARCH(", "&amp;$B248&amp;", ", ", "&amp;INDEX('Form Responses'!$I$1:$Q$200,6,$A248)&amp;", ")),ISNUMBER(SEARCH(", "&amp;$B248&amp;", ", ", "&amp;INDEX('Form Responses'!$R$1:$R$200,6)&amp;", "))),1,""))</f>
        <v/>
      </c>
      <c r="I248">
        <f>IF(Wizards!$A$7="","",IF(OR(ISNUMBER(SEARCH(", "&amp;$B248&amp;", ", ", "&amp;INDEX('Form Responses'!$I$1:$Q$200,7,$A248)&amp;", ")),ISNUMBER(SEARCH(", "&amp;$B248&amp;", ", ", "&amp;INDEX('Form Responses'!$R$1:$R$200,7)&amp;", "))),1,""))</f>
        <v/>
      </c>
      <c r="J248">
        <f>IF(Wizards!$A$8="","",IF(OR(ISNUMBER(SEARCH(", "&amp;$B248&amp;", ", ", "&amp;INDEX('Form Responses'!$I$1:$Q$200,8,$A248)&amp;", ")),ISNUMBER(SEARCH(", "&amp;$B248&amp;", ", ", "&amp;INDEX('Form Responses'!$R$1:$R$200,8)&amp;", "))),1,""))</f>
        <v/>
      </c>
      <c r="K248">
        <f>IF(Wizards!$A$9="","",IF(OR(ISNUMBER(SEARCH(", "&amp;$B248&amp;", ", ", "&amp;INDEX('Form Responses'!$I$1:$Q$200,9,$A248)&amp;", ")),ISNUMBER(SEARCH(", "&amp;$B248&amp;", ", ", "&amp;INDEX('Form Responses'!$R$1:$R$200,9)&amp;", "))),1,""))</f>
        <v/>
      </c>
      <c r="L248">
        <f>IF(Wizards!$A$10="","",IF(OR(ISNUMBER(SEARCH(", "&amp;$B248&amp;", ", ", "&amp;INDEX('Form Responses'!$I$1:$Q$200,10,$A248)&amp;", ")),ISNUMBER(SEARCH(", "&amp;$B248&amp;", ", ", "&amp;INDEX('Form Responses'!$R$1:$R$200,10)&amp;", "))),1,""))</f>
        <v/>
      </c>
      <c r="M248">
        <f>IF(Wizards!$A$11="","",IF(OR(ISNUMBER(SEARCH(", "&amp;$B248&amp;", ", ", "&amp;INDEX('Form Responses'!$I$1:$Q$200,11,$A248)&amp;", ")),ISNUMBER(SEARCH(", "&amp;$B248&amp;", ", ", "&amp;INDEX('Form Responses'!$R$1:$R$200,11)&amp;", "))),1,""))</f>
        <v/>
      </c>
      <c r="N248">
        <f>IF(Wizards!$A$12="","",IF(OR(ISNUMBER(SEARCH(", "&amp;$B248&amp;", ", ", "&amp;INDEX('Form Responses'!$I$1:$Q$200,12,$A248)&amp;", ")),ISNUMBER(SEARCH(", "&amp;$B248&amp;", ", ", "&amp;INDEX('Form Responses'!$R$1:$R$200,12)&amp;", "))),1,""))</f>
        <v/>
      </c>
      <c r="O248">
        <f>IF(Wizards!$A$13="","",IF(OR(ISNUMBER(SEARCH(", "&amp;$B248&amp;", ", ", "&amp;INDEX('Form Responses'!$I$1:$Q$200,13,$A248)&amp;", ")),ISNUMBER(SEARCH(", "&amp;$B248&amp;", ", ", "&amp;INDEX('Form Responses'!$R$1:$R$200,13)&amp;", "))),1,""))</f>
        <v/>
      </c>
      <c r="P248">
        <f>IF(Wizards!$A$14="","",IF(OR(ISNUMBER(SEARCH(", "&amp;$B248&amp;", ", ", "&amp;INDEX('Form Responses'!$I$1:$Q$200,14,$A248)&amp;", ")),ISNUMBER(SEARCH(", "&amp;$B248&amp;", ", ", "&amp;INDEX('Form Responses'!$R$1:$R$200,14)&amp;", "))),1,""))</f>
        <v/>
      </c>
      <c r="Q248">
        <f>IF(Wizards!$A$15="","",IF(OR(ISNUMBER(SEARCH(", "&amp;$B248&amp;", ", ", "&amp;INDEX('Form Responses'!$I$1:$Q$200,15,$A248)&amp;", ")),ISNUMBER(SEARCH(", "&amp;$B248&amp;", ", ", "&amp;INDEX('Form Responses'!$R$1:$R$200,15)&amp;", "))),1,""))</f>
        <v/>
      </c>
      <c r="R248">
        <f>IF(Wizards!$A$16="","",IF(OR(ISNUMBER(SEARCH(", "&amp;$B248&amp;", ", ", "&amp;INDEX('Form Responses'!$I$1:$Q$200,16,$A248)&amp;", ")),ISNUMBER(SEARCH(", "&amp;$B248&amp;", ", ", "&amp;INDEX('Form Responses'!$R$1:$R$200,16)&amp;", "))),1,""))</f>
        <v/>
      </c>
      <c r="S248">
        <f>IF(Wizards!$A$17="","",IF(OR(ISNUMBER(SEARCH(", "&amp;$B248&amp;", ", ", "&amp;INDEX('Form Responses'!$I$1:$Q$200,17,$A248)&amp;", ")),ISNUMBER(SEARCH(", "&amp;$B248&amp;", ", ", "&amp;INDEX('Form Responses'!$R$1:$R$200,17)&amp;", "))),1,""))</f>
        <v/>
      </c>
      <c r="T248">
        <f>IF(Wizards!$A$18="","",IF(OR(ISNUMBER(SEARCH(", "&amp;$B248&amp;", ", ", "&amp;INDEX('Form Responses'!$I$1:$Q$200,18,$A248)&amp;", ")),ISNUMBER(SEARCH(", "&amp;$B248&amp;", ", ", "&amp;INDEX('Form Responses'!$R$1:$R$200,18)&amp;", "))),1,""))</f>
        <v/>
      </c>
      <c r="U248">
        <f>IF(Wizards!$A$19="","",IF(OR(ISNUMBER(SEARCH(", "&amp;$B248&amp;", ", ", "&amp;INDEX('Form Responses'!$I$1:$Q$200,19,$A248)&amp;", ")),ISNUMBER(SEARCH(", "&amp;$B248&amp;", ", ", "&amp;INDEX('Form Responses'!$R$1:$R$200,19)&amp;", "))),1,""))</f>
        <v/>
      </c>
      <c r="V248">
        <f>IF(Wizards!$A$20="","",IF(OR(ISNUMBER(SEARCH(", "&amp;$B248&amp;", ", ", "&amp;INDEX('Form Responses'!$I$1:$Q$200,20,$A248)&amp;", ")),ISNUMBER(SEARCH(", "&amp;$B248&amp;", ", ", "&amp;INDEX('Form Responses'!$R$1:$R$200,20)&amp;", "))),1,""))</f>
        <v/>
      </c>
      <c r="W248">
        <f>IF(Wizards!$A$21="","",IF(OR(ISNUMBER(SEARCH(", "&amp;$B248&amp;", ", ", "&amp;INDEX('Form Responses'!$I$1:$Q$200,21,$A248)&amp;", ")),ISNUMBER(SEARCH(", "&amp;$B248&amp;", ", ", "&amp;INDEX('Form Responses'!$R$1:$R$200,21)&amp;", "))),1,""))</f>
        <v/>
      </c>
      <c r="X248">
        <f>IF(Wizards!$A$22="","",IF(OR(ISNUMBER(SEARCH(", "&amp;$B248&amp;", ", ", "&amp;INDEX('Form Responses'!$I$1:$Q$200,22,$A248)&amp;", ")),ISNUMBER(SEARCH(", "&amp;$B248&amp;", ", ", "&amp;INDEX('Form Responses'!$R$1:$R$200,22)&amp;", "))),1,""))</f>
        <v/>
      </c>
      <c r="Y248">
        <f>IF(Wizards!$A$23="","",IF(OR(ISNUMBER(SEARCH(", "&amp;$B248&amp;", ", ", "&amp;INDEX('Form Responses'!$I$1:$Q$200,23,$A248)&amp;", ")),ISNUMBER(SEARCH(", "&amp;$B248&amp;", ", ", "&amp;INDEX('Form Responses'!$R$1:$R$200,23)&amp;", "))),1,""))</f>
        <v/>
      </c>
      <c r="Z248">
        <f>IF(Wizards!$A$24="","",IF(OR(ISNUMBER(SEARCH(", "&amp;$B248&amp;", ", ", "&amp;INDEX('Form Responses'!$I$1:$Q$200,24,$A248)&amp;", ")),ISNUMBER(SEARCH(", "&amp;$B248&amp;", ", ", "&amp;INDEX('Form Responses'!$R$1:$R$200,24)&amp;", "))),1,""))</f>
        <v/>
      </c>
      <c r="AA248">
        <f>IF(Wizards!$A$25="","",IF(OR(ISNUMBER(SEARCH(", "&amp;$B248&amp;", ", ", "&amp;INDEX('Form Responses'!$I$1:$Q$200,25,$A248)&amp;", ")),ISNUMBER(SEARCH(", "&amp;$B248&amp;", ", ", "&amp;INDEX('Form Responses'!$R$1:$R$200,25)&amp;", "))),1,""))</f>
        <v/>
      </c>
      <c r="AB248">
        <f>IF(D248=1,", "&amp;D$1,"")</f>
        <v/>
      </c>
      <c r="AC248">
        <f>IF(E248=1,", "&amp;E$1,"")</f>
        <v/>
      </c>
      <c r="AD248">
        <f>IF(F248=1,", "&amp;F$1,"")</f>
        <v/>
      </c>
      <c r="AE248">
        <f>IF(G248=1,", "&amp;G$1,"")</f>
        <v/>
      </c>
      <c r="AF248">
        <f>IF(H248=1,", "&amp;H$1,"")</f>
        <v/>
      </c>
      <c r="AG248">
        <f>IF(I248=1,", "&amp;I$1,"")</f>
        <v/>
      </c>
      <c r="AH248">
        <f>IF(J248=1,", "&amp;J$1,"")</f>
        <v/>
      </c>
      <c r="AI248">
        <f>IF(K248=1,", "&amp;K$1,"")</f>
        <v/>
      </c>
      <c r="AJ248">
        <f>IF(L248=1,", "&amp;L$1,"")</f>
        <v/>
      </c>
      <c r="AK248">
        <f>IF(M248=1,", "&amp;M$1,"")</f>
        <v/>
      </c>
      <c r="AL248">
        <f>IF(N248=1,", "&amp;N$1,"")</f>
        <v/>
      </c>
      <c r="AM248">
        <f>IF(O248=1,", "&amp;O$1,"")</f>
        <v/>
      </c>
      <c r="AN248">
        <f>IF(P248=1,", "&amp;P$1,"")</f>
        <v/>
      </c>
      <c r="AO248">
        <f>IF(Q248=1,", "&amp;Q$1,"")</f>
        <v/>
      </c>
      <c r="AP248">
        <f>IF(R248=1,", "&amp;R$1,"")</f>
        <v/>
      </c>
      <c r="AQ248">
        <f>IF(S248=1,", "&amp;S$1,"")</f>
        <v/>
      </c>
      <c r="AR248">
        <f>IF(T248=1,", "&amp;T$1,"")</f>
        <v/>
      </c>
      <c r="AS248">
        <f>IF(U248=1,", "&amp;U$1,"")</f>
        <v/>
      </c>
      <c r="AT248">
        <f>IF(V248=1,", "&amp;V$1,"")</f>
        <v/>
      </c>
      <c r="AU248">
        <f>IF(W248=1,", "&amp;W$1,"")</f>
        <v/>
      </c>
      <c r="AV248">
        <f>IF(X248=1,", "&amp;X$1,"")</f>
        <v/>
      </c>
      <c r="AW248">
        <f>IF(Y248=1,", "&amp;Y$1,"")</f>
        <v/>
      </c>
      <c r="AX248">
        <f>IF(Z248=1,", "&amp;Z$1,"")</f>
        <v/>
      </c>
      <c r="AY248">
        <f>IF(AA248=1,", "&amp;AA$1,"")</f>
        <v/>
      </c>
      <c r="AZ248">
        <f>MID($AB248&amp;$AC248&amp;$AD248&amp;$AE248&amp;$AF248&amp;$AG248&amp;$AH248&amp;$AI248&amp;$AJ248&amp;$AK248&amp;$AL248&amp;$AM248&amp;$AN248&amp;$AO248&amp;$AP248&amp;$AQ248&amp;$AR248&amp;$AS248&amp;$AT248&amp;$AU248&amp;$AV248&amp;$AW248&amp;$AX248&amp;$AY248,3,32767)</f>
        <v/>
      </c>
      <c r="BA248">
        <f>COUNT($D248:$AA248)</f>
        <v/>
      </c>
    </row>
    <row r="249">
      <c r="A249" t="n">
        <v>5</v>
      </c>
      <c r="B249" t="inlineStr">
        <is>
          <t>Yolande's Regal Presence</t>
        </is>
      </c>
      <c r="C249" t="inlineStr">
        <is>
          <t>Enchantment</t>
        </is>
      </c>
      <c r="D249">
        <f>IF(Wizards!$A$2="","",IF(OR(ISNUMBER(SEARCH(", "&amp;$B249&amp;", ", ", "&amp;INDEX('Form Responses'!$I$1:$Q$200,2,$A249)&amp;", ")),ISNUMBER(SEARCH(", "&amp;$B249&amp;", ", ", "&amp;INDEX('Form Responses'!$R$1:$R$200,2)&amp;", "))),1,""))</f>
        <v/>
      </c>
      <c r="E249">
        <f>IF(Wizards!$A$3="","",IF(OR(ISNUMBER(SEARCH(", "&amp;$B249&amp;", ", ", "&amp;INDEX('Form Responses'!$I$1:$Q$200,3,$A249)&amp;", ")),ISNUMBER(SEARCH(", "&amp;$B249&amp;", ", ", "&amp;INDEX('Form Responses'!$R$1:$R$200,3)&amp;", "))),1,""))</f>
        <v/>
      </c>
      <c r="F249">
        <f>IF(Wizards!$A$4="","",IF(OR(ISNUMBER(SEARCH(", "&amp;$B249&amp;", ", ", "&amp;INDEX('Form Responses'!$I$1:$Q$200,4,$A249)&amp;", ")),ISNUMBER(SEARCH(", "&amp;$B249&amp;", ", ", "&amp;INDEX('Form Responses'!$R$1:$R$200,4)&amp;", "))),1,""))</f>
        <v/>
      </c>
      <c r="G249">
        <f>IF(Wizards!$A$5="","",IF(OR(ISNUMBER(SEARCH(", "&amp;$B249&amp;", ", ", "&amp;INDEX('Form Responses'!$I$1:$Q$200,5,$A249)&amp;", ")),ISNUMBER(SEARCH(", "&amp;$B249&amp;", ", ", "&amp;INDEX('Form Responses'!$R$1:$R$200,5)&amp;", "))),1,""))</f>
        <v/>
      </c>
      <c r="H249">
        <f>IF(Wizards!$A$6="","",IF(OR(ISNUMBER(SEARCH(", "&amp;$B249&amp;", ", ", "&amp;INDEX('Form Responses'!$I$1:$Q$200,6,$A249)&amp;", ")),ISNUMBER(SEARCH(", "&amp;$B249&amp;", ", ", "&amp;INDEX('Form Responses'!$R$1:$R$200,6)&amp;", "))),1,""))</f>
        <v/>
      </c>
      <c r="I249">
        <f>IF(Wizards!$A$7="","",IF(OR(ISNUMBER(SEARCH(", "&amp;$B249&amp;", ", ", "&amp;INDEX('Form Responses'!$I$1:$Q$200,7,$A249)&amp;", ")),ISNUMBER(SEARCH(", "&amp;$B249&amp;", ", ", "&amp;INDEX('Form Responses'!$R$1:$R$200,7)&amp;", "))),1,""))</f>
        <v/>
      </c>
      <c r="J249">
        <f>IF(Wizards!$A$8="","",IF(OR(ISNUMBER(SEARCH(", "&amp;$B249&amp;", ", ", "&amp;INDEX('Form Responses'!$I$1:$Q$200,8,$A249)&amp;", ")),ISNUMBER(SEARCH(", "&amp;$B249&amp;", ", ", "&amp;INDEX('Form Responses'!$R$1:$R$200,8)&amp;", "))),1,""))</f>
        <v/>
      </c>
      <c r="K249">
        <f>IF(Wizards!$A$9="","",IF(OR(ISNUMBER(SEARCH(", "&amp;$B249&amp;", ", ", "&amp;INDEX('Form Responses'!$I$1:$Q$200,9,$A249)&amp;", ")),ISNUMBER(SEARCH(", "&amp;$B249&amp;", ", ", "&amp;INDEX('Form Responses'!$R$1:$R$200,9)&amp;", "))),1,""))</f>
        <v/>
      </c>
      <c r="L249">
        <f>IF(Wizards!$A$10="","",IF(OR(ISNUMBER(SEARCH(", "&amp;$B249&amp;", ", ", "&amp;INDEX('Form Responses'!$I$1:$Q$200,10,$A249)&amp;", ")),ISNUMBER(SEARCH(", "&amp;$B249&amp;", ", ", "&amp;INDEX('Form Responses'!$R$1:$R$200,10)&amp;", "))),1,""))</f>
        <v/>
      </c>
      <c r="M249">
        <f>IF(Wizards!$A$11="","",IF(OR(ISNUMBER(SEARCH(", "&amp;$B249&amp;", ", ", "&amp;INDEX('Form Responses'!$I$1:$Q$200,11,$A249)&amp;", ")),ISNUMBER(SEARCH(", "&amp;$B249&amp;", ", ", "&amp;INDEX('Form Responses'!$R$1:$R$200,11)&amp;", "))),1,""))</f>
        <v/>
      </c>
      <c r="N249">
        <f>IF(Wizards!$A$12="","",IF(OR(ISNUMBER(SEARCH(", "&amp;$B249&amp;", ", ", "&amp;INDEX('Form Responses'!$I$1:$Q$200,12,$A249)&amp;", ")),ISNUMBER(SEARCH(", "&amp;$B249&amp;", ", ", "&amp;INDEX('Form Responses'!$R$1:$R$200,12)&amp;", "))),1,""))</f>
        <v/>
      </c>
      <c r="O249">
        <f>IF(Wizards!$A$13="","",IF(OR(ISNUMBER(SEARCH(", "&amp;$B249&amp;", ", ", "&amp;INDEX('Form Responses'!$I$1:$Q$200,13,$A249)&amp;", ")),ISNUMBER(SEARCH(", "&amp;$B249&amp;", ", ", "&amp;INDEX('Form Responses'!$R$1:$R$200,13)&amp;", "))),1,""))</f>
        <v/>
      </c>
      <c r="P249">
        <f>IF(Wizards!$A$14="","",IF(OR(ISNUMBER(SEARCH(", "&amp;$B249&amp;", ", ", "&amp;INDEX('Form Responses'!$I$1:$Q$200,14,$A249)&amp;", ")),ISNUMBER(SEARCH(", "&amp;$B249&amp;", ", ", "&amp;INDEX('Form Responses'!$R$1:$R$200,14)&amp;", "))),1,""))</f>
        <v/>
      </c>
      <c r="Q249">
        <f>IF(Wizards!$A$15="","",IF(OR(ISNUMBER(SEARCH(", "&amp;$B249&amp;", ", ", "&amp;INDEX('Form Responses'!$I$1:$Q$200,15,$A249)&amp;", ")),ISNUMBER(SEARCH(", "&amp;$B249&amp;", ", ", "&amp;INDEX('Form Responses'!$R$1:$R$200,15)&amp;", "))),1,""))</f>
        <v/>
      </c>
      <c r="R249">
        <f>IF(Wizards!$A$16="","",IF(OR(ISNUMBER(SEARCH(", "&amp;$B249&amp;", ", ", "&amp;INDEX('Form Responses'!$I$1:$Q$200,16,$A249)&amp;", ")),ISNUMBER(SEARCH(", "&amp;$B249&amp;", ", ", "&amp;INDEX('Form Responses'!$R$1:$R$200,16)&amp;", "))),1,""))</f>
        <v/>
      </c>
      <c r="S249">
        <f>IF(Wizards!$A$17="","",IF(OR(ISNUMBER(SEARCH(", "&amp;$B249&amp;", ", ", "&amp;INDEX('Form Responses'!$I$1:$Q$200,17,$A249)&amp;", ")),ISNUMBER(SEARCH(", "&amp;$B249&amp;", ", ", "&amp;INDEX('Form Responses'!$R$1:$R$200,17)&amp;", "))),1,""))</f>
        <v/>
      </c>
      <c r="T249">
        <f>IF(Wizards!$A$18="","",IF(OR(ISNUMBER(SEARCH(", "&amp;$B249&amp;", ", ", "&amp;INDEX('Form Responses'!$I$1:$Q$200,18,$A249)&amp;", ")),ISNUMBER(SEARCH(", "&amp;$B249&amp;", ", ", "&amp;INDEX('Form Responses'!$R$1:$R$200,18)&amp;", "))),1,""))</f>
        <v/>
      </c>
      <c r="U249">
        <f>IF(Wizards!$A$19="","",IF(OR(ISNUMBER(SEARCH(", "&amp;$B249&amp;", ", ", "&amp;INDEX('Form Responses'!$I$1:$Q$200,19,$A249)&amp;", ")),ISNUMBER(SEARCH(", "&amp;$B249&amp;", ", ", "&amp;INDEX('Form Responses'!$R$1:$R$200,19)&amp;", "))),1,""))</f>
        <v/>
      </c>
      <c r="V249">
        <f>IF(Wizards!$A$20="","",IF(OR(ISNUMBER(SEARCH(", "&amp;$B249&amp;", ", ", "&amp;INDEX('Form Responses'!$I$1:$Q$200,20,$A249)&amp;", ")),ISNUMBER(SEARCH(", "&amp;$B249&amp;", ", ", "&amp;INDEX('Form Responses'!$R$1:$R$200,20)&amp;", "))),1,""))</f>
        <v/>
      </c>
      <c r="W249">
        <f>IF(Wizards!$A$21="","",IF(OR(ISNUMBER(SEARCH(", "&amp;$B249&amp;", ", ", "&amp;INDEX('Form Responses'!$I$1:$Q$200,21,$A249)&amp;", ")),ISNUMBER(SEARCH(", "&amp;$B249&amp;", ", ", "&amp;INDEX('Form Responses'!$R$1:$R$200,21)&amp;", "))),1,""))</f>
        <v/>
      </c>
      <c r="X249">
        <f>IF(Wizards!$A$22="","",IF(OR(ISNUMBER(SEARCH(", "&amp;$B249&amp;", ", ", "&amp;INDEX('Form Responses'!$I$1:$Q$200,22,$A249)&amp;", ")),ISNUMBER(SEARCH(", "&amp;$B249&amp;", ", ", "&amp;INDEX('Form Responses'!$R$1:$R$200,22)&amp;", "))),1,""))</f>
        <v/>
      </c>
      <c r="Y249">
        <f>IF(Wizards!$A$23="","",IF(OR(ISNUMBER(SEARCH(", "&amp;$B249&amp;", ", ", "&amp;INDEX('Form Responses'!$I$1:$Q$200,23,$A249)&amp;", ")),ISNUMBER(SEARCH(", "&amp;$B249&amp;", ", ", "&amp;INDEX('Form Responses'!$R$1:$R$200,23)&amp;", "))),1,""))</f>
        <v/>
      </c>
      <c r="Z249">
        <f>IF(Wizards!$A$24="","",IF(OR(ISNUMBER(SEARCH(", "&amp;$B249&amp;", ", ", "&amp;INDEX('Form Responses'!$I$1:$Q$200,24,$A249)&amp;", ")),ISNUMBER(SEARCH(", "&amp;$B249&amp;", ", ", "&amp;INDEX('Form Responses'!$R$1:$R$200,24)&amp;", "))),1,""))</f>
        <v/>
      </c>
      <c r="AA249">
        <f>IF(Wizards!$A$25="","",IF(OR(ISNUMBER(SEARCH(", "&amp;$B249&amp;", ", ", "&amp;INDEX('Form Responses'!$I$1:$Q$200,25,$A249)&amp;", ")),ISNUMBER(SEARCH(", "&amp;$B249&amp;", ", ", "&amp;INDEX('Form Responses'!$R$1:$R$200,25)&amp;", "))),1,""))</f>
        <v/>
      </c>
      <c r="AB249">
        <f>IF(D249=1,", "&amp;D$1,"")</f>
        <v/>
      </c>
      <c r="AC249">
        <f>IF(E249=1,", "&amp;E$1,"")</f>
        <v/>
      </c>
      <c r="AD249">
        <f>IF(F249=1,", "&amp;F$1,"")</f>
        <v/>
      </c>
      <c r="AE249">
        <f>IF(G249=1,", "&amp;G$1,"")</f>
        <v/>
      </c>
      <c r="AF249">
        <f>IF(H249=1,", "&amp;H$1,"")</f>
        <v/>
      </c>
      <c r="AG249">
        <f>IF(I249=1,", "&amp;I$1,"")</f>
        <v/>
      </c>
      <c r="AH249">
        <f>IF(J249=1,", "&amp;J$1,"")</f>
        <v/>
      </c>
      <c r="AI249">
        <f>IF(K249=1,", "&amp;K$1,"")</f>
        <v/>
      </c>
      <c r="AJ249">
        <f>IF(L249=1,", "&amp;L$1,"")</f>
        <v/>
      </c>
      <c r="AK249">
        <f>IF(M249=1,", "&amp;M$1,"")</f>
        <v/>
      </c>
      <c r="AL249">
        <f>IF(N249=1,", "&amp;N$1,"")</f>
        <v/>
      </c>
      <c r="AM249">
        <f>IF(O249=1,", "&amp;O$1,"")</f>
        <v/>
      </c>
      <c r="AN249">
        <f>IF(P249=1,", "&amp;P$1,"")</f>
        <v/>
      </c>
      <c r="AO249">
        <f>IF(Q249=1,", "&amp;Q$1,"")</f>
        <v/>
      </c>
      <c r="AP249">
        <f>IF(R249=1,", "&amp;R$1,"")</f>
        <v/>
      </c>
      <c r="AQ249">
        <f>IF(S249=1,", "&amp;S$1,"")</f>
        <v/>
      </c>
      <c r="AR249">
        <f>IF(T249=1,", "&amp;T$1,"")</f>
        <v/>
      </c>
      <c r="AS249">
        <f>IF(U249=1,", "&amp;U$1,"")</f>
        <v/>
      </c>
      <c r="AT249">
        <f>IF(V249=1,", "&amp;V$1,"")</f>
        <v/>
      </c>
      <c r="AU249">
        <f>IF(W249=1,", "&amp;W$1,"")</f>
        <v/>
      </c>
      <c r="AV249">
        <f>IF(X249=1,", "&amp;X$1,"")</f>
        <v/>
      </c>
      <c r="AW249">
        <f>IF(Y249=1,", "&amp;Y$1,"")</f>
        <v/>
      </c>
      <c r="AX249">
        <f>IF(Z249=1,", "&amp;Z$1,"")</f>
        <v/>
      </c>
      <c r="AY249">
        <f>IF(AA249=1,", "&amp;AA$1,"")</f>
        <v/>
      </c>
      <c r="AZ249">
        <f>MID($AB249&amp;$AC249&amp;$AD249&amp;$AE249&amp;$AF249&amp;$AG249&amp;$AH249&amp;$AI249&amp;$AJ249&amp;$AK249&amp;$AL249&amp;$AM249&amp;$AN249&amp;$AO249&amp;$AP249&amp;$AQ249&amp;$AR249&amp;$AS249&amp;$AT249&amp;$AU249&amp;$AV249&amp;$AW249&amp;$AX249&amp;$AY249,3,32767)</f>
        <v/>
      </c>
      <c r="BA249">
        <f>COUNT($D249:$AA249)</f>
        <v/>
      </c>
    </row>
    <row r="250">
      <c r="A250" t="n">
        <v>6</v>
      </c>
      <c r="B250" t="inlineStr">
        <is>
          <t>Arcane Gate</t>
        </is>
      </c>
      <c r="C250" t="inlineStr">
        <is>
          <t>Conjuration</t>
        </is>
      </c>
      <c r="D250">
        <f>IF(Wizards!$A$2="","",IF(OR(ISNUMBER(SEARCH(", "&amp;$B250&amp;", ", ", "&amp;INDEX('Form Responses'!$I$1:$Q$200,2,$A250)&amp;", ")),ISNUMBER(SEARCH(", "&amp;$B250&amp;", ", ", "&amp;INDEX('Form Responses'!$R$1:$R$200,2)&amp;", "))),1,""))</f>
        <v/>
      </c>
      <c r="E250">
        <f>IF(Wizards!$A$3="","",IF(OR(ISNUMBER(SEARCH(", "&amp;$B250&amp;", ", ", "&amp;INDEX('Form Responses'!$I$1:$Q$200,3,$A250)&amp;", ")),ISNUMBER(SEARCH(", "&amp;$B250&amp;", ", ", "&amp;INDEX('Form Responses'!$R$1:$R$200,3)&amp;", "))),1,""))</f>
        <v/>
      </c>
      <c r="F250">
        <f>IF(Wizards!$A$4="","",IF(OR(ISNUMBER(SEARCH(", "&amp;$B250&amp;", ", ", "&amp;INDEX('Form Responses'!$I$1:$Q$200,4,$A250)&amp;", ")),ISNUMBER(SEARCH(", "&amp;$B250&amp;", ", ", "&amp;INDEX('Form Responses'!$R$1:$R$200,4)&amp;", "))),1,""))</f>
        <v/>
      </c>
      <c r="G250">
        <f>IF(Wizards!$A$5="","",IF(OR(ISNUMBER(SEARCH(", "&amp;$B250&amp;", ", ", "&amp;INDEX('Form Responses'!$I$1:$Q$200,5,$A250)&amp;", ")),ISNUMBER(SEARCH(", "&amp;$B250&amp;", ", ", "&amp;INDEX('Form Responses'!$R$1:$R$200,5)&amp;", "))),1,""))</f>
        <v/>
      </c>
      <c r="H250">
        <f>IF(Wizards!$A$6="","",IF(OR(ISNUMBER(SEARCH(", "&amp;$B250&amp;", ", ", "&amp;INDEX('Form Responses'!$I$1:$Q$200,6,$A250)&amp;", ")),ISNUMBER(SEARCH(", "&amp;$B250&amp;", ", ", "&amp;INDEX('Form Responses'!$R$1:$R$200,6)&amp;", "))),1,""))</f>
        <v/>
      </c>
      <c r="I250">
        <f>IF(Wizards!$A$7="","",IF(OR(ISNUMBER(SEARCH(", "&amp;$B250&amp;", ", ", "&amp;INDEX('Form Responses'!$I$1:$Q$200,7,$A250)&amp;", ")),ISNUMBER(SEARCH(", "&amp;$B250&amp;", ", ", "&amp;INDEX('Form Responses'!$R$1:$R$200,7)&amp;", "))),1,""))</f>
        <v/>
      </c>
      <c r="J250">
        <f>IF(Wizards!$A$8="","",IF(OR(ISNUMBER(SEARCH(", "&amp;$B250&amp;", ", ", "&amp;INDEX('Form Responses'!$I$1:$Q$200,8,$A250)&amp;", ")),ISNUMBER(SEARCH(", "&amp;$B250&amp;", ", ", "&amp;INDEX('Form Responses'!$R$1:$R$200,8)&amp;", "))),1,""))</f>
        <v/>
      </c>
      <c r="K250">
        <f>IF(Wizards!$A$9="","",IF(OR(ISNUMBER(SEARCH(", "&amp;$B250&amp;", ", ", "&amp;INDEX('Form Responses'!$I$1:$Q$200,9,$A250)&amp;", ")),ISNUMBER(SEARCH(", "&amp;$B250&amp;", ", ", "&amp;INDEX('Form Responses'!$R$1:$R$200,9)&amp;", "))),1,""))</f>
        <v/>
      </c>
      <c r="L250">
        <f>IF(Wizards!$A$10="","",IF(OR(ISNUMBER(SEARCH(", "&amp;$B250&amp;", ", ", "&amp;INDEX('Form Responses'!$I$1:$Q$200,10,$A250)&amp;", ")),ISNUMBER(SEARCH(", "&amp;$B250&amp;", ", ", "&amp;INDEX('Form Responses'!$R$1:$R$200,10)&amp;", "))),1,""))</f>
        <v/>
      </c>
      <c r="M250">
        <f>IF(Wizards!$A$11="","",IF(OR(ISNUMBER(SEARCH(", "&amp;$B250&amp;", ", ", "&amp;INDEX('Form Responses'!$I$1:$Q$200,11,$A250)&amp;", ")),ISNUMBER(SEARCH(", "&amp;$B250&amp;", ", ", "&amp;INDEX('Form Responses'!$R$1:$R$200,11)&amp;", "))),1,""))</f>
        <v/>
      </c>
      <c r="N250">
        <f>IF(Wizards!$A$12="","",IF(OR(ISNUMBER(SEARCH(", "&amp;$B250&amp;", ", ", "&amp;INDEX('Form Responses'!$I$1:$Q$200,12,$A250)&amp;", ")),ISNUMBER(SEARCH(", "&amp;$B250&amp;", ", ", "&amp;INDEX('Form Responses'!$R$1:$R$200,12)&amp;", "))),1,""))</f>
        <v/>
      </c>
      <c r="O250">
        <f>IF(Wizards!$A$13="","",IF(OR(ISNUMBER(SEARCH(", "&amp;$B250&amp;", ", ", "&amp;INDEX('Form Responses'!$I$1:$Q$200,13,$A250)&amp;", ")),ISNUMBER(SEARCH(", "&amp;$B250&amp;", ", ", "&amp;INDEX('Form Responses'!$R$1:$R$200,13)&amp;", "))),1,""))</f>
        <v/>
      </c>
      <c r="P250">
        <f>IF(Wizards!$A$14="","",IF(OR(ISNUMBER(SEARCH(", "&amp;$B250&amp;", ", ", "&amp;INDEX('Form Responses'!$I$1:$Q$200,14,$A250)&amp;", ")),ISNUMBER(SEARCH(", "&amp;$B250&amp;", ", ", "&amp;INDEX('Form Responses'!$R$1:$R$200,14)&amp;", "))),1,""))</f>
        <v/>
      </c>
      <c r="Q250">
        <f>IF(Wizards!$A$15="","",IF(OR(ISNUMBER(SEARCH(", "&amp;$B250&amp;", ", ", "&amp;INDEX('Form Responses'!$I$1:$Q$200,15,$A250)&amp;", ")),ISNUMBER(SEARCH(", "&amp;$B250&amp;", ", ", "&amp;INDEX('Form Responses'!$R$1:$R$200,15)&amp;", "))),1,""))</f>
        <v/>
      </c>
      <c r="R250">
        <f>IF(Wizards!$A$16="","",IF(OR(ISNUMBER(SEARCH(", "&amp;$B250&amp;", ", ", "&amp;INDEX('Form Responses'!$I$1:$Q$200,16,$A250)&amp;", ")),ISNUMBER(SEARCH(", "&amp;$B250&amp;", ", ", "&amp;INDEX('Form Responses'!$R$1:$R$200,16)&amp;", "))),1,""))</f>
        <v/>
      </c>
      <c r="S250">
        <f>IF(Wizards!$A$17="","",IF(OR(ISNUMBER(SEARCH(", "&amp;$B250&amp;", ", ", "&amp;INDEX('Form Responses'!$I$1:$Q$200,17,$A250)&amp;", ")),ISNUMBER(SEARCH(", "&amp;$B250&amp;", ", ", "&amp;INDEX('Form Responses'!$R$1:$R$200,17)&amp;", "))),1,""))</f>
        <v/>
      </c>
      <c r="T250">
        <f>IF(Wizards!$A$18="","",IF(OR(ISNUMBER(SEARCH(", "&amp;$B250&amp;", ", ", "&amp;INDEX('Form Responses'!$I$1:$Q$200,18,$A250)&amp;", ")),ISNUMBER(SEARCH(", "&amp;$B250&amp;", ", ", "&amp;INDEX('Form Responses'!$R$1:$R$200,18)&amp;", "))),1,""))</f>
        <v/>
      </c>
      <c r="U250">
        <f>IF(Wizards!$A$19="","",IF(OR(ISNUMBER(SEARCH(", "&amp;$B250&amp;", ", ", "&amp;INDEX('Form Responses'!$I$1:$Q$200,19,$A250)&amp;", ")),ISNUMBER(SEARCH(", "&amp;$B250&amp;", ", ", "&amp;INDEX('Form Responses'!$R$1:$R$200,19)&amp;", "))),1,""))</f>
        <v/>
      </c>
      <c r="V250">
        <f>IF(Wizards!$A$20="","",IF(OR(ISNUMBER(SEARCH(", "&amp;$B250&amp;", ", ", "&amp;INDEX('Form Responses'!$I$1:$Q$200,20,$A250)&amp;", ")),ISNUMBER(SEARCH(", "&amp;$B250&amp;", ", ", "&amp;INDEX('Form Responses'!$R$1:$R$200,20)&amp;", "))),1,""))</f>
        <v/>
      </c>
      <c r="W250">
        <f>IF(Wizards!$A$21="","",IF(OR(ISNUMBER(SEARCH(", "&amp;$B250&amp;", ", ", "&amp;INDEX('Form Responses'!$I$1:$Q$200,21,$A250)&amp;", ")),ISNUMBER(SEARCH(", "&amp;$B250&amp;", ", ", "&amp;INDEX('Form Responses'!$R$1:$R$200,21)&amp;", "))),1,""))</f>
        <v/>
      </c>
      <c r="X250">
        <f>IF(Wizards!$A$22="","",IF(OR(ISNUMBER(SEARCH(", "&amp;$B250&amp;", ", ", "&amp;INDEX('Form Responses'!$I$1:$Q$200,22,$A250)&amp;", ")),ISNUMBER(SEARCH(", "&amp;$B250&amp;", ", ", "&amp;INDEX('Form Responses'!$R$1:$R$200,22)&amp;", "))),1,""))</f>
        <v/>
      </c>
      <c r="Y250">
        <f>IF(Wizards!$A$23="","",IF(OR(ISNUMBER(SEARCH(", "&amp;$B250&amp;", ", ", "&amp;INDEX('Form Responses'!$I$1:$Q$200,23,$A250)&amp;", ")),ISNUMBER(SEARCH(", "&amp;$B250&amp;", ", ", "&amp;INDEX('Form Responses'!$R$1:$R$200,23)&amp;", "))),1,""))</f>
        <v/>
      </c>
      <c r="Z250">
        <f>IF(Wizards!$A$24="","",IF(OR(ISNUMBER(SEARCH(", "&amp;$B250&amp;", ", ", "&amp;INDEX('Form Responses'!$I$1:$Q$200,24,$A250)&amp;", ")),ISNUMBER(SEARCH(", "&amp;$B250&amp;", ", ", "&amp;INDEX('Form Responses'!$R$1:$R$200,24)&amp;", "))),1,""))</f>
        <v/>
      </c>
      <c r="AA250">
        <f>IF(Wizards!$A$25="","",IF(OR(ISNUMBER(SEARCH(", "&amp;$B250&amp;", ", ", "&amp;INDEX('Form Responses'!$I$1:$Q$200,25,$A250)&amp;", ")),ISNUMBER(SEARCH(", "&amp;$B250&amp;", ", ", "&amp;INDEX('Form Responses'!$R$1:$R$200,25)&amp;", "))),1,""))</f>
        <v/>
      </c>
      <c r="AB250">
        <f>IF(D250=1,", "&amp;D$1,"")</f>
        <v/>
      </c>
      <c r="AC250">
        <f>IF(E250=1,", "&amp;E$1,"")</f>
        <v/>
      </c>
      <c r="AD250">
        <f>IF(F250=1,", "&amp;F$1,"")</f>
        <v/>
      </c>
      <c r="AE250">
        <f>IF(G250=1,", "&amp;G$1,"")</f>
        <v/>
      </c>
      <c r="AF250">
        <f>IF(H250=1,", "&amp;H$1,"")</f>
        <v/>
      </c>
      <c r="AG250">
        <f>IF(I250=1,", "&amp;I$1,"")</f>
        <v/>
      </c>
      <c r="AH250">
        <f>IF(J250=1,", "&amp;J$1,"")</f>
        <v/>
      </c>
      <c r="AI250">
        <f>IF(K250=1,", "&amp;K$1,"")</f>
        <v/>
      </c>
      <c r="AJ250">
        <f>IF(L250=1,", "&amp;L$1,"")</f>
        <v/>
      </c>
      <c r="AK250">
        <f>IF(M250=1,", "&amp;M$1,"")</f>
        <v/>
      </c>
      <c r="AL250">
        <f>IF(N250=1,", "&amp;N$1,"")</f>
        <v/>
      </c>
      <c r="AM250">
        <f>IF(O250=1,", "&amp;O$1,"")</f>
        <v/>
      </c>
      <c r="AN250">
        <f>IF(P250=1,", "&amp;P$1,"")</f>
        <v/>
      </c>
      <c r="AO250">
        <f>IF(Q250=1,", "&amp;Q$1,"")</f>
        <v/>
      </c>
      <c r="AP250">
        <f>IF(R250=1,", "&amp;R$1,"")</f>
        <v/>
      </c>
      <c r="AQ250">
        <f>IF(S250=1,", "&amp;S$1,"")</f>
        <v/>
      </c>
      <c r="AR250">
        <f>IF(T250=1,", "&amp;T$1,"")</f>
        <v/>
      </c>
      <c r="AS250">
        <f>IF(U250=1,", "&amp;U$1,"")</f>
        <v/>
      </c>
      <c r="AT250">
        <f>IF(V250=1,", "&amp;V$1,"")</f>
        <v/>
      </c>
      <c r="AU250">
        <f>IF(W250=1,", "&amp;W$1,"")</f>
        <v/>
      </c>
      <c r="AV250">
        <f>IF(X250=1,", "&amp;X$1,"")</f>
        <v/>
      </c>
      <c r="AW250">
        <f>IF(Y250=1,", "&amp;Y$1,"")</f>
        <v/>
      </c>
      <c r="AX250">
        <f>IF(Z250=1,", "&amp;Z$1,"")</f>
        <v/>
      </c>
      <c r="AY250">
        <f>IF(AA250=1,", "&amp;AA$1,"")</f>
        <v/>
      </c>
      <c r="AZ250">
        <f>MID($AB250&amp;$AC250&amp;$AD250&amp;$AE250&amp;$AF250&amp;$AG250&amp;$AH250&amp;$AI250&amp;$AJ250&amp;$AK250&amp;$AL250&amp;$AM250&amp;$AN250&amp;$AO250&amp;$AP250&amp;$AQ250&amp;$AR250&amp;$AS250&amp;$AT250&amp;$AU250&amp;$AV250&amp;$AW250&amp;$AX250&amp;$AY250,3,32767)</f>
        <v/>
      </c>
      <c r="BA250">
        <f>COUNT($D250:$AA250)</f>
        <v/>
      </c>
    </row>
    <row r="251">
      <c r="A251" t="n">
        <v>6</v>
      </c>
      <c r="B251" t="inlineStr">
        <is>
          <t>Chain Lightning</t>
        </is>
      </c>
      <c r="C251" t="inlineStr">
        <is>
          <t>Evocation</t>
        </is>
      </c>
      <c r="D251">
        <f>IF(Wizards!$A$2="","",IF(OR(ISNUMBER(SEARCH(", "&amp;$B251&amp;", ", ", "&amp;INDEX('Form Responses'!$I$1:$Q$200,2,$A251)&amp;", ")),ISNUMBER(SEARCH(", "&amp;$B251&amp;", ", ", "&amp;INDEX('Form Responses'!$R$1:$R$200,2)&amp;", "))),1,""))</f>
        <v/>
      </c>
      <c r="E251">
        <f>IF(Wizards!$A$3="","",IF(OR(ISNUMBER(SEARCH(", "&amp;$B251&amp;", ", ", "&amp;INDEX('Form Responses'!$I$1:$Q$200,3,$A251)&amp;", ")),ISNUMBER(SEARCH(", "&amp;$B251&amp;", ", ", "&amp;INDEX('Form Responses'!$R$1:$R$200,3)&amp;", "))),1,""))</f>
        <v/>
      </c>
      <c r="F251">
        <f>IF(Wizards!$A$4="","",IF(OR(ISNUMBER(SEARCH(", "&amp;$B251&amp;", ", ", "&amp;INDEX('Form Responses'!$I$1:$Q$200,4,$A251)&amp;", ")),ISNUMBER(SEARCH(", "&amp;$B251&amp;", ", ", "&amp;INDEX('Form Responses'!$R$1:$R$200,4)&amp;", "))),1,""))</f>
        <v/>
      </c>
      <c r="G251">
        <f>IF(Wizards!$A$5="","",IF(OR(ISNUMBER(SEARCH(", "&amp;$B251&amp;", ", ", "&amp;INDEX('Form Responses'!$I$1:$Q$200,5,$A251)&amp;", ")),ISNUMBER(SEARCH(", "&amp;$B251&amp;", ", ", "&amp;INDEX('Form Responses'!$R$1:$R$200,5)&amp;", "))),1,""))</f>
        <v/>
      </c>
      <c r="H251">
        <f>IF(Wizards!$A$6="","",IF(OR(ISNUMBER(SEARCH(", "&amp;$B251&amp;", ", ", "&amp;INDEX('Form Responses'!$I$1:$Q$200,6,$A251)&amp;", ")),ISNUMBER(SEARCH(", "&amp;$B251&amp;", ", ", "&amp;INDEX('Form Responses'!$R$1:$R$200,6)&amp;", "))),1,""))</f>
        <v/>
      </c>
      <c r="I251">
        <f>IF(Wizards!$A$7="","",IF(OR(ISNUMBER(SEARCH(", "&amp;$B251&amp;", ", ", "&amp;INDEX('Form Responses'!$I$1:$Q$200,7,$A251)&amp;", ")),ISNUMBER(SEARCH(", "&amp;$B251&amp;", ", ", "&amp;INDEX('Form Responses'!$R$1:$R$200,7)&amp;", "))),1,""))</f>
        <v/>
      </c>
      <c r="J251">
        <f>IF(Wizards!$A$8="","",IF(OR(ISNUMBER(SEARCH(", "&amp;$B251&amp;", ", ", "&amp;INDEX('Form Responses'!$I$1:$Q$200,8,$A251)&amp;", ")),ISNUMBER(SEARCH(", "&amp;$B251&amp;", ", ", "&amp;INDEX('Form Responses'!$R$1:$R$200,8)&amp;", "))),1,""))</f>
        <v/>
      </c>
      <c r="K251">
        <f>IF(Wizards!$A$9="","",IF(OR(ISNUMBER(SEARCH(", "&amp;$B251&amp;", ", ", "&amp;INDEX('Form Responses'!$I$1:$Q$200,9,$A251)&amp;", ")),ISNUMBER(SEARCH(", "&amp;$B251&amp;", ", ", "&amp;INDEX('Form Responses'!$R$1:$R$200,9)&amp;", "))),1,""))</f>
        <v/>
      </c>
      <c r="L251">
        <f>IF(Wizards!$A$10="","",IF(OR(ISNUMBER(SEARCH(", "&amp;$B251&amp;", ", ", "&amp;INDEX('Form Responses'!$I$1:$Q$200,10,$A251)&amp;", ")),ISNUMBER(SEARCH(", "&amp;$B251&amp;", ", ", "&amp;INDEX('Form Responses'!$R$1:$R$200,10)&amp;", "))),1,""))</f>
        <v/>
      </c>
      <c r="M251">
        <f>IF(Wizards!$A$11="","",IF(OR(ISNUMBER(SEARCH(", "&amp;$B251&amp;", ", ", "&amp;INDEX('Form Responses'!$I$1:$Q$200,11,$A251)&amp;", ")),ISNUMBER(SEARCH(", "&amp;$B251&amp;", ", ", "&amp;INDEX('Form Responses'!$R$1:$R$200,11)&amp;", "))),1,""))</f>
        <v/>
      </c>
      <c r="N251">
        <f>IF(Wizards!$A$12="","",IF(OR(ISNUMBER(SEARCH(", "&amp;$B251&amp;", ", ", "&amp;INDEX('Form Responses'!$I$1:$Q$200,12,$A251)&amp;", ")),ISNUMBER(SEARCH(", "&amp;$B251&amp;", ", ", "&amp;INDEX('Form Responses'!$R$1:$R$200,12)&amp;", "))),1,""))</f>
        <v/>
      </c>
      <c r="O251">
        <f>IF(Wizards!$A$13="","",IF(OR(ISNUMBER(SEARCH(", "&amp;$B251&amp;", ", ", "&amp;INDEX('Form Responses'!$I$1:$Q$200,13,$A251)&amp;", ")),ISNUMBER(SEARCH(", "&amp;$B251&amp;", ", ", "&amp;INDEX('Form Responses'!$R$1:$R$200,13)&amp;", "))),1,""))</f>
        <v/>
      </c>
      <c r="P251">
        <f>IF(Wizards!$A$14="","",IF(OR(ISNUMBER(SEARCH(", "&amp;$B251&amp;", ", ", "&amp;INDEX('Form Responses'!$I$1:$Q$200,14,$A251)&amp;", ")),ISNUMBER(SEARCH(", "&amp;$B251&amp;", ", ", "&amp;INDEX('Form Responses'!$R$1:$R$200,14)&amp;", "))),1,""))</f>
        <v/>
      </c>
      <c r="Q251">
        <f>IF(Wizards!$A$15="","",IF(OR(ISNUMBER(SEARCH(", "&amp;$B251&amp;", ", ", "&amp;INDEX('Form Responses'!$I$1:$Q$200,15,$A251)&amp;", ")),ISNUMBER(SEARCH(", "&amp;$B251&amp;", ", ", "&amp;INDEX('Form Responses'!$R$1:$R$200,15)&amp;", "))),1,""))</f>
        <v/>
      </c>
      <c r="R251">
        <f>IF(Wizards!$A$16="","",IF(OR(ISNUMBER(SEARCH(", "&amp;$B251&amp;", ", ", "&amp;INDEX('Form Responses'!$I$1:$Q$200,16,$A251)&amp;", ")),ISNUMBER(SEARCH(", "&amp;$B251&amp;", ", ", "&amp;INDEX('Form Responses'!$R$1:$R$200,16)&amp;", "))),1,""))</f>
        <v/>
      </c>
      <c r="S251">
        <f>IF(Wizards!$A$17="","",IF(OR(ISNUMBER(SEARCH(", "&amp;$B251&amp;", ", ", "&amp;INDEX('Form Responses'!$I$1:$Q$200,17,$A251)&amp;", ")),ISNUMBER(SEARCH(", "&amp;$B251&amp;", ", ", "&amp;INDEX('Form Responses'!$R$1:$R$200,17)&amp;", "))),1,""))</f>
        <v/>
      </c>
      <c r="T251">
        <f>IF(Wizards!$A$18="","",IF(OR(ISNUMBER(SEARCH(", "&amp;$B251&amp;", ", ", "&amp;INDEX('Form Responses'!$I$1:$Q$200,18,$A251)&amp;", ")),ISNUMBER(SEARCH(", "&amp;$B251&amp;", ", ", "&amp;INDEX('Form Responses'!$R$1:$R$200,18)&amp;", "))),1,""))</f>
        <v/>
      </c>
      <c r="U251">
        <f>IF(Wizards!$A$19="","",IF(OR(ISNUMBER(SEARCH(", "&amp;$B251&amp;", ", ", "&amp;INDEX('Form Responses'!$I$1:$Q$200,19,$A251)&amp;", ")),ISNUMBER(SEARCH(", "&amp;$B251&amp;", ", ", "&amp;INDEX('Form Responses'!$R$1:$R$200,19)&amp;", "))),1,""))</f>
        <v/>
      </c>
      <c r="V251">
        <f>IF(Wizards!$A$20="","",IF(OR(ISNUMBER(SEARCH(", "&amp;$B251&amp;", ", ", "&amp;INDEX('Form Responses'!$I$1:$Q$200,20,$A251)&amp;", ")),ISNUMBER(SEARCH(", "&amp;$B251&amp;", ", ", "&amp;INDEX('Form Responses'!$R$1:$R$200,20)&amp;", "))),1,""))</f>
        <v/>
      </c>
      <c r="W251">
        <f>IF(Wizards!$A$21="","",IF(OR(ISNUMBER(SEARCH(", "&amp;$B251&amp;", ", ", "&amp;INDEX('Form Responses'!$I$1:$Q$200,21,$A251)&amp;", ")),ISNUMBER(SEARCH(", "&amp;$B251&amp;", ", ", "&amp;INDEX('Form Responses'!$R$1:$R$200,21)&amp;", "))),1,""))</f>
        <v/>
      </c>
      <c r="X251">
        <f>IF(Wizards!$A$22="","",IF(OR(ISNUMBER(SEARCH(", "&amp;$B251&amp;", ", ", "&amp;INDEX('Form Responses'!$I$1:$Q$200,22,$A251)&amp;", ")),ISNUMBER(SEARCH(", "&amp;$B251&amp;", ", ", "&amp;INDEX('Form Responses'!$R$1:$R$200,22)&amp;", "))),1,""))</f>
        <v/>
      </c>
      <c r="Y251">
        <f>IF(Wizards!$A$23="","",IF(OR(ISNUMBER(SEARCH(", "&amp;$B251&amp;", ", ", "&amp;INDEX('Form Responses'!$I$1:$Q$200,23,$A251)&amp;", ")),ISNUMBER(SEARCH(", "&amp;$B251&amp;", ", ", "&amp;INDEX('Form Responses'!$R$1:$R$200,23)&amp;", "))),1,""))</f>
        <v/>
      </c>
      <c r="Z251">
        <f>IF(Wizards!$A$24="","",IF(OR(ISNUMBER(SEARCH(", "&amp;$B251&amp;", ", ", "&amp;INDEX('Form Responses'!$I$1:$Q$200,24,$A251)&amp;", ")),ISNUMBER(SEARCH(", "&amp;$B251&amp;", ", ", "&amp;INDEX('Form Responses'!$R$1:$R$200,24)&amp;", "))),1,""))</f>
        <v/>
      </c>
      <c r="AA251">
        <f>IF(Wizards!$A$25="","",IF(OR(ISNUMBER(SEARCH(", "&amp;$B251&amp;", ", ", "&amp;INDEX('Form Responses'!$I$1:$Q$200,25,$A251)&amp;", ")),ISNUMBER(SEARCH(", "&amp;$B251&amp;", ", ", "&amp;INDEX('Form Responses'!$R$1:$R$200,25)&amp;", "))),1,""))</f>
        <v/>
      </c>
      <c r="AB251">
        <f>IF(D251=1,", "&amp;D$1,"")</f>
        <v/>
      </c>
      <c r="AC251">
        <f>IF(E251=1,", "&amp;E$1,"")</f>
        <v/>
      </c>
      <c r="AD251">
        <f>IF(F251=1,", "&amp;F$1,"")</f>
        <v/>
      </c>
      <c r="AE251">
        <f>IF(G251=1,", "&amp;G$1,"")</f>
        <v/>
      </c>
      <c r="AF251">
        <f>IF(H251=1,", "&amp;H$1,"")</f>
        <v/>
      </c>
      <c r="AG251">
        <f>IF(I251=1,", "&amp;I$1,"")</f>
        <v/>
      </c>
      <c r="AH251">
        <f>IF(J251=1,", "&amp;J$1,"")</f>
        <v/>
      </c>
      <c r="AI251">
        <f>IF(K251=1,", "&amp;K$1,"")</f>
        <v/>
      </c>
      <c r="AJ251">
        <f>IF(L251=1,", "&amp;L$1,"")</f>
        <v/>
      </c>
      <c r="AK251">
        <f>IF(M251=1,", "&amp;M$1,"")</f>
        <v/>
      </c>
      <c r="AL251">
        <f>IF(N251=1,", "&amp;N$1,"")</f>
        <v/>
      </c>
      <c r="AM251">
        <f>IF(O251=1,", "&amp;O$1,"")</f>
        <v/>
      </c>
      <c r="AN251">
        <f>IF(P251=1,", "&amp;P$1,"")</f>
        <v/>
      </c>
      <c r="AO251">
        <f>IF(Q251=1,", "&amp;Q$1,"")</f>
        <v/>
      </c>
      <c r="AP251">
        <f>IF(R251=1,", "&amp;R$1,"")</f>
        <v/>
      </c>
      <c r="AQ251">
        <f>IF(S251=1,", "&amp;S$1,"")</f>
        <v/>
      </c>
      <c r="AR251">
        <f>IF(T251=1,", "&amp;T$1,"")</f>
        <v/>
      </c>
      <c r="AS251">
        <f>IF(U251=1,", "&amp;U$1,"")</f>
        <v/>
      </c>
      <c r="AT251">
        <f>IF(V251=1,", "&amp;V$1,"")</f>
        <v/>
      </c>
      <c r="AU251">
        <f>IF(W251=1,", "&amp;W$1,"")</f>
        <v/>
      </c>
      <c r="AV251">
        <f>IF(X251=1,", "&amp;X$1,"")</f>
        <v/>
      </c>
      <c r="AW251">
        <f>IF(Y251=1,", "&amp;Y$1,"")</f>
        <v/>
      </c>
      <c r="AX251">
        <f>IF(Z251=1,", "&amp;Z$1,"")</f>
        <v/>
      </c>
      <c r="AY251">
        <f>IF(AA251=1,", "&amp;AA$1,"")</f>
        <v/>
      </c>
      <c r="AZ251">
        <f>MID($AB251&amp;$AC251&amp;$AD251&amp;$AE251&amp;$AF251&amp;$AG251&amp;$AH251&amp;$AI251&amp;$AJ251&amp;$AK251&amp;$AL251&amp;$AM251&amp;$AN251&amp;$AO251&amp;$AP251&amp;$AQ251&amp;$AR251&amp;$AS251&amp;$AT251&amp;$AU251&amp;$AV251&amp;$AW251&amp;$AX251&amp;$AY251,3,32767)</f>
        <v/>
      </c>
      <c r="BA251">
        <f>COUNT($D251:$AA251)</f>
        <v/>
      </c>
    </row>
    <row r="252">
      <c r="A252" t="n">
        <v>6</v>
      </c>
      <c r="B252" t="inlineStr">
        <is>
          <t>Circle of Death</t>
        </is>
      </c>
      <c r="C252" t="inlineStr">
        <is>
          <t>Necromancy</t>
        </is>
      </c>
      <c r="D252">
        <f>IF(Wizards!$A$2="","",IF(OR(ISNUMBER(SEARCH(", "&amp;$B252&amp;", ", ", "&amp;INDEX('Form Responses'!$I$1:$Q$200,2,$A252)&amp;", ")),ISNUMBER(SEARCH(", "&amp;$B252&amp;", ", ", "&amp;INDEX('Form Responses'!$R$1:$R$200,2)&amp;", "))),1,""))</f>
        <v/>
      </c>
      <c r="E252">
        <f>IF(Wizards!$A$3="","",IF(OR(ISNUMBER(SEARCH(", "&amp;$B252&amp;", ", ", "&amp;INDEX('Form Responses'!$I$1:$Q$200,3,$A252)&amp;", ")),ISNUMBER(SEARCH(", "&amp;$B252&amp;", ", ", "&amp;INDEX('Form Responses'!$R$1:$R$200,3)&amp;", "))),1,""))</f>
        <v/>
      </c>
      <c r="F252">
        <f>IF(Wizards!$A$4="","",IF(OR(ISNUMBER(SEARCH(", "&amp;$B252&amp;", ", ", "&amp;INDEX('Form Responses'!$I$1:$Q$200,4,$A252)&amp;", ")),ISNUMBER(SEARCH(", "&amp;$B252&amp;", ", ", "&amp;INDEX('Form Responses'!$R$1:$R$200,4)&amp;", "))),1,""))</f>
        <v/>
      </c>
      <c r="G252">
        <f>IF(Wizards!$A$5="","",IF(OR(ISNUMBER(SEARCH(", "&amp;$B252&amp;", ", ", "&amp;INDEX('Form Responses'!$I$1:$Q$200,5,$A252)&amp;", ")),ISNUMBER(SEARCH(", "&amp;$B252&amp;", ", ", "&amp;INDEX('Form Responses'!$R$1:$R$200,5)&amp;", "))),1,""))</f>
        <v/>
      </c>
      <c r="H252">
        <f>IF(Wizards!$A$6="","",IF(OR(ISNUMBER(SEARCH(", "&amp;$B252&amp;", ", ", "&amp;INDEX('Form Responses'!$I$1:$Q$200,6,$A252)&amp;", ")),ISNUMBER(SEARCH(", "&amp;$B252&amp;", ", ", "&amp;INDEX('Form Responses'!$R$1:$R$200,6)&amp;", "))),1,""))</f>
        <v/>
      </c>
      <c r="I252">
        <f>IF(Wizards!$A$7="","",IF(OR(ISNUMBER(SEARCH(", "&amp;$B252&amp;", ", ", "&amp;INDEX('Form Responses'!$I$1:$Q$200,7,$A252)&amp;", ")),ISNUMBER(SEARCH(", "&amp;$B252&amp;", ", ", "&amp;INDEX('Form Responses'!$R$1:$R$200,7)&amp;", "))),1,""))</f>
        <v/>
      </c>
      <c r="J252">
        <f>IF(Wizards!$A$8="","",IF(OR(ISNUMBER(SEARCH(", "&amp;$B252&amp;", ", ", "&amp;INDEX('Form Responses'!$I$1:$Q$200,8,$A252)&amp;", ")),ISNUMBER(SEARCH(", "&amp;$B252&amp;", ", ", "&amp;INDEX('Form Responses'!$R$1:$R$200,8)&amp;", "))),1,""))</f>
        <v/>
      </c>
      <c r="K252">
        <f>IF(Wizards!$A$9="","",IF(OR(ISNUMBER(SEARCH(", "&amp;$B252&amp;", ", ", "&amp;INDEX('Form Responses'!$I$1:$Q$200,9,$A252)&amp;", ")),ISNUMBER(SEARCH(", "&amp;$B252&amp;", ", ", "&amp;INDEX('Form Responses'!$R$1:$R$200,9)&amp;", "))),1,""))</f>
        <v/>
      </c>
      <c r="L252">
        <f>IF(Wizards!$A$10="","",IF(OR(ISNUMBER(SEARCH(", "&amp;$B252&amp;", ", ", "&amp;INDEX('Form Responses'!$I$1:$Q$200,10,$A252)&amp;", ")),ISNUMBER(SEARCH(", "&amp;$B252&amp;", ", ", "&amp;INDEX('Form Responses'!$R$1:$R$200,10)&amp;", "))),1,""))</f>
        <v/>
      </c>
      <c r="M252">
        <f>IF(Wizards!$A$11="","",IF(OR(ISNUMBER(SEARCH(", "&amp;$B252&amp;", ", ", "&amp;INDEX('Form Responses'!$I$1:$Q$200,11,$A252)&amp;", ")),ISNUMBER(SEARCH(", "&amp;$B252&amp;", ", ", "&amp;INDEX('Form Responses'!$R$1:$R$200,11)&amp;", "))),1,""))</f>
        <v/>
      </c>
      <c r="N252">
        <f>IF(Wizards!$A$12="","",IF(OR(ISNUMBER(SEARCH(", "&amp;$B252&amp;", ", ", "&amp;INDEX('Form Responses'!$I$1:$Q$200,12,$A252)&amp;", ")),ISNUMBER(SEARCH(", "&amp;$B252&amp;", ", ", "&amp;INDEX('Form Responses'!$R$1:$R$200,12)&amp;", "))),1,""))</f>
        <v/>
      </c>
      <c r="O252">
        <f>IF(Wizards!$A$13="","",IF(OR(ISNUMBER(SEARCH(", "&amp;$B252&amp;", ", ", "&amp;INDEX('Form Responses'!$I$1:$Q$200,13,$A252)&amp;", ")),ISNUMBER(SEARCH(", "&amp;$B252&amp;", ", ", "&amp;INDEX('Form Responses'!$R$1:$R$200,13)&amp;", "))),1,""))</f>
        <v/>
      </c>
      <c r="P252">
        <f>IF(Wizards!$A$14="","",IF(OR(ISNUMBER(SEARCH(", "&amp;$B252&amp;", ", ", "&amp;INDEX('Form Responses'!$I$1:$Q$200,14,$A252)&amp;", ")),ISNUMBER(SEARCH(", "&amp;$B252&amp;", ", ", "&amp;INDEX('Form Responses'!$R$1:$R$200,14)&amp;", "))),1,""))</f>
        <v/>
      </c>
      <c r="Q252">
        <f>IF(Wizards!$A$15="","",IF(OR(ISNUMBER(SEARCH(", "&amp;$B252&amp;", ", ", "&amp;INDEX('Form Responses'!$I$1:$Q$200,15,$A252)&amp;", ")),ISNUMBER(SEARCH(", "&amp;$B252&amp;", ", ", "&amp;INDEX('Form Responses'!$R$1:$R$200,15)&amp;", "))),1,""))</f>
        <v/>
      </c>
      <c r="R252">
        <f>IF(Wizards!$A$16="","",IF(OR(ISNUMBER(SEARCH(", "&amp;$B252&amp;", ", ", "&amp;INDEX('Form Responses'!$I$1:$Q$200,16,$A252)&amp;", ")),ISNUMBER(SEARCH(", "&amp;$B252&amp;", ", ", "&amp;INDEX('Form Responses'!$R$1:$R$200,16)&amp;", "))),1,""))</f>
        <v/>
      </c>
      <c r="S252">
        <f>IF(Wizards!$A$17="","",IF(OR(ISNUMBER(SEARCH(", "&amp;$B252&amp;", ", ", "&amp;INDEX('Form Responses'!$I$1:$Q$200,17,$A252)&amp;", ")),ISNUMBER(SEARCH(", "&amp;$B252&amp;", ", ", "&amp;INDEX('Form Responses'!$R$1:$R$200,17)&amp;", "))),1,""))</f>
        <v/>
      </c>
      <c r="T252">
        <f>IF(Wizards!$A$18="","",IF(OR(ISNUMBER(SEARCH(", "&amp;$B252&amp;", ", ", "&amp;INDEX('Form Responses'!$I$1:$Q$200,18,$A252)&amp;", ")),ISNUMBER(SEARCH(", "&amp;$B252&amp;", ", ", "&amp;INDEX('Form Responses'!$R$1:$R$200,18)&amp;", "))),1,""))</f>
        <v/>
      </c>
      <c r="U252">
        <f>IF(Wizards!$A$19="","",IF(OR(ISNUMBER(SEARCH(", "&amp;$B252&amp;", ", ", "&amp;INDEX('Form Responses'!$I$1:$Q$200,19,$A252)&amp;", ")),ISNUMBER(SEARCH(", "&amp;$B252&amp;", ", ", "&amp;INDEX('Form Responses'!$R$1:$R$200,19)&amp;", "))),1,""))</f>
        <v/>
      </c>
      <c r="V252">
        <f>IF(Wizards!$A$20="","",IF(OR(ISNUMBER(SEARCH(", "&amp;$B252&amp;", ", ", "&amp;INDEX('Form Responses'!$I$1:$Q$200,20,$A252)&amp;", ")),ISNUMBER(SEARCH(", "&amp;$B252&amp;", ", ", "&amp;INDEX('Form Responses'!$R$1:$R$200,20)&amp;", "))),1,""))</f>
        <v/>
      </c>
      <c r="W252">
        <f>IF(Wizards!$A$21="","",IF(OR(ISNUMBER(SEARCH(", "&amp;$B252&amp;", ", ", "&amp;INDEX('Form Responses'!$I$1:$Q$200,21,$A252)&amp;", ")),ISNUMBER(SEARCH(", "&amp;$B252&amp;", ", ", "&amp;INDEX('Form Responses'!$R$1:$R$200,21)&amp;", "))),1,""))</f>
        <v/>
      </c>
      <c r="X252">
        <f>IF(Wizards!$A$22="","",IF(OR(ISNUMBER(SEARCH(", "&amp;$B252&amp;", ", ", "&amp;INDEX('Form Responses'!$I$1:$Q$200,22,$A252)&amp;", ")),ISNUMBER(SEARCH(", "&amp;$B252&amp;", ", ", "&amp;INDEX('Form Responses'!$R$1:$R$200,22)&amp;", "))),1,""))</f>
        <v/>
      </c>
      <c r="Y252">
        <f>IF(Wizards!$A$23="","",IF(OR(ISNUMBER(SEARCH(", "&amp;$B252&amp;", ", ", "&amp;INDEX('Form Responses'!$I$1:$Q$200,23,$A252)&amp;", ")),ISNUMBER(SEARCH(", "&amp;$B252&amp;", ", ", "&amp;INDEX('Form Responses'!$R$1:$R$200,23)&amp;", "))),1,""))</f>
        <v/>
      </c>
      <c r="Z252">
        <f>IF(Wizards!$A$24="","",IF(OR(ISNUMBER(SEARCH(", "&amp;$B252&amp;", ", ", "&amp;INDEX('Form Responses'!$I$1:$Q$200,24,$A252)&amp;", ")),ISNUMBER(SEARCH(", "&amp;$B252&amp;", ", ", "&amp;INDEX('Form Responses'!$R$1:$R$200,24)&amp;", "))),1,""))</f>
        <v/>
      </c>
      <c r="AA252">
        <f>IF(Wizards!$A$25="","",IF(OR(ISNUMBER(SEARCH(", "&amp;$B252&amp;", ", ", "&amp;INDEX('Form Responses'!$I$1:$Q$200,25,$A252)&amp;", ")),ISNUMBER(SEARCH(", "&amp;$B252&amp;", ", ", "&amp;INDEX('Form Responses'!$R$1:$R$200,25)&amp;", "))),1,""))</f>
        <v/>
      </c>
      <c r="AB252">
        <f>IF(D252=1,", "&amp;D$1,"")</f>
        <v/>
      </c>
      <c r="AC252">
        <f>IF(E252=1,", "&amp;E$1,"")</f>
        <v/>
      </c>
      <c r="AD252">
        <f>IF(F252=1,", "&amp;F$1,"")</f>
        <v/>
      </c>
      <c r="AE252">
        <f>IF(G252=1,", "&amp;G$1,"")</f>
        <v/>
      </c>
      <c r="AF252">
        <f>IF(H252=1,", "&amp;H$1,"")</f>
        <v/>
      </c>
      <c r="AG252">
        <f>IF(I252=1,", "&amp;I$1,"")</f>
        <v/>
      </c>
      <c r="AH252">
        <f>IF(J252=1,", "&amp;J$1,"")</f>
        <v/>
      </c>
      <c r="AI252">
        <f>IF(K252=1,", "&amp;K$1,"")</f>
        <v/>
      </c>
      <c r="AJ252">
        <f>IF(L252=1,", "&amp;L$1,"")</f>
        <v/>
      </c>
      <c r="AK252">
        <f>IF(M252=1,", "&amp;M$1,"")</f>
        <v/>
      </c>
      <c r="AL252">
        <f>IF(N252=1,", "&amp;N$1,"")</f>
        <v/>
      </c>
      <c r="AM252">
        <f>IF(O252=1,", "&amp;O$1,"")</f>
        <v/>
      </c>
      <c r="AN252">
        <f>IF(P252=1,", "&amp;P$1,"")</f>
        <v/>
      </c>
      <c r="AO252">
        <f>IF(Q252=1,", "&amp;Q$1,"")</f>
        <v/>
      </c>
      <c r="AP252">
        <f>IF(R252=1,", "&amp;R$1,"")</f>
        <v/>
      </c>
      <c r="AQ252">
        <f>IF(S252=1,", "&amp;S$1,"")</f>
        <v/>
      </c>
      <c r="AR252">
        <f>IF(T252=1,", "&amp;T$1,"")</f>
        <v/>
      </c>
      <c r="AS252">
        <f>IF(U252=1,", "&amp;U$1,"")</f>
        <v/>
      </c>
      <c r="AT252">
        <f>IF(V252=1,", "&amp;V$1,"")</f>
        <v/>
      </c>
      <c r="AU252">
        <f>IF(W252=1,", "&amp;W$1,"")</f>
        <v/>
      </c>
      <c r="AV252">
        <f>IF(X252=1,", "&amp;X$1,"")</f>
        <v/>
      </c>
      <c r="AW252">
        <f>IF(Y252=1,", "&amp;Y$1,"")</f>
        <v/>
      </c>
      <c r="AX252">
        <f>IF(Z252=1,", "&amp;Z$1,"")</f>
        <v/>
      </c>
      <c r="AY252">
        <f>IF(AA252=1,", "&amp;AA$1,"")</f>
        <v/>
      </c>
      <c r="AZ252">
        <f>MID($AB252&amp;$AC252&amp;$AD252&amp;$AE252&amp;$AF252&amp;$AG252&amp;$AH252&amp;$AI252&amp;$AJ252&amp;$AK252&amp;$AL252&amp;$AM252&amp;$AN252&amp;$AO252&amp;$AP252&amp;$AQ252&amp;$AR252&amp;$AS252&amp;$AT252&amp;$AU252&amp;$AV252&amp;$AW252&amp;$AX252&amp;$AY252,3,32767)</f>
        <v/>
      </c>
      <c r="BA252">
        <f>COUNT($D252:$AA252)</f>
        <v/>
      </c>
    </row>
    <row r="253">
      <c r="A253" t="n">
        <v>6</v>
      </c>
      <c r="B253" t="inlineStr">
        <is>
          <t>Contingency</t>
        </is>
      </c>
      <c r="C253" t="inlineStr">
        <is>
          <t>Abjuration</t>
        </is>
      </c>
      <c r="D253">
        <f>IF(Wizards!$A$2="","",IF(OR(ISNUMBER(SEARCH(", "&amp;$B253&amp;", ", ", "&amp;INDEX('Form Responses'!$I$1:$Q$200,2,$A253)&amp;", ")),ISNUMBER(SEARCH(", "&amp;$B253&amp;", ", ", "&amp;INDEX('Form Responses'!$R$1:$R$200,2)&amp;", "))),1,""))</f>
        <v/>
      </c>
      <c r="E253">
        <f>IF(Wizards!$A$3="","",IF(OR(ISNUMBER(SEARCH(", "&amp;$B253&amp;", ", ", "&amp;INDEX('Form Responses'!$I$1:$Q$200,3,$A253)&amp;", ")),ISNUMBER(SEARCH(", "&amp;$B253&amp;", ", ", "&amp;INDEX('Form Responses'!$R$1:$R$200,3)&amp;", "))),1,""))</f>
        <v/>
      </c>
      <c r="F253">
        <f>IF(Wizards!$A$4="","",IF(OR(ISNUMBER(SEARCH(", "&amp;$B253&amp;", ", ", "&amp;INDEX('Form Responses'!$I$1:$Q$200,4,$A253)&amp;", ")),ISNUMBER(SEARCH(", "&amp;$B253&amp;", ", ", "&amp;INDEX('Form Responses'!$R$1:$R$200,4)&amp;", "))),1,""))</f>
        <v/>
      </c>
      <c r="G253">
        <f>IF(Wizards!$A$5="","",IF(OR(ISNUMBER(SEARCH(", "&amp;$B253&amp;", ", ", "&amp;INDEX('Form Responses'!$I$1:$Q$200,5,$A253)&amp;", ")),ISNUMBER(SEARCH(", "&amp;$B253&amp;", ", ", "&amp;INDEX('Form Responses'!$R$1:$R$200,5)&amp;", "))),1,""))</f>
        <v/>
      </c>
      <c r="H253">
        <f>IF(Wizards!$A$6="","",IF(OR(ISNUMBER(SEARCH(", "&amp;$B253&amp;", ", ", "&amp;INDEX('Form Responses'!$I$1:$Q$200,6,$A253)&amp;", ")),ISNUMBER(SEARCH(", "&amp;$B253&amp;", ", ", "&amp;INDEX('Form Responses'!$R$1:$R$200,6)&amp;", "))),1,""))</f>
        <v/>
      </c>
      <c r="I253">
        <f>IF(Wizards!$A$7="","",IF(OR(ISNUMBER(SEARCH(", "&amp;$B253&amp;", ", ", "&amp;INDEX('Form Responses'!$I$1:$Q$200,7,$A253)&amp;", ")),ISNUMBER(SEARCH(", "&amp;$B253&amp;", ", ", "&amp;INDEX('Form Responses'!$R$1:$R$200,7)&amp;", "))),1,""))</f>
        <v/>
      </c>
      <c r="J253">
        <f>IF(Wizards!$A$8="","",IF(OR(ISNUMBER(SEARCH(", "&amp;$B253&amp;", ", ", "&amp;INDEX('Form Responses'!$I$1:$Q$200,8,$A253)&amp;", ")),ISNUMBER(SEARCH(", "&amp;$B253&amp;", ", ", "&amp;INDEX('Form Responses'!$R$1:$R$200,8)&amp;", "))),1,""))</f>
        <v/>
      </c>
      <c r="K253">
        <f>IF(Wizards!$A$9="","",IF(OR(ISNUMBER(SEARCH(", "&amp;$B253&amp;", ", ", "&amp;INDEX('Form Responses'!$I$1:$Q$200,9,$A253)&amp;", ")),ISNUMBER(SEARCH(", "&amp;$B253&amp;", ", ", "&amp;INDEX('Form Responses'!$R$1:$R$200,9)&amp;", "))),1,""))</f>
        <v/>
      </c>
      <c r="L253">
        <f>IF(Wizards!$A$10="","",IF(OR(ISNUMBER(SEARCH(", "&amp;$B253&amp;", ", ", "&amp;INDEX('Form Responses'!$I$1:$Q$200,10,$A253)&amp;", ")),ISNUMBER(SEARCH(", "&amp;$B253&amp;", ", ", "&amp;INDEX('Form Responses'!$R$1:$R$200,10)&amp;", "))),1,""))</f>
        <v/>
      </c>
      <c r="M253">
        <f>IF(Wizards!$A$11="","",IF(OR(ISNUMBER(SEARCH(", "&amp;$B253&amp;", ", ", "&amp;INDEX('Form Responses'!$I$1:$Q$200,11,$A253)&amp;", ")),ISNUMBER(SEARCH(", "&amp;$B253&amp;", ", ", "&amp;INDEX('Form Responses'!$R$1:$R$200,11)&amp;", "))),1,""))</f>
        <v/>
      </c>
      <c r="N253">
        <f>IF(Wizards!$A$12="","",IF(OR(ISNUMBER(SEARCH(", "&amp;$B253&amp;", ", ", "&amp;INDEX('Form Responses'!$I$1:$Q$200,12,$A253)&amp;", ")),ISNUMBER(SEARCH(", "&amp;$B253&amp;", ", ", "&amp;INDEX('Form Responses'!$R$1:$R$200,12)&amp;", "))),1,""))</f>
        <v/>
      </c>
      <c r="O253">
        <f>IF(Wizards!$A$13="","",IF(OR(ISNUMBER(SEARCH(", "&amp;$B253&amp;", ", ", "&amp;INDEX('Form Responses'!$I$1:$Q$200,13,$A253)&amp;", ")),ISNUMBER(SEARCH(", "&amp;$B253&amp;", ", ", "&amp;INDEX('Form Responses'!$R$1:$R$200,13)&amp;", "))),1,""))</f>
        <v/>
      </c>
      <c r="P253">
        <f>IF(Wizards!$A$14="","",IF(OR(ISNUMBER(SEARCH(", "&amp;$B253&amp;", ", ", "&amp;INDEX('Form Responses'!$I$1:$Q$200,14,$A253)&amp;", ")),ISNUMBER(SEARCH(", "&amp;$B253&amp;", ", ", "&amp;INDEX('Form Responses'!$R$1:$R$200,14)&amp;", "))),1,""))</f>
        <v/>
      </c>
      <c r="Q253">
        <f>IF(Wizards!$A$15="","",IF(OR(ISNUMBER(SEARCH(", "&amp;$B253&amp;", ", ", "&amp;INDEX('Form Responses'!$I$1:$Q$200,15,$A253)&amp;", ")),ISNUMBER(SEARCH(", "&amp;$B253&amp;", ", ", "&amp;INDEX('Form Responses'!$R$1:$R$200,15)&amp;", "))),1,""))</f>
        <v/>
      </c>
      <c r="R253">
        <f>IF(Wizards!$A$16="","",IF(OR(ISNUMBER(SEARCH(", "&amp;$B253&amp;", ", ", "&amp;INDEX('Form Responses'!$I$1:$Q$200,16,$A253)&amp;", ")),ISNUMBER(SEARCH(", "&amp;$B253&amp;", ", ", "&amp;INDEX('Form Responses'!$R$1:$R$200,16)&amp;", "))),1,""))</f>
        <v/>
      </c>
      <c r="S253">
        <f>IF(Wizards!$A$17="","",IF(OR(ISNUMBER(SEARCH(", "&amp;$B253&amp;", ", ", "&amp;INDEX('Form Responses'!$I$1:$Q$200,17,$A253)&amp;", ")),ISNUMBER(SEARCH(", "&amp;$B253&amp;", ", ", "&amp;INDEX('Form Responses'!$R$1:$R$200,17)&amp;", "))),1,""))</f>
        <v/>
      </c>
      <c r="T253">
        <f>IF(Wizards!$A$18="","",IF(OR(ISNUMBER(SEARCH(", "&amp;$B253&amp;", ", ", "&amp;INDEX('Form Responses'!$I$1:$Q$200,18,$A253)&amp;", ")),ISNUMBER(SEARCH(", "&amp;$B253&amp;", ", ", "&amp;INDEX('Form Responses'!$R$1:$R$200,18)&amp;", "))),1,""))</f>
        <v/>
      </c>
      <c r="U253">
        <f>IF(Wizards!$A$19="","",IF(OR(ISNUMBER(SEARCH(", "&amp;$B253&amp;", ", ", "&amp;INDEX('Form Responses'!$I$1:$Q$200,19,$A253)&amp;", ")),ISNUMBER(SEARCH(", "&amp;$B253&amp;", ", ", "&amp;INDEX('Form Responses'!$R$1:$R$200,19)&amp;", "))),1,""))</f>
        <v/>
      </c>
      <c r="V253">
        <f>IF(Wizards!$A$20="","",IF(OR(ISNUMBER(SEARCH(", "&amp;$B253&amp;", ", ", "&amp;INDEX('Form Responses'!$I$1:$Q$200,20,$A253)&amp;", ")),ISNUMBER(SEARCH(", "&amp;$B253&amp;", ", ", "&amp;INDEX('Form Responses'!$R$1:$R$200,20)&amp;", "))),1,""))</f>
        <v/>
      </c>
      <c r="W253">
        <f>IF(Wizards!$A$21="","",IF(OR(ISNUMBER(SEARCH(", "&amp;$B253&amp;", ", ", "&amp;INDEX('Form Responses'!$I$1:$Q$200,21,$A253)&amp;", ")),ISNUMBER(SEARCH(", "&amp;$B253&amp;", ", ", "&amp;INDEX('Form Responses'!$R$1:$R$200,21)&amp;", "))),1,""))</f>
        <v/>
      </c>
      <c r="X253">
        <f>IF(Wizards!$A$22="","",IF(OR(ISNUMBER(SEARCH(", "&amp;$B253&amp;", ", ", "&amp;INDEX('Form Responses'!$I$1:$Q$200,22,$A253)&amp;", ")),ISNUMBER(SEARCH(", "&amp;$B253&amp;", ", ", "&amp;INDEX('Form Responses'!$R$1:$R$200,22)&amp;", "))),1,""))</f>
        <v/>
      </c>
      <c r="Y253">
        <f>IF(Wizards!$A$23="","",IF(OR(ISNUMBER(SEARCH(", "&amp;$B253&amp;", ", ", "&amp;INDEX('Form Responses'!$I$1:$Q$200,23,$A253)&amp;", ")),ISNUMBER(SEARCH(", "&amp;$B253&amp;", ", ", "&amp;INDEX('Form Responses'!$R$1:$R$200,23)&amp;", "))),1,""))</f>
        <v/>
      </c>
      <c r="Z253">
        <f>IF(Wizards!$A$24="","",IF(OR(ISNUMBER(SEARCH(", "&amp;$B253&amp;", ", ", "&amp;INDEX('Form Responses'!$I$1:$Q$200,24,$A253)&amp;", ")),ISNUMBER(SEARCH(", "&amp;$B253&amp;", ", ", "&amp;INDEX('Form Responses'!$R$1:$R$200,24)&amp;", "))),1,""))</f>
        <v/>
      </c>
      <c r="AA253">
        <f>IF(Wizards!$A$25="","",IF(OR(ISNUMBER(SEARCH(", "&amp;$B253&amp;", ", ", "&amp;INDEX('Form Responses'!$I$1:$Q$200,25,$A253)&amp;", ")),ISNUMBER(SEARCH(", "&amp;$B253&amp;", ", ", "&amp;INDEX('Form Responses'!$R$1:$R$200,25)&amp;", "))),1,""))</f>
        <v/>
      </c>
      <c r="AB253">
        <f>IF(D253=1,", "&amp;D$1,"")</f>
        <v/>
      </c>
      <c r="AC253">
        <f>IF(E253=1,", "&amp;E$1,"")</f>
        <v/>
      </c>
      <c r="AD253">
        <f>IF(F253=1,", "&amp;F$1,"")</f>
        <v/>
      </c>
      <c r="AE253">
        <f>IF(G253=1,", "&amp;G$1,"")</f>
        <v/>
      </c>
      <c r="AF253">
        <f>IF(H253=1,", "&amp;H$1,"")</f>
        <v/>
      </c>
      <c r="AG253">
        <f>IF(I253=1,", "&amp;I$1,"")</f>
        <v/>
      </c>
      <c r="AH253">
        <f>IF(J253=1,", "&amp;J$1,"")</f>
        <v/>
      </c>
      <c r="AI253">
        <f>IF(K253=1,", "&amp;K$1,"")</f>
        <v/>
      </c>
      <c r="AJ253">
        <f>IF(L253=1,", "&amp;L$1,"")</f>
        <v/>
      </c>
      <c r="AK253">
        <f>IF(M253=1,", "&amp;M$1,"")</f>
        <v/>
      </c>
      <c r="AL253">
        <f>IF(N253=1,", "&amp;N$1,"")</f>
        <v/>
      </c>
      <c r="AM253">
        <f>IF(O253=1,", "&amp;O$1,"")</f>
        <v/>
      </c>
      <c r="AN253">
        <f>IF(P253=1,", "&amp;P$1,"")</f>
        <v/>
      </c>
      <c r="AO253">
        <f>IF(Q253=1,", "&amp;Q$1,"")</f>
        <v/>
      </c>
      <c r="AP253">
        <f>IF(R253=1,", "&amp;R$1,"")</f>
        <v/>
      </c>
      <c r="AQ253">
        <f>IF(S253=1,", "&amp;S$1,"")</f>
        <v/>
      </c>
      <c r="AR253">
        <f>IF(T253=1,", "&amp;T$1,"")</f>
        <v/>
      </c>
      <c r="AS253">
        <f>IF(U253=1,", "&amp;U$1,"")</f>
        <v/>
      </c>
      <c r="AT253">
        <f>IF(V253=1,", "&amp;V$1,"")</f>
        <v/>
      </c>
      <c r="AU253">
        <f>IF(W253=1,", "&amp;W$1,"")</f>
        <v/>
      </c>
      <c r="AV253">
        <f>IF(X253=1,", "&amp;X$1,"")</f>
        <v/>
      </c>
      <c r="AW253">
        <f>IF(Y253=1,", "&amp;Y$1,"")</f>
        <v/>
      </c>
      <c r="AX253">
        <f>IF(Z253=1,", "&amp;Z$1,"")</f>
        <v/>
      </c>
      <c r="AY253">
        <f>IF(AA253=1,", "&amp;AA$1,"")</f>
        <v/>
      </c>
      <c r="AZ253">
        <f>MID($AB253&amp;$AC253&amp;$AD253&amp;$AE253&amp;$AF253&amp;$AG253&amp;$AH253&amp;$AI253&amp;$AJ253&amp;$AK253&amp;$AL253&amp;$AM253&amp;$AN253&amp;$AO253&amp;$AP253&amp;$AQ253&amp;$AR253&amp;$AS253&amp;$AT253&amp;$AU253&amp;$AV253&amp;$AW253&amp;$AX253&amp;$AY253,3,32767)</f>
        <v/>
      </c>
      <c r="BA253">
        <f>COUNT($D253:$AA253)</f>
        <v/>
      </c>
    </row>
    <row r="254">
      <c r="A254" t="n">
        <v>6</v>
      </c>
      <c r="B254" t="inlineStr">
        <is>
          <t>Create Homunculus</t>
        </is>
      </c>
      <c r="C254" t="inlineStr">
        <is>
          <t>Transmutation</t>
        </is>
      </c>
      <c r="D254">
        <f>IF(Wizards!$A$2="","",IF(OR(ISNUMBER(SEARCH(", "&amp;$B254&amp;", ", ", "&amp;INDEX('Form Responses'!$I$1:$Q$200,2,$A254)&amp;", ")),ISNUMBER(SEARCH(", "&amp;$B254&amp;", ", ", "&amp;INDEX('Form Responses'!$R$1:$R$200,2)&amp;", "))),1,""))</f>
        <v/>
      </c>
      <c r="E254">
        <f>IF(Wizards!$A$3="","",IF(OR(ISNUMBER(SEARCH(", "&amp;$B254&amp;", ", ", "&amp;INDEX('Form Responses'!$I$1:$Q$200,3,$A254)&amp;", ")),ISNUMBER(SEARCH(", "&amp;$B254&amp;", ", ", "&amp;INDEX('Form Responses'!$R$1:$R$200,3)&amp;", "))),1,""))</f>
        <v/>
      </c>
      <c r="F254">
        <f>IF(Wizards!$A$4="","",IF(OR(ISNUMBER(SEARCH(", "&amp;$B254&amp;", ", ", "&amp;INDEX('Form Responses'!$I$1:$Q$200,4,$A254)&amp;", ")),ISNUMBER(SEARCH(", "&amp;$B254&amp;", ", ", "&amp;INDEX('Form Responses'!$R$1:$R$200,4)&amp;", "))),1,""))</f>
        <v/>
      </c>
      <c r="G254">
        <f>IF(Wizards!$A$5="","",IF(OR(ISNUMBER(SEARCH(", "&amp;$B254&amp;", ", ", "&amp;INDEX('Form Responses'!$I$1:$Q$200,5,$A254)&amp;", ")),ISNUMBER(SEARCH(", "&amp;$B254&amp;", ", ", "&amp;INDEX('Form Responses'!$R$1:$R$200,5)&amp;", "))),1,""))</f>
        <v/>
      </c>
      <c r="H254">
        <f>IF(Wizards!$A$6="","",IF(OR(ISNUMBER(SEARCH(", "&amp;$B254&amp;", ", ", "&amp;INDEX('Form Responses'!$I$1:$Q$200,6,$A254)&amp;", ")),ISNUMBER(SEARCH(", "&amp;$B254&amp;", ", ", "&amp;INDEX('Form Responses'!$R$1:$R$200,6)&amp;", "))),1,""))</f>
        <v/>
      </c>
      <c r="I254">
        <f>IF(Wizards!$A$7="","",IF(OR(ISNUMBER(SEARCH(", "&amp;$B254&amp;", ", ", "&amp;INDEX('Form Responses'!$I$1:$Q$200,7,$A254)&amp;", ")),ISNUMBER(SEARCH(", "&amp;$B254&amp;", ", ", "&amp;INDEX('Form Responses'!$R$1:$R$200,7)&amp;", "))),1,""))</f>
        <v/>
      </c>
      <c r="J254">
        <f>IF(Wizards!$A$8="","",IF(OR(ISNUMBER(SEARCH(", "&amp;$B254&amp;", ", ", "&amp;INDEX('Form Responses'!$I$1:$Q$200,8,$A254)&amp;", ")),ISNUMBER(SEARCH(", "&amp;$B254&amp;", ", ", "&amp;INDEX('Form Responses'!$R$1:$R$200,8)&amp;", "))),1,""))</f>
        <v/>
      </c>
      <c r="K254">
        <f>IF(Wizards!$A$9="","",IF(OR(ISNUMBER(SEARCH(", "&amp;$B254&amp;", ", ", "&amp;INDEX('Form Responses'!$I$1:$Q$200,9,$A254)&amp;", ")),ISNUMBER(SEARCH(", "&amp;$B254&amp;", ", ", "&amp;INDEX('Form Responses'!$R$1:$R$200,9)&amp;", "))),1,""))</f>
        <v/>
      </c>
      <c r="L254">
        <f>IF(Wizards!$A$10="","",IF(OR(ISNUMBER(SEARCH(", "&amp;$B254&amp;", ", ", "&amp;INDEX('Form Responses'!$I$1:$Q$200,10,$A254)&amp;", ")),ISNUMBER(SEARCH(", "&amp;$B254&amp;", ", ", "&amp;INDEX('Form Responses'!$R$1:$R$200,10)&amp;", "))),1,""))</f>
        <v/>
      </c>
      <c r="M254">
        <f>IF(Wizards!$A$11="","",IF(OR(ISNUMBER(SEARCH(", "&amp;$B254&amp;", ", ", "&amp;INDEX('Form Responses'!$I$1:$Q$200,11,$A254)&amp;", ")),ISNUMBER(SEARCH(", "&amp;$B254&amp;", ", ", "&amp;INDEX('Form Responses'!$R$1:$R$200,11)&amp;", "))),1,""))</f>
        <v/>
      </c>
      <c r="N254">
        <f>IF(Wizards!$A$12="","",IF(OR(ISNUMBER(SEARCH(", "&amp;$B254&amp;", ", ", "&amp;INDEX('Form Responses'!$I$1:$Q$200,12,$A254)&amp;", ")),ISNUMBER(SEARCH(", "&amp;$B254&amp;", ", ", "&amp;INDEX('Form Responses'!$R$1:$R$200,12)&amp;", "))),1,""))</f>
        <v/>
      </c>
      <c r="O254">
        <f>IF(Wizards!$A$13="","",IF(OR(ISNUMBER(SEARCH(", "&amp;$B254&amp;", ", ", "&amp;INDEX('Form Responses'!$I$1:$Q$200,13,$A254)&amp;", ")),ISNUMBER(SEARCH(", "&amp;$B254&amp;", ", ", "&amp;INDEX('Form Responses'!$R$1:$R$200,13)&amp;", "))),1,""))</f>
        <v/>
      </c>
      <c r="P254">
        <f>IF(Wizards!$A$14="","",IF(OR(ISNUMBER(SEARCH(", "&amp;$B254&amp;", ", ", "&amp;INDEX('Form Responses'!$I$1:$Q$200,14,$A254)&amp;", ")),ISNUMBER(SEARCH(", "&amp;$B254&amp;", ", ", "&amp;INDEX('Form Responses'!$R$1:$R$200,14)&amp;", "))),1,""))</f>
        <v/>
      </c>
      <c r="Q254">
        <f>IF(Wizards!$A$15="","",IF(OR(ISNUMBER(SEARCH(", "&amp;$B254&amp;", ", ", "&amp;INDEX('Form Responses'!$I$1:$Q$200,15,$A254)&amp;", ")),ISNUMBER(SEARCH(", "&amp;$B254&amp;", ", ", "&amp;INDEX('Form Responses'!$R$1:$R$200,15)&amp;", "))),1,""))</f>
        <v/>
      </c>
      <c r="R254">
        <f>IF(Wizards!$A$16="","",IF(OR(ISNUMBER(SEARCH(", "&amp;$B254&amp;", ", ", "&amp;INDEX('Form Responses'!$I$1:$Q$200,16,$A254)&amp;", ")),ISNUMBER(SEARCH(", "&amp;$B254&amp;", ", ", "&amp;INDEX('Form Responses'!$R$1:$R$200,16)&amp;", "))),1,""))</f>
        <v/>
      </c>
      <c r="S254">
        <f>IF(Wizards!$A$17="","",IF(OR(ISNUMBER(SEARCH(", "&amp;$B254&amp;", ", ", "&amp;INDEX('Form Responses'!$I$1:$Q$200,17,$A254)&amp;", ")),ISNUMBER(SEARCH(", "&amp;$B254&amp;", ", ", "&amp;INDEX('Form Responses'!$R$1:$R$200,17)&amp;", "))),1,""))</f>
        <v/>
      </c>
      <c r="T254">
        <f>IF(Wizards!$A$18="","",IF(OR(ISNUMBER(SEARCH(", "&amp;$B254&amp;", ", ", "&amp;INDEX('Form Responses'!$I$1:$Q$200,18,$A254)&amp;", ")),ISNUMBER(SEARCH(", "&amp;$B254&amp;", ", ", "&amp;INDEX('Form Responses'!$R$1:$R$200,18)&amp;", "))),1,""))</f>
        <v/>
      </c>
      <c r="U254">
        <f>IF(Wizards!$A$19="","",IF(OR(ISNUMBER(SEARCH(", "&amp;$B254&amp;", ", ", "&amp;INDEX('Form Responses'!$I$1:$Q$200,19,$A254)&amp;", ")),ISNUMBER(SEARCH(", "&amp;$B254&amp;", ", ", "&amp;INDEX('Form Responses'!$R$1:$R$200,19)&amp;", "))),1,""))</f>
        <v/>
      </c>
      <c r="V254">
        <f>IF(Wizards!$A$20="","",IF(OR(ISNUMBER(SEARCH(", "&amp;$B254&amp;", ", ", "&amp;INDEX('Form Responses'!$I$1:$Q$200,20,$A254)&amp;", ")),ISNUMBER(SEARCH(", "&amp;$B254&amp;", ", ", "&amp;INDEX('Form Responses'!$R$1:$R$200,20)&amp;", "))),1,""))</f>
        <v/>
      </c>
      <c r="W254">
        <f>IF(Wizards!$A$21="","",IF(OR(ISNUMBER(SEARCH(", "&amp;$B254&amp;", ", ", "&amp;INDEX('Form Responses'!$I$1:$Q$200,21,$A254)&amp;", ")),ISNUMBER(SEARCH(", "&amp;$B254&amp;", ", ", "&amp;INDEX('Form Responses'!$R$1:$R$200,21)&amp;", "))),1,""))</f>
        <v/>
      </c>
      <c r="X254">
        <f>IF(Wizards!$A$22="","",IF(OR(ISNUMBER(SEARCH(", "&amp;$B254&amp;", ", ", "&amp;INDEX('Form Responses'!$I$1:$Q$200,22,$A254)&amp;", ")),ISNUMBER(SEARCH(", "&amp;$B254&amp;", ", ", "&amp;INDEX('Form Responses'!$R$1:$R$200,22)&amp;", "))),1,""))</f>
        <v/>
      </c>
      <c r="Y254">
        <f>IF(Wizards!$A$23="","",IF(OR(ISNUMBER(SEARCH(", "&amp;$B254&amp;", ", ", "&amp;INDEX('Form Responses'!$I$1:$Q$200,23,$A254)&amp;", ")),ISNUMBER(SEARCH(", "&amp;$B254&amp;", ", ", "&amp;INDEX('Form Responses'!$R$1:$R$200,23)&amp;", "))),1,""))</f>
        <v/>
      </c>
      <c r="Z254">
        <f>IF(Wizards!$A$24="","",IF(OR(ISNUMBER(SEARCH(", "&amp;$B254&amp;", ", ", "&amp;INDEX('Form Responses'!$I$1:$Q$200,24,$A254)&amp;", ")),ISNUMBER(SEARCH(", "&amp;$B254&amp;", ", ", "&amp;INDEX('Form Responses'!$R$1:$R$200,24)&amp;", "))),1,""))</f>
        <v/>
      </c>
      <c r="AA254">
        <f>IF(Wizards!$A$25="","",IF(OR(ISNUMBER(SEARCH(", "&amp;$B254&amp;", ", ", "&amp;INDEX('Form Responses'!$I$1:$Q$200,25,$A254)&amp;", ")),ISNUMBER(SEARCH(", "&amp;$B254&amp;", ", ", "&amp;INDEX('Form Responses'!$R$1:$R$200,25)&amp;", "))),1,""))</f>
        <v/>
      </c>
      <c r="AB254">
        <f>IF(D254=1,", "&amp;D$1,"")</f>
        <v/>
      </c>
      <c r="AC254">
        <f>IF(E254=1,", "&amp;E$1,"")</f>
        <v/>
      </c>
      <c r="AD254">
        <f>IF(F254=1,", "&amp;F$1,"")</f>
        <v/>
      </c>
      <c r="AE254">
        <f>IF(G254=1,", "&amp;G$1,"")</f>
        <v/>
      </c>
      <c r="AF254">
        <f>IF(H254=1,", "&amp;H$1,"")</f>
        <v/>
      </c>
      <c r="AG254">
        <f>IF(I254=1,", "&amp;I$1,"")</f>
        <v/>
      </c>
      <c r="AH254">
        <f>IF(J254=1,", "&amp;J$1,"")</f>
        <v/>
      </c>
      <c r="AI254">
        <f>IF(K254=1,", "&amp;K$1,"")</f>
        <v/>
      </c>
      <c r="AJ254">
        <f>IF(L254=1,", "&amp;L$1,"")</f>
        <v/>
      </c>
      <c r="AK254">
        <f>IF(M254=1,", "&amp;M$1,"")</f>
        <v/>
      </c>
      <c r="AL254">
        <f>IF(N254=1,", "&amp;N$1,"")</f>
        <v/>
      </c>
      <c r="AM254">
        <f>IF(O254=1,", "&amp;O$1,"")</f>
        <v/>
      </c>
      <c r="AN254">
        <f>IF(P254=1,", "&amp;P$1,"")</f>
        <v/>
      </c>
      <c r="AO254">
        <f>IF(Q254=1,", "&amp;Q$1,"")</f>
        <v/>
      </c>
      <c r="AP254">
        <f>IF(R254=1,", "&amp;R$1,"")</f>
        <v/>
      </c>
      <c r="AQ254">
        <f>IF(S254=1,", "&amp;S$1,"")</f>
        <v/>
      </c>
      <c r="AR254">
        <f>IF(T254=1,", "&amp;T$1,"")</f>
        <v/>
      </c>
      <c r="AS254">
        <f>IF(U254=1,", "&amp;U$1,"")</f>
        <v/>
      </c>
      <c r="AT254">
        <f>IF(V254=1,", "&amp;V$1,"")</f>
        <v/>
      </c>
      <c r="AU254">
        <f>IF(W254=1,", "&amp;W$1,"")</f>
        <v/>
      </c>
      <c r="AV254">
        <f>IF(X254=1,", "&amp;X$1,"")</f>
        <v/>
      </c>
      <c r="AW254">
        <f>IF(Y254=1,", "&amp;Y$1,"")</f>
        <v/>
      </c>
      <c r="AX254">
        <f>IF(Z254=1,", "&amp;Z$1,"")</f>
        <v/>
      </c>
      <c r="AY254">
        <f>IF(AA254=1,", "&amp;AA$1,"")</f>
        <v/>
      </c>
      <c r="AZ254">
        <f>MID($AB254&amp;$AC254&amp;$AD254&amp;$AE254&amp;$AF254&amp;$AG254&amp;$AH254&amp;$AI254&amp;$AJ254&amp;$AK254&amp;$AL254&amp;$AM254&amp;$AN254&amp;$AO254&amp;$AP254&amp;$AQ254&amp;$AR254&amp;$AS254&amp;$AT254&amp;$AU254&amp;$AV254&amp;$AW254&amp;$AX254&amp;$AY254,3,32767)</f>
        <v/>
      </c>
      <c r="BA254">
        <f>COUNT($D254:$AA254)</f>
        <v/>
      </c>
    </row>
    <row r="255">
      <c r="A255" t="n">
        <v>6</v>
      </c>
      <c r="B255" t="inlineStr">
        <is>
          <t>Create Undead</t>
        </is>
      </c>
      <c r="C255" t="inlineStr">
        <is>
          <t>Necromancy</t>
        </is>
      </c>
      <c r="D255">
        <f>IF(Wizards!$A$2="","",IF(OR(ISNUMBER(SEARCH(", "&amp;$B255&amp;", ", ", "&amp;INDEX('Form Responses'!$I$1:$Q$200,2,$A255)&amp;", ")),ISNUMBER(SEARCH(", "&amp;$B255&amp;", ", ", "&amp;INDEX('Form Responses'!$R$1:$R$200,2)&amp;", "))),1,""))</f>
        <v/>
      </c>
      <c r="E255">
        <f>IF(Wizards!$A$3="","",IF(OR(ISNUMBER(SEARCH(", "&amp;$B255&amp;", ", ", "&amp;INDEX('Form Responses'!$I$1:$Q$200,3,$A255)&amp;", ")),ISNUMBER(SEARCH(", "&amp;$B255&amp;", ", ", "&amp;INDEX('Form Responses'!$R$1:$R$200,3)&amp;", "))),1,""))</f>
        <v/>
      </c>
      <c r="F255">
        <f>IF(Wizards!$A$4="","",IF(OR(ISNUMBER(SEARCH(", "&amp;$B255&amp;", ", ", "&amp;INDEX('Form Responses'!$I$1:$Q$200,4,$A255)&amp;", ")),ISNUMBER(SEARCH(", "&amp;$B255&amp;", ", ", "&amp;INDEX('Form Responses'!$R$1:$R$200,4)&amp;", "))),1,""))</f>
        <v/>
      </c>
      <c r="G255">
        <f>IF(Wizards!$A$5="","",IF(OR(ISNUMBER(SEARCH(", "&amp;$B255&amp;", ", ", "&amp;INDEX('Form Responses'!$I$1:$Q$200,5,$A255)&amp;", ")),ISNUMBER(SEARCH(", "&amp;$B255&amp;", ", ", "&amp;INDEX('Form Responses'!$R$1:$R$200,5)&amp;", "))),1,""))</f>
        <v/>
      </c>
      <c r="H255">
        <f>IF(Wizards!$A$6="","",IF(OR(ISNUMBER(SEARCH(", "&amp;$B255&amp;", ", ", "&amp;INDEX('Form Responses'!$I$1:$Q$200,6,$A255)&amp;", ")),ISNUMBER(SEARCH(", "&amp;$B255&amp;", ", ", "&amp;INDEX('Form Responses'!$R$1:$R$200,6)&amp;", "))),1,""))</f>
        <v/>
      </c>
      <c r="I255">
        <f>IF(Wizards!$A$7="","",IF(OR(ISNUMBER(SEARCH(", "&amp;$B255&amp;", ", ", "&amp;INDEX('Form Responses'!$I$1:$Q$200,7,$A255)&amp;", ")),ISNUMBER(SEARCH(", "&amp;$B255&amp;", ", ", "&amp;INDEX('Form Responses'!$R$1:$R$200,7)&amp;", "))),1,""))</f>
        <v/>
      </c>
      <c r="J255">
        <f>IF(Wizards!$A$8="","",IF(OR(ISNUMBER(SEARCH(", "&amp;$B255&amp;", ", ", "&amp;INDEX('Form Responses'!$I$1:$Q$200,8,$A255)&amp;", ")),ISNUMBER(SEARCH(", "&amp;$B255&amp;", ", ", "&amp;INDEX('Form Responses'!$R$1:$R$200,8)&amp;", "))),1,""))</f>
        <v/>
      </c>
      <c r="K255">
        <f>IF(Wizards!$A$9="","",IF(OR(ISNUMBER(SEARCH(", "&amp;$B255&amp;", ", ", "&amp;INDEX('Form Responses'!$I$1:$Q$200,9,$A255)&amp;", ")),ISNUMBER(SEARCH(", "&amp;$B255&amp;", ", ", "&amp;INDEX('Form Responses'!$R$1:$R$200,9)&amp;", "))),1,""))</f>
        <v/>
      </c>
      <c r="L255">
        <f>IF(Wizards!$A$10="","",IF(OR(ISNUMBER(SEARCH(", "&amp;$B255&amp;", ", ", "&amp;INDEX('Form Responses'!$I$1:$Q$200,10,$A255)&amp;", ")),ISNUMBER(SEARCH(", "&amp;$B255&amp;", ", ", "&amp;INDEX('Form Responses'!$R$1:$R$200,10)&amp;", "))),1,""))</f>
        <v/>
      </c>
      <c r="M255">
        <f>IF(Wizards!$A$11="","",IF(OR(ISNUMBER(SEARCH(", "&amp;$B255&amp;", ", ", "&amp;INDEX('Form Responses'!$I$1:$Q$200,11,$A255)&amp;", ")),ISNUMBER(SEARCH(", "&amp;$B255&amp;", ", ", "&amp;INDEX('Form Responses'!$R$1:$R$200,11)&amp;", "))),1,""))</f>
        <v/>
      </c>
      <c r="N255">
        <f>IF(Wizards!$A$12="","",IF(OR(ISNUMBER(SEARCH(", "&amp;$B255&amp;", ", ", "&amp;INDEX('Form Responses'!$I$1:$Q$200,12,$A255)&amp;", ")),ISNUMBER(SEARCH(", "&amp;$B255&amp;", ", ", "&amp;INDEX('Form Responses'!$R$1:$R$200,12)&amp;", "))),1,""))</f>
        <v/>
      </c>
      <c r="O255">
        <f>IF(Wizards!$A$13="","",IF(OR(ISNUMBER(SEARCH(", "&amp;$B255&amp;", ", ", "&amp;INDEX('Form Responses'!$I$1:$Q$200,13,$A255)&amp;", ")),ISNUMBER(SEARCH(", "&amp;$B255&amp;", ", ", "&amp;INDEX('Form Responses'!$R$1:$R$200,13)&amp;", "))),1,""))</f>
        <v/>
      </c>
      <c r="P255">
        <f>IF(Wizards!$A$14="","",IF(OR(ISNUMBER(SEARCH(", "&amp;$B255&amp;", ", ", "&amp;INDEX('Form Responses'!$I$1:$Q$200,14,$A255)&amp;", ")),ISNUMBER(SEARCH(", "&amp;$B255&amp;", ", ", "&amp;INDEX('Form Responses'!$R$1:$R$200,14)&amp;", "))),1,""))</f>
        <v/>
      </c>
      <c r="Q255">
        <f>IF(Wizards!$A$15="","",IF(OR(ISNUMBER(SEARCH(", "&amp;$B255&amp;", ", ", "&amp;INDEX('Form Responses'!$I$1:$Q$200,15,$A255)&amp;", ")),ISNUMBER(SEARCH(", "&amp;$B255&amp;", ", ", "&amp;INDEX('Form Responses'!$R$1:$R$200,15)&amp;", "))),1,""))</f>
        <v/>
      </c>
      <c r="R255">
        <f>IF(Wizards!$A$16="","",IF(OR(ISNUMBER(SEARCH(", "&amp;$B255&amp;", ", ", "&amp;INDEX('Form Responses'!$I$1:$Q$200,16,$A255)&amp;", ")),ISNUMBER(SEARCH(", "&amp;$B255&amp;", ", ", "&amp;INDEX('Form Responses'!$R$1:$R$200,16)&amp;", "))),1,""))</f>
        <v/>
      </c>
      <c r="S255">
        <f>IF(Wizards!$A$17="","",IF(OR(ISNUMBER(SEARCH(", "&amp;$B255&amp;", ", ", "&amp;INDEX('Form Responses'!$I$1:$Q$200,17,$A255)&amp;", ")),ISNUMBER(SEARCH(", "&amp;$B255&amp;", ", ", "&amp;INDEX('Form Responses'!$R$1:$R$200,17)&amp;", "))),1,""))</f>
        <v/>
      </c>
      <c r="T255">
        <f>IF(Wizards!$A$18="","",IF(OR(ISNUMBER(SEARCH(", "&amp;$B255&amp;", ", ", "&amp;INDEX('Form Responses'!$I$1:$Q$200,18,$A255)&amp;", ")),ISNUMBER(SEARCH(", "&amp;$B255&amp;", ", ", "&amp;INDEX('Form Responses'!$R$1:$R$200,18)&amp;", "))),1,""))</f>
        <v/>
      </c>
      <c r="U255">
        <f>IF(Wizards!$A$19="","",IF(OR(ISNUMBER(SEARCH(", "&amp;$B255&amp;", ", ", "&amp;INDEX('Form Responses'!$I$1:$Q$200,19,$A255)&amp;", ")),ISNUMBER(SEARCH(", "&amp;$B255&amp;", ", ", "&amp;INDEX('Form Responses'!$R$1:$R$200,19)&amp;", "))),1,""))</f>
        <v/>
      </c>
      <c r="V255">
        <f>IF(Wizards!$A$20="","",IF(OR(ISNUMBER(SEARCH(", "&amp;$B255&amp;", ", ", "&amp;INDEX('Form Responses'!$I$1:$Q$200,20,$A255)&amp;", ")),ISNUMBER(SEARCH(", "&amp;$B255&amp;", ", ", "&amp;INDEX('Form Responses'!$R$1:$R$200,20)&amp;", "))),1,""))</f>
        <v/>
      </c>
      <c r="W255">
        <f>IF(Wizards!$A$21="","",IF(OR(ISNUMBER(SEARCH(", "&amp;$B255&amp;", ", ", "&amp;INDEX('Form Responses'!$I$1:$Q$200,21,$A255)&amp;", ")),ISNUMBER(SEARCH(", "&amp;$B255&amp;", ", ", "&amp;INDEX('Form Responses'!$R$1:$R$200,21)&amp;", "))),1,""))</f>
        <v/>
      </c>
      <c r="X255">
        <f>IF(Wizards!$A$22="","",IF(OR(ISNUMBER(SEARCH(", "&amp;$B255&amp;", ", ", "&amp;INDEX('Form Responses'!$I$1:$Q$200,22,$A255)&amp;", ")),ISNUMBER(SEARCH(", "&amp;$B255&amp;", ", ", "&amp;INDEX('Form Responses'!$R$1:$R$200,22)&amp;", "))),1,""))</f>
        <v/>
      </c>
      <c r="Y255">
        <f>IF(Wizards!$A$23="","",IF(OR(ISNUMBER(SEARCH(", "&amp;$B255&amp;", ", ", "&amp;INDEX('Form Responses'!$I$1:$Q$200,23,$A255)&amp;", ")),ISNUMBER(SEARCH(", "&amp;$B255&amp;", ", ", "&amp;INDEX('Form Responses'!$R$1:$R$200,23)&amp;", "))),1,""))</f>
        <v/>
      </c>
      <c r="Z255">
        <f>IF(Wizards!$A$24="","",IF(OR(ISNUMBER(SEARCH(", "&amp;$B255&amp;", ", ", "&amp;INDEX('Form Responses'!$I$1:$Q$200,24,$A255)&amp;", ")),ISNUMBER(SEARCH(", "&amp;$B255&amp;", ", ", "&amp;INDEX('Form Responses'!$R$1:$R$200,24)&amp;", "))),1,""))</f>
        <v/>
      </c>
      <c r="AA255">
        <f>IF(Wizards!$A$25="","",IF(OR(ISNUMBER(SEARCH(", "&amp;$B255&amp;", ", ", "&amp;INDEX('Form Responses'!$I$1:$Q$200,25,$A255)&amp;", ")),ISNUMBER(SEARCH(", "&amp;$B255&amp;", ", ", "&amp;INDEX('Form Responses'!$R$1:$R$200,25)&amp;", "))),1,""))</f>
        <v/>
      </c>
      <c r="AB255">
        <f>IF(D255=1,", "&amp;D$1,"")</f>
        <v/>
      </c>
      <c r="AC255">
        <f>IF(E255=1,", "&amp;E$1,"")</f>
        <v/>
      </c>
      <c r="AD255">
        <f>IF(F255=1,", "&amp;F$1,"")</f>
        <v/>
      </c>
      <c r="AE255">
        <f>IF(G255=1,", "&amp;G$1,"")</f>
        <v/>
      </c>
      <c r="AF255">
        <f>IF(H255=1,", "&amp;H$1,"")</f>
        <v/>
      </c>
      <c r="AG255">
        <f>IF(I255=1,", "&amp;I$1,"")</f>
        <v/>
      </c>
      <c r="AH255">
        <f>IF(J255=1,", "&amp;J$1,"")</f>
        <v/>
      </c>
      <c r="AI255">
        <f>IF(K255=1,", "&amp;K$1,"")</f>
        <v/>
      </c>
      <c r="AJ255">
        <f>IF(L255=1,", "&amp;L$1,"")</f>
        <v/>
      </c>
      <c r="AK255">
        <f>IF(M255=1,", "&amp;M$1,"")</f>
        <v/>
      </c>
      <c r="AL255">
        <f>IF(N255=1,", "&amp;N$1,"")</f>
        <v/>
      </c>
      <c r="AM255">
        <f>IF(O255=1,", "&amp;O$1,"")</f>
        <v/>
      </c>
      <c r="AN255">
        <f>IF(P255=1,", "&amp;P$1,"")</f>
        <v/>
      </c>
      <c r="AO255">
        <f>IF(Q255=1,", "&amp;Q$1,"")</f>
        <v/>
      </c>
      <c r="AP255">
        <f>IF(R255=1,", "&amp;R$1,"")</f>
        <v/>
      </c>
      <c r="AQ255">
        <f>IF(S255=1,", "&amp;S$1,"")</f>
        <v/>
      </c>
      <c r="AR255">
        <f>IF(T255=1,", "&amp;T$1,"")</f>
        <v/>
      </c>
      <c r="AS255">
        <f>IF(U255=1,", "&amp;U$1,"")</f>
        <v/>
      </c>
      <c r="AT255">
        <f>IF(V255=1,", "&amp;V$1,"")</f>
        <v/>
      </c>
      <c r="AU255">
        <f>IF(W255=1,", "&amp;W$1,"")</f>
        <v/>
      </c>
      <c r="AV255">
        <f>IF(X255=1,", "&amp;X$1,"")</f>
        <v/>
      </c>
      <c r="AW255">
        <f>IF(Y255=1,", "&amp;Y$1,"")</f>
        <v/>
      </c>
      <c r="AX255">
        <f>IF(Z255=1,", "&amp;Z$1,"")</f>
        <v/>
      </c>
      <c r="AY255">
        <f>IF(AA255=1,", "&amp;AA$1,"")</f>
        <v/>
      </c>
      <c r="AZ255">
        <f>MID($AB255&amp;$AC255&amp;$AD255&amp;$AE255&amp;$AF255&amp;$AG255&amp;$AH255&amp;$AI255&amp;$AJ255&amp;$AK255&amp;$AL255&amp;$AM255&amp;$AN255&amp;$AO255&amp;$AP255&amp;$AQ255&amp;$AR255&amp;$AS255&amp;$AT255&amp;$AU255&amp;$AV255&amp;$AW255&amp;$AX255&amp;$AY255,3,32767)</f>
        <v/>
      </c>
      <c r="BA255">
        <f>COUNT($D255:$AA255)</f>
        <v/>
      </c>
    </row>
    <row r="256">
      <c r="A256" t="n">
        <v>6</v>
      </c>
      <c r="B256" t="inlineStr">
        <is>
          <t>Disintegrate</t>
        </is>
      </c>
      <c r="C256" t="inlineStr">
        <is>
          <t>Transmutation</t>
        </is>
      </c>
      <c r="D256">
        <f>IF(Wizards!$A$2="","",IF(OR(ISNUMBER(SEARCH(", "&amp;$B256&amp;", ", ", "&amp;INDEX('Form Responses'!$I$1:$Q$200,2,$A256)&amp;", ")),ISNUMBER(SEARCH(", "&amp;$B256&amp;", ", ", "&amp;INDEX('Form Responses'!$R$1:$R$200,2)&amp;", "))),1,""))</f>
        <v/>
      </c>
      <c r="E256">
        <f>IF(Wizards!$A$3="","",IF(OR(ISNUMBER(SEARCH(", "&amp;$B256&amp;", ", ", "&amp;INDEX('Form Responses'!$I$1:$Q$200,3,$A256)&amp;", ")),ISNUMBER(SEARCH(", "&amp;$B256&amp;", ", ", "&amp;INDEX('Form Responses'!$R$1:$R$200,3)&amp;", "))),1,""))</f>
        <v/>
      </c>
      <c r="F256">
        <f>IF(Wizards!$A$4="","",IF(OR(ISNUMBER(SEARCH(", "&amp;$B256&amp;", ", ", "&amp;INDEX('Form Responses'!$I$1:$Q$200,4,$A256)&amp;", ")),ISNUMBER(SEARCH(", "&amp;$B256&amp;", ", ", "&amp;INDEX('Form Responses'!$R$1:$R$200,4)&amp;", "))),1,""))</f>
        <v/>
      </c>
      <c r="G256">
        <f>IF(Wizards!$A$5="","",IF(OR(ISNUMBER(SEARCH(", "&amp;$B256&amp;", ", ", "&amp;INDEX('Form Responses'!$I$1:$Q$200,5,$A256)&amp;", ")),ISNUMBER(SEARCH(", "&amp;$B256&amp;", ", ", "&amp;INDEX('Form Responses'!$R$1:$R$200,5)&amp;", "))),1,""))</f>
        <v/>
      </c>
      <c r="H256">
        <f>IF(Wizards!$A$6="","",IF(OR(ISNUMBER(SEARCH(", "&amp;$B256&amp;", ", ", "&amp;INDEX('Form Responses'!$I$1:$Q$200,6,$A256)&amp;", ")),ISNUMBER(SEARCH(", "&amp;$B256&amp;", ", ", "&amp;INDEX('Form Responses'!$R$1:$R$200,6)&amp;", "))),1,""))</f>
        <v/>
      </c>
      <c r="I256">
        <f>IF(Wizards!$A$7="","",IF(OR(ISNUMBER(SEARCH(", "&amp;$B256&amp;", ", ", "&amp;INDEX('Form Responses'!$I$1:$Q$200,7,$A256)&amp;", ")),ISNUMBER(SEARCH(", "&amp;$B256&amp;", ", ", "&amp;INDEX('Form Responses'!$R$1:$R$200,7)&amp;", "))),1,""))</f>
        <v/>
      </c>
      <c r="J256">
        <f>IF(Wizards!$A$8="","",IF(OR(ISNUMBER(SEARCH(", "&amp;$B256&amp;", ", ", "&amp;INDEX('Form Responses'!$I$1:$Q$200,8,$A256)&amp;", ")),ISNUMBER(SEARCH(", "&amp;$B256&amp;", ", ", "&amp;INDEX('Form Responses'!$R$1:$R$200,8)&amp;", "))),1,""))</f>
        <v/>
      </c>
      <c r="K256">
        <f>IF(Wizards!$A$9="","",IF(OR(ISNUMBER(SEARCH(", "&amp;$B256&amp;", ", ", "&amp;INDEX('Form Responses'!$I$1:$Q$200,9,$A256)&amp;", ")),ISNUMBER(SEARCH(", "&amp;$B256&amp;", ", ", "&amp;INDEX('Form Responses'!$R$1:$R$200,9)&amp;", "))),1,""))</f>
        <v/>
      </c>
      <c r="L256">
        <f>IF(Wizards!$A$10="","",IF(OR(ISNUMBER(SEARCH(", "&amp;$B256&amp;", ", ", "&amp;INDEX('Form Responses'!$I$1:$Q$200,10,$A256)&amp;", ")),ISNUMBER(SEARCH(", "&amp;$B256&amp;", ", ", "&amp;INDEX('Form Responses'!$R$1:$R$200,10)&amp;", "))),1,""))</f>
        <v/>
      </c>
      <c r="M256">
        <f>IF(Wizards!$A$11="","",IF(OR(ISNUMBER(SEARCH(", "&amp;$B256&amp;", ", ", "&amp;INDEX('Form Responses'!$I$1:$Q$200,11,$A256)&amp;", ")),ISNUMBER(SEARCH(", "&amp;$B256&amp;", ", ", "&amp;INDEX('Form Responses'!$R$1:$R$200,11)&amp;", "))),1,""))</f>
        <v/>
      </c>
      <c r="N256">
        <f>IF(Wizards!$A$12="","",IF(OR(ISNUMBER(SEARCH(", "&amp;$B256&amp;", ", ", "&amp;INDEX('Form Responses'!$I$1:$Q$200,12,$A256)&amp;", ")),ISNUMBER(SEARCH(", "&amp;$B256&amp;", ", ", "&amp;INDEX('Form Responses'!$R$1:$R$200,12)&amp;", "))),1,""))</f>
        <v/>
      </c>
      <c r="O256">
        <f>IF(Wizards!$A$13="","",IF(OR(ISNUMBER(SEARCH(", "&amp;$B256&amp;", ", ", "&amp;INDEX('Form Responses'!$I$1:$Q$200,13,$A256)&amp;", ")),ISNUMBER(SEARCH(", "&amp;$B256&amp;", ", ", "&amp;INDEX('Form Responses'!$R$1:$R$200,13)&amp;", "))),1,""))</f>
        <v/>
      </c>
      <c r="P256">
        <f>IF(Wizards!$A$14="","",IF(OR(ISNUMBER(SEARCH(", "&amp;$B256&amp;", ", ", "&amp;INDEX('Form Responses'!$I$1:$Q$200,14,$A256)&amp;", ")),ISNUMBER(SEARCH(", "&amp;$B256&amp;", ", ", "&amp;INDEX('Form Responses'!$R$1:$R$200,14)&amp;", "))),1,""))</f>
        <v/>
      </c>
      <c r="Q256">
        <f>IF(Wizards!$A$15="","",IF(OR(ISNUMBER(SEARCH(", "&amp;$B256&amp;", ", ", "&amp;INDEX('Form Responses'!$I$1:$Q$200,15,$A256)&amp;", ")),ISNUMBER(SEARCH(", "&amp;$B256&amp;", ", ", "&amp;INDEX('Form Responses'!$R$1:$R$200,15)&amp;", "))),1,""))</f>
        <v/>
      </c>
      <c r="R256">
        <f>IF(Wizards!$A$16="","",IF(OR(ISNUMBER(SEARCH(", "&amp;$B256&amp;", ", ", "&amp;INDEX('Form Responses'!$I$1:$Q$200,16,$A256)&amp;", ")),ISNUMBER(SEARCH(", "&amp;$B256&amp;", ", ", "&amp;INDEX('Form Responses'!$R$1:$R$200,16)&amp;", "))),1,""))</f>
        <v/>
      </c>
      <c r="S256">
        <f>IF(Wizards!$A$17="","",IF(OR(ISNUMBER(SEARCH(", "&amp;$B256&amp;", ", ", "&amp;INDEX('Form Responses'!$I$1:$Q$200,17,$A256)&amp;", ")),ISNUMBER(SEARCH(", "&amp;$B256&amp;", ", ", "&amp;INDEX('Form Responses'!$R$1:$R$200,17)&amp;", "))),1,""))</f>
        <v/>
      </c>
      <c r="T256">
        <f>IF(Wizards!$A$18="","",IF(OR(ISNUMBER(SEARCH(", "&amp;$B256&amp;", ", ", "&amp;INDEX('Form Responses'!$I$1:$Q$200,18,$A256)&amp;", ")),ISNUMBER(SEARCH(", "&amp;$B256&amp;", ", ", "&amp;INDEX('Form Responses'!$R$1:$R$200,18)&amp;", "))),1,""))</f>
        <v/>
      </c>
      <c r="U256">
        <f>IF(Wizards!$A$19="","",IF(OR(ISNUMBER(SEARCH(", "&amp;$B256&amp;", ", ", "&amp;INDEX('Form Responses'!$I$1:$Q$200,19,$A256)&amp;", ")),ISNUMBER(SEARCH(", "&amp;$B256&amp;", ", ", "&amp;INDEX('Form Responses'!$R$1:$R$200,19)&amp;", "))),1,""))</f>
        <v/>
      </c>
      <c r="V256">
        <f>IF(Wizards!$A$20="","",IF(OR(ISNUMBER(SEARCH(", "&amp;$B256&amp;", ", ", "&amp;INDEX('Form Responses'!$I$1:$Q$200,20,$A256)&amp;", ")),ISNUMBER(SEARCH(", "&amp;$B256&amp;", ", ", "&amp;INDEX('Form Responses'!$R$1:$R$200,20)&amp;", "))),1,""))</f>
        <v/>
      </c>
      <c r="W256">
        <f>IF(Wizards!$A$21="","",IF(OR(ISNUMBER(SEARCH(", "&amp;$B256&amp;", ", ", "&amp;INDEX('Form Responses'!$I$1:$Q$200,21,$A256)&amp;", ")),ISNUMBER(SEARCH(", "&amp;$B256&amp;", ", ", "&amp;INDEX('Form Responses'!$R$1:$R$200,21)&amp;", "))),1,""))</f>
        <v/>
      </c>
      <c r="X256">
        <f>IF(Wizards!$A$22="","",IF(OR(ISNUMBER(SEARCH(", "&amp;$B256&amp;", ", ", "&amp;INDEX('Form Responses'!$I$1:$Q$200,22,$A256)&amp;", ")),ISNUMBER(SEARCH(", "&amp;$B256&amp;", ", ", "&amp;INDEX('Form Responses'!$R$1:$R$200,22)&amp;", "))),1,""))</f>
        <v/>
      </c>
      <c r="Y256">
        <f>IF(Wizards!$A$23="","",IF(OR(ISNUMBER(SEARCH(", "&amp;$B256&amp;", ", ", "&amp;INDEX('Form Responses'!$I$1:$Q$200,23,$A256)&amp;", ")),ISNUMBER(SEARCH(", "&amp;$B256&amp;", ", ", "&amp;INDEX('Form Responses'!$R$1:$R$200,23)&amp;", "))),1,""))</f>
        <v/>
      </c>
      <c r="Z256">
        <f>IF(Wizards!$A$24="","",IF(OR(ISNUMBER(SEARCH(", "&amp;$B256&amp;", ", ", "&amp;INDEX('Form Responses'!$I$1:$Q$200,24,$A256)&amp;", ")),ISNUMBER(SEARCH(", "&amp;$B256&amp;", ", ", "&amp;INDEX('Form Responses'!$R$1:$R$200,24)&amp;", "))),1,""))</f>
        <v/>
      </c>
      <c r="AA256">
        <f>IF(Wizards!$A$25="","",IF(OR(ISNUMBER(SEARCH(", "&amp;$B256&amp;", ", ", "&amp;INDEX('Form Responses'!$I$1:$Q$200,25,$A256)&amp;", ")),ISNUMBER(SEARCH(", "&amp;$B256&amp;", ", ", "&amp;INDEX('Form Responses'!$R$1:$R$200,25)&amp;", "))),1,""))</f>
        <v/>
      </c>
      <c r="AB256">
        <f>IF(D256=1,", "&amp;D$1,"")</f>
        <v/>
      </c>
      <c r="AC256">
        <f>IF(E256=1,", "&amp;E$1,"")</f>
        <v/>
      </c>
      <c r="AD256">
        <f>IF(F256=1,", "&amp;F$1,"")</f>
        <v/>
      </c>
      <c r="AE256">
        <f>IF(G256=1,", "&amp;G$1,"")</f>
        <v/>
      </c>
      <c r="AF256">
        <f>IF(H256=1,", "&amp;H$1,"")</f>
        <v/>
      </c>
      <c r="AG256">
        <f>IF(I256=1,", "&amp;I$1,"")</f>
        <v/>
      </c>
      <c r="AH256">
        <f>IF(J256=1,", "&amp;J$1,"")</f>
        <v/>
      </c>
      <c r="AI256">
        <f>IF(K256=1,", "&amp;K$1,"")</f>
        <v/>
      </c>
      <c r="AJ256">
        <f>IF(L256=1,", "&amp;L$1,"")</f>
        <v/>
      </c>
      <c r="AK256">
        <f>IF(M256=1,", "&amp;M$1,"")</f>
        <v/>
      </c>
      <c r="AL256">
        <f>IF(N256=1,", "&amp;N$1,"")</f>
        <v/>
      </c>
      <c r="AM256">
        <f>IF(O256=1,", "&amp;O$1,"")</f>
        <v/>
      </c>
      <c r="AN256">
        <f>IF(P256=1,", "&amp;P$1,"")</f>
        <v/>
      </c>
      <c r="AO256">
        <f>IF(Q256=1,", "&amp;Q$1,"")</f>
        <v/>
      </c>
      <c r="AP256">
        <f>IF(R256=1,", "&amp;R$1,"")</f>
        <v/>
      </c>
      <c r="AQ256">
        <f>IF(S256=1,", "&amp;S$1,"")</f>
        <v/>
      </c>
      <c r="AR256">
        <f>IF(T256=1,", "&amp;T$1,"")</f>
        <v/>
      </c>
      <c r="AS256">
        <f>IF(U256=1,", "&amp;U$1,"")</f>
        <v/>
      </c>
      <c r="AT256">
        <f>IF(V256=1,", "&amp;V$1,"")</f>
        <v/>
      </c>
      <c r="AU256">
        <f>IF(W256=1,", "&amp;W$1,"")</f>
        <v/>
      </c>
      <c r="AV256">
        <f>IF(X256=1,", "&amp;X$1,"")</f>
        <v/>
      </c>
      <c r="AW256">
        <f>IF(Y256=1,", "&amp;Y$1,"")</f>
        <v/>
      </c>
      <c r="AX256">
        <f>IF(Z256=1,", "&amp;Z$1,"")</f>
        <v/>
      </c>
      <c r="AY256">
        <f>IF(AA256=1,", "&amp;AA$1,"")</f>
        <v/>
      </c>
      <c r="AZ256">
        <f>MID($AB256&amp;$AC256&amp;$AD256&amp;$AE256&amp;$AF256&amp;$AG256&amp;$AH256&amp;$AI256&amp;$AJ256&amp;$AK256&amp;$AL256&amp;$AM256&amp;$AN256&amp;$AO256&amp;$AP256&amp;$AQ256&amp;$AR256&amp;$AS256&amp;$AT256&amp;$AU256&amp;$AV256&amp;$AW256&amp;$AX256&amp;$AY256,3,32767)</f>
        <v/>
      </c>
      <c r="BA256">
        <f>COUNT($D256:$AA256)</f>
        <v/>
      </c>
    </row>
    <row r="257">
      <c r="A257" t="n">
        <v>6</v>
      </c>
      <c r="B257" t="inlineStr">
        <is>
          <t>Drawmij's Instant Summons</t>
        </is>
      </c>
      <c r="C257" t="inlineStr">
        <is>
          <t>Conjuration</t>
        </is>
      </c>
      <c r="D257">
        <f>IF(Wizards!$A$2="","",IF(OR(ISNUMBER(SEARCH(", "&amp;$B257&amp;", ", ", "&amp;INDEX('Form Responses'!$I$1:$Q$200,2,$A257)&amp;", ")),ISNUMBER(SEARCH(", "&amp;$B257&amp;", ", ", "&amp;INDEX('Form Responses'!$R$1:$R$200,2)&amp;", "))),1,""))</f>
        <v/>
      </c>
      <c r="E257">
        <f>IF(Wizards!$A$3="","",IF(OR(ISNUMBER(SEARCH(", "&amp;$B257&amp;", ", ", "&amp;INDEX('Form Responses'!$I$1:$Q$200,3,$A257)&amp;", ")),ISNUMBER(SEARCH(", "&amp;$B257&amp;", ", ", "&amp;INDEX('Form Responses'!$R$1:$R$200,3)&amp;", "))),1,""))</f>
        <v/>
      </c>
      <c r="F257">
        <f>IF(Wizards!$A$4="","",IF(OR(ISNUMBER(SEARCH(", "&amp;$B257&amp;", ", ", "&amp;INDEX('Form Responses'!$I$1:$Q$200,4,$A257)&amp;", ")),ISNUMBER(SEARCH(", "&amp;$B257&amp;", ", ", "&amp;INDEX('Form Responses'!$R$1:$R$200,4)&amp;", "))),1,""))</f>
        <v/>
      </c>
      <c r="G257">
        <f>IF(Wizards!$A$5="","",IF(OR(ISNUMBER(SEARCH(", "&amp;$B257&amp;", ", ", "&amp;INDEX('Form Responses'!$I$1:$Q$200,5,$A257)&amp;", ")),ISNUMBER(SEARCH(", "&amp;$B257&amp;", ", ", "&amp;INDEX('Form Responses'!$R$1:$R$200,5)&amp;", "))),1,""))</f>
        <v/>
      </c>
      <c r="H257">
        <f>IF(Wizards!$A$6="","",IF(OR(ISNUMBER(SEARCH(", "&amp;$B257&amp;", ", ", "&amp;INDEX('Form Responses'!$I$1:$Q$200,6,$A257)&amp;", ")),ISNUMBER(SEARCH(", "&amp;$B257&amp;", ", ", "&amp;INDEX('Form Responses'!$R$1:$R$200,6)&amp;", "))),1,""))</f>
        <v/>
      </c>
      <c r="I257">
        <f>IF(Wizards!$A$7="","",IF(OR(ISNUMBER(SEARCH(", "&amp;$B257&amp;", ", ", "&amp;INDEX('Form Responses'!$I$1:$Q$200,7,$A257)&amp;", ")),ISNUMBER(SEARCH(", "&amp;$B257&amp;", ", ", "&amp;INDEX('Form Responses'!$R$1:$R$200,7)&amp;", "))),1,""))</f>
        <v/>
      </c>
      <c r="J257">
        <f>IF(Wizards!$A$8="","",IF(OR(ISNUMBER(SEARCH(", "&amp;$B257&amp;", ", ", "&amp;INDEX('Form Responses'!$I$1:$Q$200,8,$A257)&amp;", ")),ISNUMBER(SEARCH(", "&amp;$B257&amp;", ", ", "&amp;INDEX('Form Responses'!$R$1:$R$200,8)&amp;", "))),1,""))</f>
        <v/>
      </c>
      <c r="K257">
        <f>IF(Wizards!$A$9="","",IF(OR(ISNUMBER(SEARCH(", "&amp;$B257&amp;", ", ", "&amp;INDEX('Form Responses'!$I$1:$Q$200,9,$A257)&amp;", ")),ISNUMBER(SEARCH(", "&amp;$B257&amp;", ", ", "&amp;INDEX('Form Responses'!$R$1:$R$200,9)&amp;", "))),1,""))</f>
        <v/>
      </c>
      <c r="L257">
        <f>IF(Wizards!$A$10="","",IF(OR(ISNUMBER(SEARCH(", "&amp;$B257&amp;", ", ", "&amp;INDEX('Form Responses'!$I$1:$Q$200,10,$A257)&amp;", ")),ISNUMBER(SEARCH(", "&amp;$B257&amp;", ", ", "&amp;INDEX('Form Responses'!$R$1:$R$200,10)&amp;", "))),1,""))</f>
        <v/>
      </c>
      <c r="M257">
        <f>IF(Wizards!$A$11="","",IF(OR(ISNUMBER(SEARCH(", "&amp;$B257&amp;", ", ", "&amp;INDEX('Form Responses'!$I$1:$Q$200,11,$A257)&amp;", ")),ISNUMBER(SEARCH(", "&amp;$B257&amp;", ", ", "&amp;INDEX('Form Responses'!$R$1:$R$200,11)&amp;", "))),1,""))</f>
        <v/>
      </c>
      <c r="N257">
        <f>IF(Wizards!$A$12="","",IF(OR(ISNUMBER(SEARCH(", "&amp;$B257&amp;", ", ", "&amp;INDEX('Form Responses'!$I$1:$Q$200,12,$A257)&amp;", ")),ISNUMBER(SEARCH(", "&amp;$B257&amp;", ", ", "&amp;INDEX('Form Responses'!$R$1:$R$200,12)&amp;", "))),1,""))</f>
        <v/>
      </c>
      <c r="O257">
        <f>IF(Wizards!$A$13="","",IF(OR(ISNUMBER(SEARCH(", "&amp;$B257&amp;", ", ", "&amp;INDEX('Form Responses'!$I$1:$Q$200,13,$A257)&amp;", ")),ISNUMBER(SEARCH(", "&amp;$B257&amp;", ", ", "&amp;INDEX('Form Responses'!$R$1:$R$200,13)&amp;", "))),1,""))</f>
        <v/>
      </c>
      <c r="P257">
        <f>IF(Wizards!$A$14="","",IF(OR(ISNUMBER(SEARCH(", "&amp;$B257&amp;", ", ", "&amp;INDEX('Form Responses'!$I$1:$Q$200,14,$A257)&amp;", ")),ISNUMBER(SEARCH(", "&amp;$B257&amp;", ", ", "&amp;INDEX('Form Responses'!$R$1:$R$200,14)&amp;", "))),1,""))</f>
        <v/>
      </c>
      <c r="Q257">
        <f>IF(Wizards!$A$15="","",IF(OR(ISNUMBER(SEARCH(", "&amp;$B257&amp;", ", ", "&amp;INDEX('Form Responses'!$I$1:$Q$200,15,$A257)&amp;", ")),ISNUMBER(SEARCH(", "&amp;$B257&amp;", ", ", "&amp;INDEX('Form Responses'!$R$1:$R$200,15)&amp;", "))),1,""))</f>
        <v/>
      </c>
      <c r="R257">
        <f>IF(Wizards!$A$16="","",IF(OR(ISNUMBER(SEARCH(", "&amp;$B257&amp;", ", ", "&amp;INDEX('Form Responses'!$I$1:$Q$200,16,$A257)&amp;", ")),ISNUMBER(SEARCH(", "&amp;$B257&amp;", ", ", "&amp;INDEX('Form Responses'!$R$1:$R$200,16)&amp;", "))),1,""))</f>
        <v/>
      </c>
      <c r="S257">
        <f>IF(Wizards!$A$17="","",IF(OR(ISNUMBER(SEARCH(", "&amp;$B257&amp;", ", ", "&amp;INDEX('Form Responses'!$I$1:$Q$200,17,$A257)&amp;", ")),ISNUMBER(SEARCH(", "&amp;$B257&amp;", ", ", "&amp;INDEX('Form Responses'!$R$1:$R$200,17)&amp;", "))),1,""))</f>
        <v/>
      </c>
      <c r="T257">
        <f>IF(Wizards!$A$18="","",IF(OR(ISNUMBER(SEARCH(", "&amp;$B257&amp;", ", ", "&amp;INDEX('Form Responses'!$I$1:$Q$200,18,$A257)&amp;", ")),ISNUMBER(SEARCH(", "&amp;$B257&amp;", ", ", "&amp;INDEX('Form Responses'!$R$1:$R$200,18)&amp;", "))),1,""))</f>
        <v/>
      </c>
      <c r="U257">
        <f>IF(Wizards!$A$19="","",IF(OR(ISNUMBER(SEARCH(", "&amp;$B257&amp;", ", ", "&amp;INDEX('Form Responses'!$I$1:$Q$200,19,$A257)&amp;", ")),ISNUMBER(SEARCH(", "&amp;$B257&amp;", ", ", "&amp;INDEX('Form Responses'!$R$1:$R$200,19)&amp;", "))),1,""))</f>
        <v/>
      </c>
      <c r="V257">
        <f>IF(Wizards!$A$20="","",IF(OR(ISNUMBER(SEARCH(", "&amp;$B257&amp;", ", ", "&amp;INDEX('Form Responses'!$I$1:$Q$200,20,$A257)&amp;", ")),ISNUMBER(SEARCH(", "&amp;$B257&amp;", ", ", "&amp;INDEX('Form Responses'!$R$1:$R$200,20)&amp;", "))),1,""))</f>
        <v/>
      </c>
      <c r="W257">
        <f>IF(Wizards!$A$21="","",IF(OR(ISNUMBER(SEARCH(", "&amp;$B257&amp;", ", ", "&amp;INDEX('Form Responses'!$I$1:$Q$200,21,$A257)&amp;", ")),ISNUMBER(SEARCH(", "&amp;$B257&amp;", ", ", "&amp;INDEX('Form Responses'!$R$1:$R$200,21)&amp;", "))),1,""))</f>
        <v/>
      </c>
      <c r="X257">
        <f>IF(Wizards!$A$22="","",IF(OR(ISNUMBER(SEARCH(", "&amp;$B257&amp;", ", ", "&amp;INDEX('Form Responses'!$I$1:$Q$200,22,$A257)&amp;", ")),ISNUMBER(SEARCH(", "&amp;$B257&amp;", ", ", "&amp;INDEX('Form Responses'!$R$1:$R$200,22)&amp;", "))),1,""))</f>
        <v/>
      </c>
      <c r="Y257">
        <f>IF(Wizards!$A$23="","",IF(OR(ISNUMBER(SEARCH(", "&amp;$B257&amp;", ", ", "&amp;INDEX('Form Responses'!$I$1:$Q$200,23,$A257)&amp;", ")),ISNUMBER(SEARCH(", "&amp;$B257&amp;", ", ", "&amp;INDEX('Form Responses'!$R$1:$R$200,23)&amp;", "))),1,""))</f>
        <v/>
      </c>
      <c r="Z257">
        <f>IF(Wizards!$A$24="","",IF(OR(ISNUMBER(SEARCH(", "&amp;$B257&amp;", ", ", "&amp;INDEX('Form Responses'!$I$1:$Q$200,24,$A257)&amp;", ")),ISNUMBER(SEARCH(", "&amp;$B257&amp;", ", ", "&amp;INDEX('Form Responses'!$R$1:$R$200,24)&amp;", "))),1,""))</f>
        <v/>
      </c>
      <c r="AA257">
        <f>IF(Wizards!$A$25="","",IF(OR(ISNUMBER(SEARCH(", "&amp;$B257&amp;", ", ", "&amp;INDEX('Form Responses'!$I$1:$Q$200,25,$A257)&amp;", ")),ISNUMBER(SEARCH(", "&amp;$B257&amp;", ", ", "&amp;INDEX('Form Responses'!$R$1:$R$200,25)&amp;", "))),1,""))</f>
        <v/>
      </c>
      <c r="AB257">
        <f>IF(D257=1,", "&amp;D$1,"")</f>
        <v/>
      </c>
      <c r="AC257">
        <f>IF(E257=1,", "&amp;E$1,"")</f>
        <v/>
      </c>
      <c r="AD257">
        <f>IF(F257=1,", "&amp;F$1,"")</f>
        <v/>
      </c>
      <c r="AE257">
        <f>IF(G257=1,", "&amp;G$1,"")</f>
        <v/>
      </c>
      <c r="AF257">
        <f>IF(H257=1,", "&amp;H$1,"")</f>
        <v/>
      </c>
      <c r="AG257">
        <f>IF(I257=1,", "&amp;I$1,"")</f>
        <v/>
      </c>
      <c r="AH257">
        <f>IF(J257=1,", "&amp;J$1,"")</f>
        <v/>
      </c>
      <c r="AI257">
        <f>IF(K257=1,", "&amp;K$1,"")</f>
        <v/>
      </c>
      <c r="AJ257">
        <f>IF(L257=1,", "&amp;L$1,"")</f>
        <v/>
      </c>
      <c r="AK257">
        <f>IF(M257=1,", "&amp;M$1,"")</f>
        <v/>
      </c>
      <c r="AL257">
        <f>IF(N257=1,", "&amp;N$1,"")</f>
        <v/>
      </c>
      <c r="AM257">
        <f>IF(O257=1,", "&amp;O$1,"")</f>
        <v/>
      </c>
      <c r="AN257">
        <f>IF(P257=1,", "&amp;P$1,"")</f>
        <v/>
      </c>
      <c r="AO257">
        <f>IF(Q257=1,", "&amp;Q$1,"")</f>
        <v/>
      </c>
      <c r="AP257">
        <f>IF(R257=1,", "&amp;R$1,"")</f>
        <v/>
      </c>
      <c r="AQ257">
        <f>IF(S257=1,", "&amp;S$1,"")</f>
        <v/>
      </c>
      <c r="AR257">
        <f>IF(T257=1,", "&amp;T$1,"")</f>
        <v/>
      </c>
      <c r="AS257">
        <f>IF(U257=1,", "&amp;U$1,"")</f>
        <v/>
      </c>
      <c r="AT257">
        <f>IF(V257=1,", "&amp;V$1,"")</f>
        <v/>
      </c>
      <c r="AU257">
        <f>IF(W257=1,", "&amp;W$1,"")</f>
        <v/>
      </c>
      <c r="AV257">
        <f>IF(X257=1,", "&amp;X$1,"")</f>
        <v/>
      </c>
      <c r="AW257">
        <f>IF(Y257=1,", "&amp;Y$1,"")</f>
        <v/>
      </c>
      <c r="AX257">
        <f>IF(Z257=1,", "&amp;Z$1,"")</f>
        <v/>
      </c>
      <c r="AY257">
        <f>IF(AA257=1,", "&amp;AA$1,"")</f>
        <v/>
      </c>
      <c r="AZ257">
        <f>MID($AB257&amp;$AC257&amp;$AD257&amp;$AE257&amp;$AF257&amp;$AG257&amp;$AH257&amp;$AI257&amp;$AJ257&amp;$AK257&amp;$AL257&amp;$AM257&amp;$AN257&amp;$AO257&amp;$AP257&amp;$AQ257&amp;$AR257&amp;$AS257&amp;$AT257&amp;$AU257&amp;$AV257&amp;$AW257&amp;$AX257&amp;$AY257,3,32767)</f>
        <v/>
      </c>
      <c r="BA257">
        <f>COUNT($D257:$AA257)</f>
        <v/>
      </c>
    </row>
    <row r="258">
      <c r="A258" t="n">
        <v>6</v>
      </c>
      <c r="B258" t="inlineStr">
        <is>
          <t>Elminster's Effulgent Spheres</t>
        </is>
      </c>
      <c r="C258" t="inlineStr">
        <is>
          <t>Evocation</t>
        </is>
      </c>
      <c r="D258">
        <f>IF(Wizards!$A$2="","",IF(OR(ISNUMBER(SEARCH(", "&amp;$B258&amp;", ", ", "&amp;INDEX('Form Responses'!$I$1:$Q$200,2,$A258)&amp;", ")),ISNUMBER(SEARCH(", "&amp;$B258&amp;", ", ", "&amp;INDEX('Form Responses'!$R$1:$R$200,2)&amp;", "))),1,""))</f>
        <v/>
      </c>
      <c r="E258">
        <f>IF(Wizards!$A$3="","",IF(OR(ISNUMBER(SEARCH(", "&amp;$B258&amp;", ", ", "&amp;INDEX('Form Responses'!$I$1:$Q$200,3,$A258)&amp;", ")),ISNUMBER(SEARCH(", "&amp;$B258&amp;", ", ", "&amp;INDEX('Form Responses'!$R$1:$R$200,3)&amp;", "))),1,""))</f>
        <v/>
      </c>
      <c r="F258">
        <f>IF(Wizards!$A$4="","",IF(OR(ISNUMBER(SEARCH(", "&amp;$B258&amp;", ", ", "&amp;INDEX('Form Responses'!$I$1:$Q$200,4,$A258)&amp;", ")),ISNUMBER(SEARCH(", "&amp;$B258&amp;", ", ", "&amp;INDEX('Form Responses'!$R$1:$R$200,4)&amp;", "))),1,""))</f>
        <v/>
      </c>
      <c r="G258">
        <f>IF(Wizards!$A$5="","",IF(OR(ISNUMBER(SEARCH(", "&amp;$B258&amp;", ", ", "&amp;INDEX('Form Responses'!$I$1:$Q$200,5,$A258)&amp;", ")),ISNUMBER(SEARCH(", "&amp;$B258&amp;", ", ", "&amp;INDEX('Form Responses'!$R$1:$R$200,5)&amp;", "))),1,""))</f>
        <v/>
      </c>
      <c r="H258">
        <f>IF(Wizards!$A$6="","",IF(OR(ISNUMBER(SEARCH(", "&amp;$B258&amp;", ", ", "&amp;INDEX('Form Responses'!$I$1:$Q$200,6,$A258)&amp;", ")),ISNUMBER(SEARCH(", "&amp;$B258&amp;", ", ", "&amp;INDEX('Form Responses'!$R$1:$R$200,6)&amp;", "))),1,""))</f>
        <v/>
      </c>
      <c r="I258">
        <f>IF(Wizards!$A$7="","",IF(OR(ISNUMBER(SEARCH(", "&amp;$B258&amp;", ", ", "&amp;INDEX('Form Responses'!$I$1:$Q$200,7,$A258)&amp;", ")),ISNUMBER(SEARCH(", "&amp;$B258&amp;", ", ", "&amp;INDEX('Form Responses'!$R$1:$R$200,7)&amp;", "))),1,""))</f>
        <v/>
      </c>
      <c r="J258">
        <f>IF(Wizards!$A$8="","",IF(OR(ISNUMBER(SEARCH(", "&amp;$B258&amp;", ", ", "&amp;INDEX('Form Responses'!$I$1:$Q$200,8,$A258)&amp;", ")),ISNUMBER(SEARCH(", "&amp;$B258&amp;", ", ", "&amp;INDEX('Form Responses'!$R$1:$R$200,8)&amp;", "))),1,""))</f>
        <v/>
      </c>
      <c r="K258">
        <f>IF(Wizards!$A$9="","",IF(OR(ISNUMBER(SEARCH(", "&amp;$B258&amp;", ", ", "&amp;INDEX('Form Responses'!$I$1:$Q$200,9,$A258)&amp;", ")),ISNUMBER(SEARCH(", "&amp;$B258&amp;", ", ", "&amp;INDEX('Form Responses'!$R$1:$R$200,9)&amp;", "))),1,""))</f>
        <v/>
      </c>
      <c r="L258">
        <f>IF(Wizards!$A$10="","",IF(OR(ISNUMBER(SEARCH(", "&amp;$B258&amp;", ", ", "&amp;INDEX('Form Responses'!$I$1:$Q$200,10,$A258)&amp;", ")),ISNUMBER(SEARCH(", "&amp;$B258&amp;", ", ", "&amp;INDEX('Form Responses'!$R$1:$R$200,10)&amp;", "))),1,""))</f>
        <v/>
      </c>
      <c r="M258">
        <f>IF(Wizards!$A$11="","",IF(OR(ISNUMBER(SEARCH(", "&amp;$B258&amp;", ", ", "&amp;INDEX('Form Responses'!$I$1:$Q$200,11,$A258)&amp;", ")),ISNUMBER(SEARCH(", "&amp;$B258&amp;", ", ", "&amp;INDEX('Form Responses'!$R$1:$R$200,11)&amp;", "))),1,""))</f>
        <v/>
      </c>
      <c r="N258">
        <f>IF(Wizards!$A$12="","",IF(OR(ISNUMBER(SEARCH(", "&amp;$B258&amp;", ", ", "&amp;INDEX('Form Responses'!$I$1:$Q$200,12,$A258)&amp;", ")),ISNUMBER(SEARCH(", "&amp;$B258&amp;", ", ", "&amp;INDEX('Form Responses'!$R$1:$R$200,12)&amp;", "))),1,""))</f>
        <v/>
      </c>
      <c r="O258">
        <f>IF(Wizards!$A$13="","",IF(OR(ISNUMBER(SEARCH(", "&amp;$B258&amp;", ", ", "&amp;INDEX('Form Responses'!$I$1:$Q$200,13,$A258)&amp;", ")),ISNUMBER(SEARCH(", "&amp;$B258&amp;", ", ", "&amp;INDEX('Form Responses'!$R$1:$R$200,13)&amp;", "))),1,""))</f>
        <v/>
      </c>
      <c r="P258">
        <f>IF(Wizards!$A$14="","",IF(OR(ISNUMBER(SEARCH(", "&amp;$B258&amp;", ", ", "&amp;INDEX('Form Responses'!$I$1:$Q$200,14,$A258)&amp;", ")),ISNUMBER(SEARCH(", "&amp;$B258&amp;", ", ", "&amp;INDEX('Form Responses'!$R$1:$R$200,14)&amp;", "))),1,""))</f>
        <v/>
      </c>
      <c r="Q258">
        <f>IF(Wizards!$A$15="","",IF(OR(ISNUMBER(SEARCH(", "&amp;$B258&amp;", ", ", "&amp;INDEX('Form Responses'!$I$1:$Q$200,15,$A258)&amp;", ")),ISNUMBER(SEARCH(", "&amp;$B258&amp;", ", ", "&amp;INDEX('Form Responses'!$R$1:$R$200,15)&amp;", "))),1,""))</f>
        <v/>
      </c>
      <c r="R258">
        <f>IF(Wizards!$A$16="","",IF(OR(ISNUMBER(SEARCH(", "&amp;$B258&amp;", ", ", "&amp;INDEX('Form Responses'!$I$1:$Q$200,16,$A258)&amp;", ")),ISNUMBER(SEARCH(", "&amp;$B258&amp;", ", ", "&amp;INDEX('Form Responses'!$R$1:$R$200,16)&amp;", "))),1,""))</f>
        <v/>
      </c>
      <c r="S258">
        <f>IF(Wizards!$A$17="","",IF(OR(ISNUMBER(SEARCH(", "&amp;$B258&amp;", ", ", "&amp;INDEX('Form Responses'!$I$1:$Q$200,17,$A258)&amp;", ")),ISNUMBER(SEARCH(", "&amp;$B258&amp;", ", ", "&amp;INDEX('Form Responses'!$R$1:$R$200,17)&amp;", "))),1,""))</f>
        <v/>
      </c>
      <c r="T258">
        <f>IF(Wizards!$A$18="","",IF(OR(ISNUMBER(SEARCH(", "&amp;$B258&amp;", ", ", "&amp;INDEX('Form Responses'!$I$1:$Q$200,18,$A258)&amp;", ")),ISNUMBER(SEARCH(", "&amp;$B258&amp;", ", ", "&amp;INDEX('Form Responses'!$R$1:$R$200,18)&amp;", "))),1,""))</f>
        <v/>
      </c>
      <c r="U258">
        <f>IF(Wizards!$A$19="","",IF(OR(ISNUMBER(SEARCH(", "&amp;$B258&amp;", ", ", "&amp;INDEX('Form Responses'!$I$1:$Q$200,19,$A258)&amp;", ")),ISNUMBER(SEARCH(", "&amp;$B258&amp;", ", ", "&amp;INDEX('Form Responses'!$R$1:$R$200,19)&amp;", "))),1,""))</f>
        <v/>
      </c>
      <c r="V258">
        <f>IF(Wizards!$A$20="","",IF(OR(ISNUMBER(SEARCH(", "&amp;$B258&amp;", ", ", "&amp;INDEX('Form Responses'!$I$1:$Q$200,20,$A258)&amp;", ")),ISNUMBER(SEARCH(", "&amp;$B258&amp;", ", ", "&amp;INDEX('Form Responses'!$R$1:$R$200,20)&amp;", "))),1,""))</f>
        <v/>
      </c>
      <c r="W258">
        <f>IF(Wizards!$A$21="","",IF(OR(ISNUMBER(SEARCH(", "&amp;$B258&amp;", ", ", "&amp;INDEX('Form Responses'!$I$1:$Q$200,21,$A258)&amp;", ")),ISNUMBER(SEARCH(", "&amp;$B258&amp;", ", ", "&amp;INDEX('Form Responses'!$R$1:$R$200,21)&amp;", "))),1,""))</f>
        <v/>
      </c>
      <c r="X258">
        <f>IF(Wizards!$A$22="","",IF(OR(ISNUMBER(SEARCH(", "&amp;$B258&amp;", ", ", "&amp;INDEX('Form Responses'!$I$1:$Q$200,22,$A258)&amp;", ")),ISNUMBER(SEARCH(", "&amp;$B258&amp;", ", ", "&amp;INDEX('Form Responses'!$R$1:$R$200,22)&amp;", "))),1,""))</f>
        <v/>
      </c>
      <c r="Y258">
        <f>IF(Wizards!$A$23="","",IF(OR(ISNUMBER(SEARCH(", "&amp;$B258&amp;", ", ", "&amp;INDEX('Form Responses'!$I$1:$Q$200,23,$A258)&amp;", ")),ISNUMBER(SEARCH(", "&amp;$B258&amp;", ", ", "&amp;INDEX('Form Responses'!$R$1:$R$200,23)&amp;", "))),1,""))</f>
        <v/>
      </c>
      <c r="Z258">
        <f>IF(Wizards!$A$24="","",IF(OR(ISNUMBER(SEARCH(", "&amp;$B258&amp;", ", ", "&amp;INDEX('Form Responses'!$I$1:$Q$200,24,$A258)&amp;", ")),ISNUMBER(SEARCH(", "&amp;$B258&amp;", ", ", "&amp;INDEX('Form Responses'!$R$1:$R$200,24)&amp;", "))),1,""))</f>
        <v/>
      </c>
      <c r="AA258">
        <f>IF(Wizards!$A$25="","",IF(OR(ISNUMBER(SEARCH(", "&amp;$B258&amp;", ", ", "&amp;INDEX('Form Responses'!$I$1:$Q$200,25,$A258)&amp;", ")),ISNUMBER(SEARCH(", "&amp;$B258&amp;", ", ", "&amp;INDEX('Form Responses'!$R$1:$R$200,25)&amp;", "))),1,""))</f>
        <v/>
      </c>
      <c r="AB258">
        <f>IF(D258=1,", "&amp;D$1,"")</f>
        <v/>
      </c>
      <c r="AC258">
        <f>IF(E258=1,", "&amp;E$1,"")</f>
        <v/>
      </c>
      <c r="AD258">
        <f>IF(F258=1,", "&amp;F$1,"")</f>
        <v/>
      </c>
      <c r="AE258">
        <f>IF(G258=1,", "&amp;G$1,"")</f>
        <v/>
      </c>
      <c r="AF258">
        <f>IF(H258=1,", "&amp;H$1,"")</f>
        <v/>
      </c>
      <c r="AG258">
        <f>IF(I258=1,", "&amp;I$1,"")</f>
        <v/>
      </c>
      <c r="AH258">
        <f>IF(J258=1,", "&amp;J$1,"")</f>
        <v/>
      </c>
      <c r="AI258">
        <f>IF(K258=1,", "&amp;K$1,"")</f>
        <v/>
      </c>
      <c r="AJ258">
        <f>IF(L258=1,", "&amp;L$1,"")</f>
        <v/>
      </c>
      <c r="AK258">
        <f>IF(M258=1,", "&amp;M$1,"")</f>
        <v/>
      </c>
      <c r="AL258">
        <f>IF(N258=1,", "&amp;N$1,"")</f>
        <v/>
      </c>
      <c r="AM258">
        <f>IF(O258=1,", "&amp;O$1,"")</f>
        <v/>
      </c>
      <c r="AN258">
        <f>IF(P258=1,", "&amp;P$1,"")</f>
        <v/>
      </c>
      <c r="AO258">
        <f>IF(Q258=1,", "&amp;Q$1,"")</f>
        <v/>
      </c>
      <c r="AP258">
        <f>IF(R258=1,", "&amp;R$1,"")</f>
        <v/>
      </c>
      <c r="AQ258">
        <f>IF(S258=1,", "&amp;S$1,"")</f>
        <v/>
      </c>
      <c r="AR258">
        <f>IF(T258=1,", "&amp;T$1,"")</f>
        <v/>
      </c>
      <c r="AS258">
        <f>IF(U258=1,", "&amp;U$1,"")</f>
        <v/>
      </c>
      <c r="AT258">
        <f>IF(V258=1,", "&amp;V$1,"")</f>
        <v/>
      </c>
      <c r="AU258">
        <f>IF(W258=1,", "&amp;W$1,"")</f>
        <v/>
      </c>
      <c r="AV258">
        <f>IF(X258=1,", "&amp;X$1,"")</f>
        <v/>
      </c>
      <c r="AW258">
        <f>IF(Y258=1,", "&amp;Y$1,"")</f>
        <v/>
      </c>
      <c r="AX258">
        <f>IF(Z258=1,", "&amp;Z$1,"")</f>
        <v/>
      </c>
      <c r="AY258">
        <f>IF(AA258=1,", "&amp;AA$1,"")</f>
        <v/>
      </c>
      <c r="AZ258">
        <f>MID($AB258&amp;$AC258&amp;$AD258&amp;$AE258&amp;$AF258&amp;$AG258&amp;$AH258&amp;$AI258&amp;$AJ258&amp;$AK258&amp;$AL258&amp;$AM258&amp;$AN258&amp;$AO258&amp;$AP258&amp;$AQ258&amp;$AR258&amp;$AS258&amp;$AT258&amp;$AU258&amp;$AV258&amp;$AW258&amp;$AX258&amp;$AY258,3,32767)</f>
        <v/>
      </c>
      <c r="BA258">
        <f>COUNT($D258:$AA258)</f>
        <v/>
      </c>
    </row>
    <row r="259">
      <c r="A259" t="n">
        <v>6</v>
      </c>
      <c r="B259" t="inlineStr">
        <is>
          <t>Eyebite</t>
        </is>
      </c>
      <c r="C259" t="inlineStr">
        <is>
          <t>Necromancy</t>
        </is>
      </c>
      <c r="D259">
        <f>IF(Wizards!$A$2="","",IF(OR(ISNUMBER(SEARCH(", "&amp;$B259&amp;", ", ", "&amp;INDEX('Form Responses'!$I$1:$Q$200,2,$A259)&amp;", ")),ISNUMBER(SEARCH(", "&amp;$B259&amp;", ", ", "&amp;INDEX('Form Responses'!$R$1:$R$200,2)&amp;", "))),1,""))</f>
        <v/>
      </c>
      <c r="E259">
        <f>IF(Wizards!$A$3="","",IF(OR(ISNUMBER(SEARCH(", "&amp;$B259&amp;", ", ", "&amp;INDEX('Form Responses'!$I$1:$Q$200,3,$A259)&amp;", ")),ISNUMBER(SEARCH(", "&amp;$B259&amp;", ", ", "&amp;INDEX('Form Responses'!$R$1:$R$200,3)&amp;", "))),1,""))</f>
        <v/>
      </c>
      <c r="F259">
        <f>IF(Wizards!$A$4="","",IF(OR(ISNUMBER(SEARCH(", "&amp;$B259&amp;", ", ", "&amp;INDEX('Form Responses'!$I$1:$Q$200,4,$A259)&amp;", ")),ISNUMBER(SEARCH(", "&amp;$B259&amp;", ", ", "&amp;INDEX('Form Responses'!$R$1:$R$200,4)&amp;", "))),1,""))</f>
        <v/>
      </c>
      <c r="G259">
        <f>IF(Wizards!$A$5="","",IF(OR(ISNUMBER(SEARCH(", "&amp;$B259&amp;", ", ", "&amp;INDEX('Form Responses'!$I$1:$Q$200,5,$A259)&amp;", ")),ISNUMBER(SEARCH(", "&amp;$B259&amp;", ", ", "&amp;INDEX('Form Responses'!$R$1:$R$200,5)&amp;", "))),1,""))</f>
        <v/>
      </c>
      <c r="H259">
        <f>IF(Wizards!$A$6="","",IF(OR(ISNUMBER(SEARCH(", "&amp;$B259&amp;", ", ", "&amp;INDEX('Form Responses'!$I$1:$Q$200,6,$A259)&amp;", ")),ISNUMBER(SEARCH(", "&amp;$B259&amp;", ", ", "&amp;INDEX('Form Responses'!$R$1:$R$200,6)&amp;", "))),1,""))</f>
        <v/>
      </c>
      <c r="I259">
        <f>IF(Wizards!$A$7="","",IF(OR(ISNUMBER(SEARCH(", "&amp;$B259&amp;", ", ", "&amp;INDEX('Form Responses'!$I$1:$Q$200,7,$A259)&amp;", ")),ISNUMBER(SEARCH(", "&amp;$B259&amp;", ", ", "&amp;INDEX('Form Responses'!$R$1:$R$200,7)&amp;", "))),1,""))</f>
        <v/>
      </c>
      <c r="J259">
        <f>IF(Wizards!$A$8="","",IF(OR(ISNUMBER(SEARCH(", "&amp;$B259&amp;", ", ", "&amp;INDEX('Form Responses'!$I$1:$Q$200,8,$A259)&amp;", ")),ISNUMBER(SEARCH(", "&amp;$B259&amp;", ", ", "&amp;INDEX('Form Responses'!$R$1:$R$200,8)&amp;", "))),1,""))</f>
        <v/>
      </c>
      <c r="K259">
        <f>IF(Wizards!$A$9="","",IF(OR(ISNUMBER(SEARCH(", "&amp;$B259&amp;", ", ", "&amp;INDEX('Form Responses'!$I$1:$Q$200,9,$A259)&amp;", ")),ISNUMBER(SEARCH(", "&amp;$B259&amp;", ", ", "&amp;INDEX('Form Responses'!$R$1:$R$200,9)&amp;", "))),1,""))</f>
        <v/>
      </c>
      <c r="L259">
        <f>IF(Wizards!$A$10="","",IF(OR(ISNUMBER(SEARCH(", "&amp;$B259&amp;", ", ", "&amp;INDEX('Form Responses'!$I$1:$Q$200,10,$A259)&amp;", ")),ISNUMBER(SEARCH(", "&amp;$B259&amp;", ", ", "&amp;INDEX('Form Responses'!$R$1:$R$200,10)&amp;", "))),1,""))</f>
        <v/>
      </c>
      <c r="M259">
        <f>IF(Wizards!$A$11="","",IF(OR(ISNUMBER(SEARCH(", "&amp;$B259&amp;", ", ", "&amp;INDEX('Form Responses'!$I$1:$Q$200,11,$A259)&amp;", ")),ISNUMBER(SEARCH(", "&amp;$B259&amp;", ", ", "&amp;INDEX('Form Responses'!$R$1:$R$200,11)&amp;", "))),1,""))</f>
        <v/>
      </c>
      <c r="N259">
        <f>IF(Wizards!$A$12="","",IF(OR(ISNUMBER(SEARCH(", "&amp;$B259&amp;", ", ", "&amp;INDEX('Form Responses'!$I$1:$Q$200,12,$A259)&amp;", ")),ISNUMBER(SEARCH(", "&amp;$B259&amp;", ", ", "&amp;INDEX('Form Responses'!$R$1:$R$200,12)&amp;", "))),1,""))</f>
        <v/>
      </c>
      <c r="O259">
        <f>IF(Wizards!$A$13="","",IF(OR(ISNUMBER(SEARCH(", "&amp;$B259&amp;", ", ", "&amp;INDEX('Form Responses'!$I$1:$Q$200,13,$A259)&amp;", ")),ISNUMBER(SEARCH(", "&amp;$B259&amp;", ", ", "&amp;INDEX('Form Responses'!$R$1:$R$200,13)&amp;", "))),1,""))</f>
        <v/>
      </c>
      <c r="P259">
        <f>IF(Wizards!$A$14="","",IF(OR(ISNUMBER(SEARCH(", "&amp;$B259&amp;", ", ", "&amp;INDEX('Form Responses'!$I$1:$Q$200,14,$A259)&amp;", ")),ISNUMBER(SEARCH(", "&amp;$B259&amp;", ", ", "&amp;INDEX('Form Responses'!$R$1:$R$200,14)&amp;", "))),1,""))</f>
        <v/>
      </c>
      <c r="Q259">
        <f>IF(Wizards!$A$15="","",IF(OR(ISNUMBER(SEARCH(", "&amp;$B259&amp;", ", ", "&amp;INDEX('Form Responses'!$I$1:$Q$200,15,$A259)&amp;", ")),ISNUMBER(SEARCH(", "&amp;$B259&amp;", ", ", "&amp;INDEX('Form Responses'!$R$1:$R$200,15)&amp;", "))),1,""))</f>
        <v/>
      </c>
      <c r="R259">
        <f>IF(Wizards!$A$16="","",IF(OR(ISNUMBER(SEARCH(", "&amp;$B259&amp;", ", ", "&amp;INDEX('Form Responses'!$I$1:$Q$200,16,$A259)&amp;", ")),ISNUMBER(SEARCH(", "&amp;$B259&amp;", ", ", "&amp;INDEX('Form Responses'!$R$1:$R$200,16)&amp;", "))),1,""))</f>
        <v/>
      </c>
      <c r="S259">
        <f>IF(Wizards!$A$17="","",IF(OR(ISNUMBER(SEARCH(", "&amp;$B259&amp;", ", ", "&amp;INDEX('Form Responses'!$I$1:$Q$200,17,$A259)&amp;", ")),ISNUMBER(SEARCH(", "&amp;$B259&amp;", ", ", "&amp;INDEX('Form Responses'!$R$1:$R$200,17)&amp;", "))),1,""))</f>
        <v/>
      </c>
      <c r="T259">
        <f>IF(Wizards!$A$18="","",IF(OR(ISNUMBER(SEARCH(", "&amp;$B259&amp;", ", ", "&amp;INDEX('Form Responses'!$I$1:$Q$200,18,$A259)&amp;", ")),ISNUMBER(SEARCH(", "&amp;$B259&amp;", ", ", "&amp;INDEX('Form Responses'!$R$1:$R$200,18)&amp;", "))),1,""))</f>
        <v/>
      </c>
      <c r="U259">
        <f>IF(Wizards!$A$19="","",IF(OR(ISNUMBER(SEARCH(", "&amp;$B259&amp;", ", ", "&amp;INDEX('Form Responses'!$I$1:$Q$200,19,$A259)&amp;", ")),ISNUMBER(SEARCH(", "&amp;$B259&amp;", ", ", "&amp;INDEX('Form Responses'!$R$1:$R$200,19)&amp;", "))),1,""))</f>
        <v/>
      </c>
      <c r="V259">
        <f>IF(Wizards!$A$20="","",IF(OR(ISNUMBER(SEARCH(", "&amp;$B259&amp;", ", ", "&amp;INDEX('Form Responses'!$I$1:$Q$200,20,$A259)&amp;", ")),ISNUMBER(SEARCH(", "&amp;$B259&amp;", ", ", "&amp;INDEX('Form Responses'!$R$1:$R$200,20)&amp;", "))),1,""))</f>
        <v/>
      </c>
      <c r="W259">
        <f>IF(Wizards!$A$21="","",IF(OR(ISNUMBER(SEARCH(", "&amp;$B259&amp;", ", ", "&amp;INDEX('Form Responses'!$I$1:$Q$200,21,$A259)&amp;", ")),ISNUMBER(SEARCH(", "&amp;$B259&amp;", ", ", "&amp;INDEX('Form Responses'!$R$1:$R$200,21)&amp;", "))),1,""))</f>
        <v/>
      </c>
      <c r="X259">
        <f>IF(Wizards!$A$22="","",IF(OR(ISNUMBER(SEARCH(", "&amp;$B259&amp;", ", ", "&amp;INDEX('Form Responses'!$I$1:$Q$200,22,$A259)&amp;", ")),ISNUMBER(SEARCH(", "&amp;$B259&amp;", ", ", "&amp;INDEX('Form Responses'!$R$1:$R$200,22)&amp;", "))),1,""))</f>
        <v/>
      </c>
      <c r="Y259">
        <f>IF(Wizards!$A$23="","",IF(OR(ISNUMBER(SEARCH(", "&amp;$B259&amp;", ", ", "&amp;INDEX('Form Responses'!$I$1:$Q$200,23,$A259)&amp;", ")),ISNUMBER(SEARCH(", "&amp;$B259&amp;", ", ", "&amp;INDEX('Form Responses'!$R$1:$R$200,23)&amp;", "))),1,""))</f>
        <v/>
      </c>
      <c r="Z259">
        <f>IF(Wizards!$A$24="","",IF(OR(ISNUMBER(SEARCH(", "&amp;$B259&amp;", ", ", "&amp;INDEX('Form Responses'!$I$1:$Q$200,24,$A259)&amp;", ")),ISNUMBER(SEARCH(", "&amp;$B259&amp;", ", ", "&amp;INDEX('Form Responses'!$R$1:$R$200,24)&amp;", "))),1,""))</f>
        <v/>
      </c>
      <c r="AA259">
        <f>IF(Wizards!$A$25="","",IF(OR(ISNUMBER(SEARCH(", "&amp;$B259&amp;", ", ", "&amp;INDEX('Form Responses'!$I$1:$Q$200,25,$A259)&amp;", ")),ISNUMBER(SEARCH(", "&amp;$B259&amp;", ", ", "&amp;INDEX('Form Responses'!$R$1:$R$200,25)&amp;", "))),1,""))</f>
        <v/>
      </c>
      <c r="AB259">
        <f>IF(D259=1,", "&amp;D$1,"")</f>
        <v/>
      </c>
      <c r="AC259">
        <f>IF(E259=1,", "&amp;E$1,"")</f>
        <v/>
      </c>
      <c r="AD259">
        <f>IF(F259=1,", "&amp;F$1,"")</f>
        <v/>
      </c>
      <c r="AE259">
        <f>IF(G259=1,", "&amp;G$1,"")</f>
        <v/>
      </c>
      <c r="AF259">
        <f>IF(H259=1,", "&amp;H$1,"")</f>
        <v/>
      </c>
      <c r="AG259">
        <f>IF(I259=1,", "&amp;I$1,"")</f>
        <v/>
      </c>
      <c r="AH259">
        <f>IF(J259=1,", "&amp;J$1,"")</f>
        <v/>
      </c>
      <c r="AI259">
        <f>IF(K259=1,", "&amp;K$1,"")</f>
        <v/>
      </c>
      <c r="AJ259">
        <f>IF(L259=1,", "&amp;L$1,"")</f>
        <v/>
      </c>
      <c r="AK259">
        <f>IF(M259=1,", "&amp;M$1,"")</f>
        <v/>
      </c>
      <c r="AL259">
        <f>IF(N259=1,", "&amp;N$1,"")</f>
        <v/>
      </c>
      <c r="AM259">
        <f>IF(O259=1,", "&amp;O$1,"")</f>
        <v/>
      </c>
      <c r="AN259">
        <f>IF(P259=1,", "&amp;P$1,"")</f>
        <v/>
      </c>
      <c r="AO259">
        <f>IF(Q259=1,", "&amp;Q$1,"")</f>
        <v/>
      </c>
      <c r="AP259">
        <f>IF(R259=1,", "&amp;R$1,"")</f>
        <v/>
      </c>
      <c r="AQ259">
        <f>IF(S259=1,", "&amp;S$1,"")</f>
        <v/>
      </c>
      <c r="AR259">
        <f>IF(T259=1,", "&amp;T$1,"")</f>
        <v/>
      </c>
      <c r="AS259">
        <f>IF(U259=1,", "&amp;U$1,"")</f>
        <v/>
      </c>
      <c r="AT259">
        <f>IF(V259=1,", "&amp;V$1,"")</f>
        <v/>
      </c>
      <c r="AU259">
        <f>IF(W259=1,", "&amp;W$1,"")</f>
        <v/>
      </c>
      <c r="AV259">
        <f>IF(X259=1,", "&amp;X$1,"")</f>
        <v/>
      </c>
      <c r="AW259">
        <f>IF(Y259=1,", "&amp;Y$1,"")</f>
        <v/>
      </c>
      <c r="AX259">
        <f>IF(Z259=1,", "&amp;Z$1,"")</f>
        <v/>
      </c>
      <c r="AY259">
        <f>IF(AA259=1,", "&amp;AA$1,"")</f>
        <v/>
      </c>
      <c r="AZ259">
        <f>MID($AB259&amp;$AC259&amp;$AD259&amp;$AE259&amp;$AF259&amp;$AG259&amp;$AH259&amp;$AI259&amp;$AJ259&amp;$AK259&amp;$AL259&amp;$AM259&amp;$AN259&amp;$AO259&amp;$AP259&amp;$AQ259&amp;$AR259&amp;$AS259&amp;$AT259&amp;$AU259&amp;$AV259&amp;$AW259&amp;$AX259&amp;$AY259,3,32767)</f>
        <v/>
      </c>
      <c r="BA259">
        <f>COUNT($D259:$AA259)</f>
        <v/>
      </c>
    </row>
    <row r="260">
      <c r="A260" t="n">
        <v>6</v>
      </c>
      <c r="B260" t="inlineStr">
        <is>
          <t>Fizban's Platinum Shield</t>
        </is>
      </c>
      <c r="C260" t="inlineStr">
        <is>
          <t>Abjuration</t>
        </is>
      </c>
      <c r="D260">
        <f>IF(Wizards!$A$2="","",IF(OR(ISNUMBER(SEARCH(", "&amp;$B260&amp;", ", ", "&amp;INDEX('Form Responses'!$I$1:$Q$200,2,$A260)&amp;", ")),ISNUMBER(SEARCH(", "&amp;$B260&amp;", ", ", "&amp;INDEX('Form Responses'!$R$1:$R$200,2)&amp;", "))),1,""))</f>
        <v/>
      </c>
      <c r="E260">
        <f>IF(Wizards!$A$3="","",IF(OR(ISNUMBER(SEARCH(", "&amp;$B260&amp;", ", ", "&amp;INDEX('Form Responses'!$I$1:$Q$200,3,$A260)&amp;", ")),ISNUMBER(SEARCH(", "&amp;$B260&amp;", ", ", "&amp;INDEX('Form Responses'!$R$1:$R$200,3)&amp;", "))),1,""))</f>
        <v/>
      </c>
      <c r="F260">
        <f>IF(Wizards!$A$4="","",IF(OR(ISNUMBER(SEARCH(", "&amp;$B260&amp;", ", ", "&amp;INDEX('Form Responses'!$I$1:$Q$200,4,$A260)&amp;", ")),ISNUMBER(SEARCH(", "&amp;$B260&amp;", ", ", "&amp;INDEX('Form Responses'!$R$1:$R$200,4)&amp;", "))),1,""))</f>
        <v/>
      </c>
      <c r="G260">
        <f>IF(Wizards!$A$5="","",IF(OR(ISNUMBER(SEARCH(", "&amp;$B260&amp;", ", ", "&amp;INDEX('Form Responses'!$I$1:$Q$200,5,$A260)&amp;", ")),ISNUMBER(SEARCH(", "&amp;$B260&amp;", ", ", "&amp;INDEX('Form Responses'!$R$1:$R$200,5)&amp;", "))),1,""))</f>
        <v/>
      </c>
      <c r="H260">
        <f>IF(Wizards!$A$6="","",IF(OR(ISNUMBER(SEARCH(", "&amp;$B260&amp;", ", ", "&amp;INDEX('Form Responses'!$I$1:$Q$200,6,$A260)&amp;", ")),ISNUMBER(SEARCH(", "&amp;$B260&amp;", ", ", "&amp;INDEX('Form Responses'!$R$1:$R$200,6)&amp;", "))),1,""))</f>
        <v/>
      </c>
      <c r="I260">
        <f>IF(Wizards!$A$7="","",IF(OR(ISNUMBER(SEARCH(", "&amp;$B260&amp;", ", ", "&amp;INDEX('Form Responses'!$I$1:$Q$200,7,$A260)&amp;", ")),ISNUMBER(SEARCH(", "&amp;$B260&amp;", ", ", "&amp;INDEX('Form Responses'!$R$1:$R$200,7)&amp;", "))),1,""))</f>
        <v/>
      </c>
      <c r="J260">
        <f>IF(Wizards!$A$8="","",IF(OR(ISNUMBER(SEARCH(", "&amp;$B260&amp;", ", ", "&amp;INDEX('Form Responses'!$I$1:$Q$200,8,$A260)&amp;", ")),ISNUMBER(SEARCH(", "&amp;$B260&amp;", ", ", "&amp;INDEX('Form Responses'!$R$1:$R$200,8)&amp;", "))),1,""))</f>
        <v/>
      </c>
      <c r="K260">
        <f>IF(Wizards!$A$9="","",IF(OR(ISNUMBER(SEARCH(", "&amp;$B260&amp;", ", ", "&amp;INDEX('Form Responses'!$I$1:$Q$200,9,$A260)&amp;", ")),ISNUMBER(SEARCH(", "&amp;$B260&amp;", ", ", "&amp;INDEX('Form Responses'!$R$1:$R$200,9)&amp;", "))),1,""))</f>
        <v/>
      </c>
      <c r="L260">
        <f>IF(Wizards!$A$10="","",IF(OR(ISNUMBER(SEARCH(", "&amp;$B260&amp;", ", ", "&amp;INDEX('Form Responses'!$I$1:$Q$200,10,$A260)&amp;", ")),ISNUMBER(SEARCH(", "&amp;$B260&amp;", ", ", "&amp;INDEX('Form Responses'!$R$1:$R$200,10)&amp;", "))),1,""))</f>
        <v/>
      </c>
      <c r="M260">
        <f>IF(Wizards!$A$11="","",IF(OR(ISNUMBER(SEARCH(", "&amp;$B260&amp;", ", ", "&amp;INDEX('Form Responses'!$I$1:$Q$200,11,$A260)&amp;", ")),ISNUMBER(SEARCH(", "&amp;$B260&amp;", ", ", "&amp;INDEX('Form Responses'!$R$1:$R$200,11)&amp;", "))),1,""))</f>
        <v/>
      </c>
      <c r="N260">
        <f>IF(Wizards!$A$12="","",IF(OR(ISNUMBER(SEARCH(", "&amp;$B260&amp;", ", ", "&amp;INDEX('Form Responses'!$I$1:$Q$200,12,$A260)&amp;", ")),ISNUMBER(SEARCH(", "&amp;$B260&amp;", ", ", "&amp;INDEX('Form Responses'!$R$1:$R$200,12)&amp;", "))),1,""))</f>
        <v/>
      </c>
      <c r="O260">
        <f>IF(Wizards!$A$13="","",IF(OR(ISNUMBER(SEARCH(", "&amp;$B260&amp;", ", ", "&amp;INDEX('Form Responses'!$I$1:$Q$200,13,$A260)&amp;", ")),ISNUMBER(SEARCH(", "&amp;$B260&amp;", ", ", "&amp;INDEX('Form Responses'!$R$1:$R$200,13)&amp;", "))),1,""))</f>
        <v/>
      </c>
      <c r="P260">
        <f>IF(Wizards!$A$14="","",IF(OR(ISNUMBER(SEARCH(", "&amp;$B260&amp;", ", ", "&amp;INDEX('Form Responses'!$I$1:$Q$200,14,$A260)&amp;", ")),ISNUMBER(SEARCH(", "&amp;$B260&amp;", ", ", "&amp;INDEX('Form Responses'!$R$1:$R$200,14)&amp;", "))),1,""))</f>
        <v/>
      </c>
      <c r="Q260">
        <f>IF(Wizards!$A$15="","",IF(OR(ISNUMBER(SEARCH(", "&amp;$B260&amp;", ", ", "&amp;INDEX('Form Responses'!$I$1:$Q$200,15,$A260)&amp;", ")),ISNUMBER(SEARCH(", "&amp;$B260&amp;", ", ", "&amp;INDEX('Form Responses'!$R$1:$R$200,15)&amp;", "))),1,""))</f>
        <v/>
      </c>
      <c r="R260">
        <f>IF(Wizards!$A$16="","",IF(OR(ISNUMBER(SEARCH(", "&amp;$B260&amp;", ", ", "&amp;INDEX('Form Responses'!$I$1:$Q$200,16,$A260)&amp;", ")),ISNUMBER(SEARCH(", "&amp;$B260&amp;", ", ", "&amp;INDEX('Form Responses'!$R$1:$R$200,16)&amp;", "))),1,""))</f>
        <v/>
      </c>
      <c r="S260">
        <f>IF(Wizards!$A$17="","",IF(OR(ISNUMBER(SEARCH(", "&amp;$B260&amp;", ", ", "&amp;INDEX('Form Responses'!$I$1:$Q$200,17,$A260)&amp;", ")),ISNUMBER(SEARCH(", "&amp;$B260&amp;", ", ", "&amp;INDEX('Form Responses'!$R$1:$R$200,17)&amp;", "))),1,""))</f>
        <v/>
      </c>
      <c r="T260">
        <f>IF(Wizards!$A$18="","",IF(OR(ISNUMBER(SEARCH(", "&amp;$B260&amp;", ", ", "&amp;INDEX('Form Responses'!$I$1:$Q$200,18,$A260)&amp;", ")),ISNUMBER(SEARCH(", "&amp;$B260&amp;", ", ", "&amp;INDEX('Form Responses'!$R$1:$R$200,18)&amp;", "))),1,""))</f>
        <v/>
      </c>
      <c r="U260">
        <f>IF(Wizards!$A$19="","",IF(OR(ISNUMBER(SEARCH(", "&amp;$B260&amp;", ", ", "&amp;INDEX('Form Responses'!$I$1:$Q$200,19,$A260)&amp;", ")),ISNUMBER(SEARCH(", "&amp;$B260&amp;", ", ", "&amp;INDEX('Form Responses'!$R$1:$R$200,19)&amp;", "))),1,""))</f>
        <v/>
      </c>
      <c r="V260">
        <f>IF(Wizards!$A$20="","",IF(OR(ISNUMBER(SEARCH(", "&amp;$B260&amp;", ", ", "&amp;INDEX('Form Responses'!$I$1:$Q$200,20,$A260)&amp;", ")),ISNUMBER(SEARCH(", "&amp;$B260&amp;", ", ", "&amp;INDEX('Form Responses'!$R$1:$R$200,20)&amp;", "))),1,""))</f>
        <v/>
      </c>
      <c r="W260">
        <f>IF(Wizards!$A$21="","",IF(OR(ISNUMBER(SEARCH(", "&amp;$B260&amp;", ", ", "&amp;INDEX('Form Responses'!$I$1:$Q$200,21,$A260)&amp;", ")),ISNUMBER(SEARCH(", "&amp;$B260&amp;", ", ", "&amp;INDEX('Form Responses'!$R$1:$R$200,21)&amp;", "))),1,""))</f>
        <v/>
      </c>
      <c r="X260">
        <f>IF(Wizards!$A$22="","",IF(OR(ISNUMBER(SEARCH(", "&amp;$B260&amp;", ", ", "&amp;INDEX('Form Responses'!$I$1:$Q$200,22,$A260)&amp;", ")),ISNUMBER(SEARCH(", "&amp;$B260&amp;", ", ", "&amp;INDEX('Form Responses'!$R$1:$R$200,22)&amp;", "))),1,""))</f>
        <v/>
      </c>
      <c r="Y260">
        <f>IF(Wizards!$A$23="","",IF(OR(ISNUMBER(SEARCH(", "&amp;$B260&amp;", ", ", "&amp;INDEX('Form Responses'!$I$1:$Q$200,23,$A260)&amp;", ")),ISNUMBER(SEARCH(", "&amp;$B260&amp;", ", ", "&amp;INDEX('Form Responses'!$R$1:$R$200,23)&amp;", "))),1,""))</f>
        <v/>
      </c>
      <c r="Z260">
        <f>IF(Wizards!$A$24="","",IF(OR(ISNUMBER(SEARCH(", "&amp;$B260&amp;", ", ", "&amp;INDEX('Form Responses'!$I$1:$Q$200,24,$A260)&amp;", ")),ISNUMBER(SEARCH(", "&amp;$B260&amp;", ", ", "&amp;INDEX('Form Responses'!$R$1:$R$200,24)&amp;", "))),1,""))</f>
        <v/>
      </c>
      <c r="AA260">
        <f>IF(Wizards!$A$25="","",IF(OR(ISNUMBER(SEARCH(", "&amp;$B260&amp;", ", ", "&amp;INDEX('Form Responses'!$I$1:$Q$200,25,$A260)&amp;", ")),ISNUMBER(SEARCH(", "&amp;$B260&amp;", ", ", "&amp;INDEX('Form Responses'!$R$1:$R$200,25)&amp;", "))),1,""))</f>
        <v/>
      </c>
      <c r="AB260">
        <f>IF(D260=1,", "&amp;D$1,"")</f>
        <v/>
      </c>
      <c r="AC260">
        <f>IF(E260=1,", "&amp;E$1,"")</f>
        <v/>
      </c>
      <c r="AD260">
        <f>IF(F260=1,", "&amp;F$1,"")</f>
        <v/>
      </c>
      <c r="AE260">
        <f>IF(G260=1,", "&amp;G$1,"")</f>
        <v/>
      </c>
      <c r="AF260">
        <f>IF(H260=1,", "&amp;H$1,"")</f>
        <v/>
      </c>
      <c r="AG260">
        <f>IF(I260=1,", "&amp;I$1,"")</f>
        <v/>
      </c>
      <c r="AH260">
        <f>IF(J260=1,", "&amp;J$1,"")</f>
        <v/>
      </c>
      <c r="AI260">
        <f>IF(K260=1,", "&amp;K$1,"")</f>
        <v/>
      </c>
      <c r="AJ260">
        <f>IF(L260=1,", "&amp;L$1,"")</f>
        <v/>
      </c>
      <c r="AK260">
        <f>IF(M260=1,", "&amp;M$1,"")</f>
        <v/>
      </c>
      <c r="AL260">
        <f>IF(N260=1,", "&amp;N$1,"")</f>
        <v/>
      </c>
      <c r="AM260">
        <f>IF(O260=1,", "&amp;O$1,"")</f>
        <v/>
      </c>
      <c r="AN260">
        <f>IF(P260=1,", "&amp;P$1,"")</f>
        <v/>
      </c>
      <c r="AO260">
        <f>IF(Q260=1,", "&amp;Q$1,"")</f>
        <v/>
      </c>
      <c r="AP260">
        <f>IF(R260=1,", "&amp;R$1,"")</f>
        <v/>
      </c>
      <c r="AQ260">
        <f>IF(S260=1,", "&amp;S$1,"")</f>
        <v/>
      </c>
      <c r="AR260">
        <f>IF(T260=1,", "&amp;T$1,"")</f>
        <v/>
      </c>
      <c r="AS260">
        <f>IF(U260=1,", "&amp;U$1,"")</f>
        <v/>
      </c>
      <c r="AT260">
        <f>IF(V260=1,", "&amp;V$1,"")</f>
        <v/>
      </c>
      <c r="AU260">
        <f>IF(W260=1,", "&amp;W$1,"")</f>
        <v/>
      </c>
      <c r="AV260">
        <f>IF(X260=1,", "&amp;X$1,"")</f>
        <v/>
      </c>
      <c r="AW260">
        <f>IF(Y260=1,", "&amp;Y$1,"")</f>
        <v/>
      </c>
      <c r="AX260">
        <f>IF(Z260=1,", "&amp;Z$1,"")</f>
        <v/>
      </c>
      <c r="AY260">
        <f>IF(AA260=1,", "&amp;AA$1,"")</f>
        <v/>
      </c>
      <c r="AZ260">
        <f>MID($AB260&amp;$AC260&amp;$AD260&amp;$AE260&amp;$AF260&amp;$AG260&amp;$AH260&amp;$AI260&amp;$AJ260&amp;$AK260&amp;$AL260&amp;$AM260&amp;$AN260&amp;$AO260&amp;$AP260&amp;$AQ260&amp;$AR260&amp;$AS260&amp;$AT260&amp;$AU260&amp;$AV260&amp;$AW260&amp;$AX260&amp;$AY260,3,32767)</f>
        <v/>
      </c>
      <c r="BA260">
        <f>COUNT($D260:$AA260)</f>
        <v/>
      </c>
    </row>
    <row r="261">
      <c r="A261" t="n">
        <v>6</v>
      </c>
      <c r="B261" t="inlineStr">
        <is>
          <t>Flesh to Stone</t>
        </is>
      </c>
      <c r="C261" t="inlineStr">
        <is>
          <t>Transmutation</t>
        </is>
      </c>
      <c r="D261">
        <f>IF(Wizards!$A$2="","",IF(OR(ISNUMBER(SEARCH(", "&amp;$B261&amp;", ", ", "&amp;INDEX('Form Responses'!$I$1:$Q$200,2,$A261)&amp;", ")),ISNUMBER(SEARCH(", "&amp;$B261&amp;", ", ", "&amp;INDEX('Form Responses'!$R$1:$R$200,2)&amp;", "))),1,""))</f>
        <v/>
      </c>
      <c r="E261">
        <f>IF(Wizards!$A$3="","",IF(OR(ISNUMBER(SEARCH(", "&amp;$B261&amp;", ", ", "&amp;INDEX('Form Responses'!$I$1:$Q$200,3,$A261)&amp;", ")),ISNUMBER(SEARCH(", "&amp;$B261&amp;", ", ", "&amp;INDEX('Form Responses'!$R$1:$R$200,3)&amp;", "))),1,""))</f>
        <v/>
      </c>
      <c r="F261">
        <f>IF(Wizards!$A$4="","",IF(OR(ISNUMBER(SEARCH(", "&amp;$B261&amp;", ", ", "&amp;INDEX('Form Responses'!$I$1:$Q$200,4,$A261)&amp;", ")),ISNUMBER(SEARCH(", "&amp;$B261&amp;", ", ", "&amp;INDEX('Form Responses'!$R$1:$R$200,4)&amp;", "))),1,""))</f>
        <v/>
      </c>
      <c r="G261">
        <f>IF(Wizards!$A$5="","",IF(OR(ISNUMBER(SEARCH(", "&amp;$B261&amp;", ", ", "&amp;INDEX('Form Responses'!$I$1:$Q$200,5,$A261)&amp;", ")),ISNUMBER(SEARCH(", "&amp;$B261&amp;", ", ", "&amp;INDEX('Form Responses'!$R$1:$R$200,5)&amp;", "))),1,""))</f>
        <v/>
      </c>
      <c r="H261">
        <f>IF(Wizards!$A$6="","",IF(OR(ISNUMBER(SEARCH(", "&amp;$B261&amp;", ", ", "&amp;INDEX('Form Responses'!$I$1:$Q$200,6,$A261)&amp;", ")),ISNUMBER(SEARCH(", "&amp;$B261&amp;", ", ", "&amp;INDEX('Form Responses'!$R$1:$R$200,6)&amp;", "))),1,""))</f>
        <v/>
      </c>
      <c r="I261">
        <f>IF(Wizards!$A$7="","",IF(OR(ISNUMBER(SEARCH(", "&amp;$B261&amp;", ", ", "&amp;INDEX('Form Responses'!$I$1:$Q$200,7,$A261)&amp;", ")),ISNUMBER(SEARCH(", "&amp;$B261&amp;", ", ", "&amp;INDEX('Form Responses'!$R$1:$R$200,7)&amp;", "))),1,""))</f>
        <v/>
      </c>
      <c r="J261">
        <f>IF(Wizards!$A$8="","",IF(OR(ISNUMBER(SEARCH(", "&amp;$B261&amp;", ", ", "&amp;INDEX('Form Responses'!$I$1:$Q$200,8,$A261)&amp;", ")),ISNUMBER(SEARCH(", "&amp;$B261&amp;", ", ", "&amp;INDEX('Form Responses'!$R$1:$R$200,8)&amp;", "))),1,""))</f>
        <v/>
      </c>
      <c r="K261">
        <f>IF(Wizards!$A$9="","",IF(OR(ISNUMBER(SEARCH(", "&amp;$B261&amp;", ", ", "&amp;INDEX('Form Responses'!$I$1:$Q$200,9,$A261)&amp;", ")),ISNUMBER(SEARCH(", "&amp;$B261&amp;", ", ", "&amp;INDEX('Form Responses'!$R$1:$R$200,9)&amp;", "))),1,""))</f>
        <v/>
      </c>
      <c r="L261">
        <f>IF(Wizards!$A$10="","",IF(OR(ISNUMBER(SEARCH(", "&amp;$B261&amp;", ", ", "&amp;INDEX('Form Responses'!$I$1:$Q$200,10,$A261)&amp;", ")),ISNUMBER(SEARCH(", "&amp;$B261&amp;", ", ", "&amp;INDEX('Form Responses'!$R$1:$R$200,10)&amp;", "))),1,""))</f>
        <v/>
      </c>
      <c r="M261">
        <f>IF(Wizards!$A$11="","",IF(OR(ISNUMBER(SEARCH(", "&amp;$B261&amp;", ", ", "&amp;INDEX('Form Responses'!$I$1:$Q$200,11,$A261)&amp;", ")),ISNUMBER(SEARCH(", "&amp;$B261&amp;", ", ", "&amp;INDEX('Form Responses'!$R$1:$R$200,11)&amp;", "))),1,""))</f>
        <v/>
      </c>
      <c r="N261">
        <f>IF(Wizards!$A$12="","",IF(OR(ISNUMBER(SEARCH(", "&amp;$B261&amp;", ", ", "&amp;INDEX('Form Responses'!$I$1:$Q$200,12,$A261)&amp;", ")),ISNUMBER(SEARCH(", "&amp;$B261&amp;", ", ", "&amp;INDEX('Form Responses'!$R$1:$R$200,12)&amp;", "))),1,""))</f>
        <v/>
      </c>
      <c r="O261">
        <f>IF(Wizards!$A$13="","",IF(OR(ISNUMBER(SEARCH(", "&amp;$B261&amp;", ", ", "&amp;INDEX('Form Responses'!$I$1:$Q$200,13,$A261)&amp;", ")),ISNUMBER(SEARCH(", "&amp;$B261&amp;", ", ", "&amp;INDEX('Form Responses'!$R$1:$R$200,13)&amp;", "))),1,""))</f>
        <v/>
      </c>
      <c r="P261">
        <f>IF(Wizards!$A$14="","",IF(OR(ISNUMBER(SEARCH(", "&amp;$B261&amp;", ", ", "&amp;INDEX('Form Responses'!$I$1:$Q$200,14,$A261)&amp;", ")),ISNUMBER(SEARCH(", "&amp;$B261&amp;", ", ", "&amp;INDEX('Form Responses'!$R$1:$R$200,14)&amp;", "))),1,""))</f>
        <v/>
      </c>
      <c r="Q261">
        <f>IF(Wizards!$A$15="","",IF(OR(ISNUMBER(SEARCH(", "&amp;$B261&amp;", ", ", "&amp;INDEX('Form Responses'!$I$1:$Q$200,15,$A261)&amp;", ")),ISNUMBER(SEARCH(", "&amp;$B261&amp;", ", ", "&amp;INDEX('Form Responses'!$R$1:$R$200,15)&amp;", "))),1,""))</f>
        <v/>
      </c>
      <c r="R261">
        <f>IF(Wizards!$A$16="","",IF(OR(ISNUMBER(SEARCH(", "&amp;$B261&amp;", ", ", "&amp;INDEX('Form Responses'!$I$1:$Q$200,16,$A261)&amp;", ")),ISNUMBER(SEARCH(", "&amp;$B261&amp;", ", ", "&amp;INDEX('Form Responses'!$R$1:$R$200,16)&amp;", "))),1,""))</f>
        <v/>
      </c>
      <c r="S261">
        <f>IF(Wizards!$A$17="","",IF(OR(ISNUMBER(SEARCH(", "&amp;$B261&amp;", ", ", "&amp;INDEX('Form Responses'!$I$1:$Q$200,17,$A261)&amp;", ")),ISNUMBER(SEARCH(", "&amp;$B261&amp;", ", ", "&amp;INDEX('Form Responses'!$R$1:$R$200,17)&amp;", "))),1,""))</f>
        <v/>
      </c>
      <c r="T261">
        <f>IF(Wizards!$A$18="","",IF(OR(ISNUMBER(SEARCH(", "&amp;$B261&amp;", ", ", "&amp;INDEX('Form Responses'!$I$1:$Q$200,18,$A261)&amp;", ")),ISNUMBER(SEARCH(", "&amp;$B261&amp;", ", ", "&amp;INDEX('Form Responses'!$R$1:$R$200,18)&amp;", "))),1,""))</f>
        <v/>
      </c>
      <c r="U261">
        <f>IF(Wizards!$A$19="","",IF(OR(ISNUMBER(SEARCH(", "&amp;$B261&amp;", ", ", "&amp;INDEX('Form Responses'!$I$1:$Q$200,19,$A261)&amp;", ")),ISNUMBER(SEARCH(", "&amp;$B261&amp;", ", ", "&amp;INDEX('Form Responses'!$R$1:$R$200,19)&amp;", "))),1,""))</f>
        <v/>
      </c>
      <c r="V261">
        <f>IF(Wizards!$A$20="","",IF(OR(ISNUMBER(SEARCH(", "&amp;$B261&amp;", ", ", "&amp;INDEX('Form Responses'!$I$1:$Q$200,20,$A261)&amp;", ")),ISNUMBER(SEARCH(", "&amp;$B261&amp;", ", ", "&amp;INDEX('Form Responses'!$R$1:$R$200,20)&amp;", "))),1,""))</f>
        <v/>
      </c>
      <c r="W261">
        <f>IF(Wizards!$A$21="","",IF(OR(ISNUMBER(SEARCH(", "&amp;$B261&amp;", ", ", "&amp;INDEX('Form Responses'!$I$1:$Q$200,21,$A261)&amp;", ")),ISNUMBER(SEARCH(", "&amp;$B261&amp;", ", ", "&amp;INDEX('Form Responses'!$R$1:$R$200,21)&amp;", "))),1,""))</f>
        <v/>
      </c>
      <c r="X261">
        <f>IF(Wizards!$A$22="","",IF(OR(ISNUMBER(SEARCH(", "&amp;$B261&amp;", ", ", "&amp;INDEX('Form Responses'!$I$1:$Q$200,22,$A261)&amp;", ")),ISNUMBER(SEARCH(", "&amp;$B261&amp;", ", ", "&amp;INDEX('Form Responses'!$R$1:$R$200,22)&amp;", "))),1,""))</f>
        <v/>
      </c>
      <c r="Y261">
        <f>IF(Wizards!$A$23="","",IF(OR(ISNUMBER(SEARCH(", "&amp;$B261&amp;", ", ", "&amp;INDEX('Form Responses'!$I$1:$Q$200,23,$A261)&amp;", ")),ISNUMBER(SEARCH(", "&amp;$B261&amp;", ", ", "&amp;INDEX('Form Responses'!$R$1:$R$200,23)&amp;", "))),1,""))</f>
        <v/>
      </c>
      <c r="Z261">
        <f>IF(Wizards!$A$24="","",IF(OR(ISNUMBER(SEARCH(", "&amp;$B261&amp;", ", ", "&amp;INDEX('Form Responses'!$I$1:$Q$200,24,$A261)&amp;", ")),ISNUMBER(SEARCH(", "&amp;$B261&amp;", ", ", "&amp;INDEX('Form Responses'!$R$1:$R$200,24)&amp;", "))),1,""))</f>
        <v/>
      </c>
      <c r="AA261">
        <f>IF(Wizards!$A$25="","",IF(OR(ISNUMBER(SEARCH(", "&amp;$B261&amp;", ", ", "&amp;INDEX('Form Responses'!$I$1:$Q$200,25,$A261)&amp;", ")),ISNUMBER(SEARCH(", "&amp;$B261&amp;", ", ", "&amp;INDEX('Form Responses'!$R$1:$R$200,25)&amp;", "))),1,""))</f>
        <v/>
      </c>
      <c r="AB261">
        <f>IF(D261=1,", "&amp;D$1,"")</f>
        <v/>
      </c>
      <c r="AC261">
        <f>IF(E261=1,", "&amp;E$1,"")</f>
        <v/>
      </c>
      <c r="AD261">
        <f>IF(F261=1,", "&amp;F$1,"")</f>
        <v/>
      </c>
      <c r="AE261">
        <f>IF(G261=1,", "&amp;G$1,"")</f>
        <v/>
      </c>
      <c r="AF261">
        <f>IF(H261=1,", "&amp;H$1,"")</f>
        <v/>
      </c>
      <c r="AG261">
        <f>IF(I261=1,", "&amp;I$1,"")</f>
        <v/>
      </c>
      <c r="AH261">
        <f>IF(J261=1,", "&amp;J$1,"")</f>
        <v/>
      </c>
      <c r="AI261">
        <f>IF(K261=1,", "&amp;K$1,"")</f>
        <v/>
      </c>
      <c r="AJ261">
        <f>IF(L261=1,", "&amp;L$1,"")</f>
        <v/>
      </c>
      <c r="AK261">
        <f>IF(M261=1,", "&amp;M$1,"")</f>
        <v/>
      </c>
      <c r="AL261">
        <f>IF(N261=1,", "&amp;N$1,"")</f>
        <v/>
      </c>
      <c r="AM261">
        <f>IF(O261=1,", "&amp;O$1,"")</f>
        <v/>
      </c>
      <c r="AN261">
        <f>IF(P261=1,", "&amp;P$1,"")</f>
        <v/>
      </c>
      <c r="AO261">
        <f>IF(Q261=1,", "&amp;Q$1,"")</f>
        <v/>
      </c>
      <c r="AP261">
        <f>IF(R261=1,", "&amp;R$1,"")</f>
        <v/>
      </c>
      <c r="AQ261">
        <f>IF(S261=1,", "&amp;S$1,"")</f>
        <v/>
      </c>
      <c r="AR261">
        <f>IF(T261=1,", "&amp;T$1,"")</f>
        <v/>
      </c>
      <c r="AS261">
        <f>IF(U261=1,", "&amp;U$1,"")</f>
        <v/>
      </c>
      <c r="AT261">
        <f>IF(V261=1,", "&amp;V$1,"")</f>
        <v/>
      </c>
      <c r="AU261">
        <f>IF(W261=1,", "&amp;W$1,"")</f>
        <v/>
      </c>
      <c r="AV261">
        <f>IF(X261=1,", "&amp;X$1,"")</f>
        <v/>
      </c>
      <c r="AW261">
        <f>IF(Y261=1,", "&amp;Y$1,"")</f>
        <v/>
      </c>
      <c r="AX261">
        <f>IF(Z261=1,", "&amp;Z$1,"")</f>
        <v/>
      </c>
      <c r="AY261">
        <f>IF(AA261=1,", "&amp;AA$1,"")</f>
        <v/>
      </c>
      <c r="AZ261">
        <f>MID($AB261&amp;$AC261&amp;$AD261&amp;$AE261&amp;$AF261&amp;$AG261&amp;$AH261&amp;$AI261&amp;$AJ261&amp;$AK261&amp;$AL261&amp;$AM261&amp;$AN261&amp;$AO261&amp;$AP261&amp;$AQ261&amp;$AR261&amp;$AS261&amp;$AT261&amp;$AU261&amp;$AV261&amp;$AW261&amp;$AX261&amp;$AY261,3,32767)</f>
        <v/>
      </c>
      <c r="BA261">
        <f>COUNT($D261:$AA261)</f>
        <v/>
      </c>
    </row>
    <row r="262">
      <c r="A262" t="n">
        <v>6</v>
      </c>
      <c r="B262" t="inlineStr">
        <is>
          <t>Globe of Invulnerability</t>
        </is>
      </c>
      <c r="C262" t="inlineStr">
        <is>
          <t>Abjuration</t>
        </is>
      </c>
      <c r="D262">
        <f>IF(Wizards!$A$2="","",IF(OR(ISNUMBER(SEARCH(", "&amp;$B262&amp;", ", ", "&amp;INDEX('Form Responses'!$I$1:$Q$200,2,$A262)&amp;", ")),ISNUMBER(SEARCH(", "&amp;$B262&amp;", ", ", "&amp;INDEX('Form Responses'!$R$1:$R$200,2)&amp;", "))),1,""))</f>
        <v/>
      </c>
      <c r="E262">
        <f>IF(Wizards!$A$3="","",IF(OR(ISNUMBER(SEARCH(", "&amp;$B262&amp;", ", ", "&amp;INDEX('Form Responses'!$I$1:$Q$200,3,$A262)&amp;", ")),ISNUMBER(SEARCH(", "&amp;$B262&amp;", ", ", "&amp;INDEX('Form Responses'!$R$1:$R$200,3)&amp;", "))),1,""))</f>
        <v/>
      </c>
      <c r="F262">
        <f>IF(Wizards!$A$4="","",IF(OR(ISNUMBER(SEARCH(", "&amp;$B262&amp;", ", ", "&amp;INDEX('Form Responses'!$I$1:$Q$200,4,$A262)&amp;", ")),ISNUMBER(SEARCH(", "&amp;$B262&amp;", ", ", "&amp;INDEX('Form Responses'!$R$1:$R$200,4)&amp;", "))),1,""))</f>
        <v/>
      </c>
      <c r="G262">
        <f>IF(Wizards!$A$5="","",IF(OR(ISNUMBER(SEARCH(", "&amp;$B262&amp;", ", ", "&amp;INDEX('Form Responses'!$I$1:$Q$200,5,$A262)&amp;", ")),ISNUMBER(SEARCH(", "&amp;$B262&amp;", ", ", "&amp;INDEX('Form Responses'!$R$1:$R$200,5)&amp;", "))),1,""))</f>
        <v/>
      </c>
      <c r="H262">
        <f>IF(Wizards!$A$6="","",IF(OR(ISNUMBER(SEARCH(", "&amp;$B262&amp;", ", ", "&amp;INDEX('Form Responses'!$I$1:$Q$200,6,$A262)&amp;", ")),ISNUMBER(SEARCH(", "&amp;$B262&amp;", ", ", "&amp;INDEX('Form Responses'!$R$1:$R$200,6)&amp;", "))),1,""))</f>
        <v/>
      </c>
      <c r="I262">
        <f>IF(Wizards!$A$7="","",IF(OR(ISNUMBER(SEARCH(", "&amp;$B262&amp;", ", ", "&amp;INDEX('Form Responses'!$I$1:$Q$200,7,$A262)&amp;", ")),ISNUMBER(SEARCH(", "&amp;$B262&amp;", ", ", "&amp;INDEX('Form Responses'!$R$1:$R$200,7)&amp;", "))),1,""))</f>
        <v/>
      </c>
      <c r="J262">
        <f>IF(Wizards!$A$8="","",IF(OR(ISNUMBER(SEARCH(", "&amp;$B262&amp;", ", ", "&amp;INDEX('Form Responses'!$I$1:$Q$200,8,$A262)&amp;", ")),ISNUMBER(SEARCH(", "&amp;$B262&amp;", ", ", "&amp;INDEX('Form Responses'!$R$1:$R$200,8)&amp;", "))),1,""))</f>
        <v/>
      </c>
      <c r="K262">
        <f>IF(Wizards!$A$9="","",IF(OR(ISNUMBER(SEARCH(", "&amp;$B262&amp;", ", ", "&amp;INDEX('Form Responses'!$I$1:$Q$200,9,$A262)&amp;", ")),ISNUMBER(SEARCH(", "&amp;$B262&amp;", ", ", "&amp;INDEX('Form Responses'!$R$1:$R$200,9)&amp;", "))),1,""))</f>
        <v/>
      </c>
      <c r="L262">
        <f>IF(Wizards!$A$10="","",IF(OR(ISNUMBER(SEARCH(", "&amp;$B262&amp;", ", ", "&amp;INDEX('Form Responses'!$I$1:$Q$200,10,$A262)&amp;", ")),ISNUMBER(SEARCH(", "&amp;$B262&amp;", ", ", "&amp;INDEX('Form Responses'!$R$1:$R$200,10)&amp;", "))),1,""))</f>
        <v/>
      </c>
      <c r="M262">
        <f>IF(Wizards!$A$11="","",IF(OR(ISNUMBER(SEARCH(", "&amp;$B262&amp;", ", ", "&amp;INDEX('Form Responses'!$I$1:$Q$200,11,$A262)&amp;", ")),ISNUMBER(SEARCH(", "&amp;$B262&amp;", ", ", "&amp;INDEX('Form Responses'!$R$1:$R$200,11)&amp;", "))),1,""))</f>
        <v/>
      </c>
      <c r="N262">
        <f>IF(Wizards!$A$12="","",IF(OR(ISNUMBER(SEARCH(", "&amp;$B262&amp;", ", ", "&amp;INDEX('Form Responses'!$I$1:$Q$200,12,$A262)&amp;", ")),ISNUMBER(SEARCH(", "&amp;$B262&amp;", ", ", "&amp;INDEX('Form Responses'!$R$1:$R$200,12)&amp;", "))),1,""))</f>
        <v/>
      </c>
      <c r="O262">
        <f>IF(Wizards!$A$13="","",IF(OR(ISNUMBER(SEARCH(", "&amp;$B262&amp;", ", ", "&amp;INDEX('Form Responses'!$I$1:$Q$200,13,$A262)&amp;", ")),ISNUMBER(SEARCH(", "&amp;$B262&amp;", ", ", "&amp;INDEX('Form Responses'!$R$1:$R$200,13)&amp;", "))),1,""))</f>
        <v/>
      </c>
      <c r="P262">
        <f>IF(Wizards!$A$14="","",IF(OR(ISNUMBER(SEARCH(", "&amp;$B262&amp;", ", ", "&amp;INDEX('Form Responses'!$I$1:$Q$200,14,$A262)&amp;", ")),ISNUMBER(SEARCH(", "&amp;$B262&amp;", ", ", "&amp;INDEX('Form Responses'!$R$1:$R$200,14)&amp;", "))),1,""))</f>
        <v/>
      </c>
      <c r="Q262">
        <f>IF(Wizards!$A$15="","",IF(OR(ISNUMBER(SEARCH(", "&amp;$B262&amp;", ", ", "&amp;INDEX('Form Responses'!$I$1:$Q$200,15,$A262)&amp;", ")),ISNUMBER(SEARCH(", "&amp;$B262&amp;", ", ", "&amp;INDEX('Form Responses'!$R$1:$R$200,15)&amp;", "))),1,""))</f>
        <v/>
      </c>
      <c r="R262">
        <f>IF(Wizards!$A$16="","",IF(OR(ISNUMBER(SEARCH(", "&amp;$B262&amp;", ", ", "&amp;INDEX('Form Responses'!$I$1:$Q$200,16,$A262)&amp;", ")),ISNUMBER(SEARCH(", "&amp;$B262&amp;", ", ", "&amp;INDEX('Form Responses'!$R$1:$R$200,16)&amp;", "))),1,""))</f>
        <v/>
      </c>
      <c r="S262">
        <f>IF(Wizards!$A$17="","",IF(OR(ISNUMBER(SEARCH(", "&amp;$B262&amp;", ", ", "&amp;INDEX('Form Responses'!$I$1:$Q$200,17,$A262)&amp;", ")),ISNUMBER(SEARCH(", "&amp;$B262&amp;", ", ", "&amp;INDEX('Form Responses'!$R$1:$R$200,17)&amp;", "))),1,""))</f>
        <v/>
      </c>
      <c r="T262">
        <f>IF(Wizards!$A$18="","",IF(OR(ISNUMBER(SEARCH(", "&amp;$B262&amp;", ", ", "&amp;INDEX('Form Responses'!$I$1:$Q$200,18,$A262)&amp;", ")),ISNUMBER(SEARCH(", "&amp;$B262&amp;", ", ", "&amp;INDEX('Form Responses'!$R$1:$R$200,18)&amp;", "))),1,""))</f>
        <v/>
      </c>
      <c r="U262">
        <f>IF(Wizards!$A$19="","",IF(OR(ISNUMBER(SEARCH(", "&amp;$B262&amp;", ", ", "&amp;INDEX('Form Responses'!$I$1:$Q$200,19,$A262)&amp;", ")),ISNUMBER(SEARCH(", "&amp;$B262&amp;", ", ", "&amp;INDEX('Form Responses'!$R$1:$R$200,19)&amp;", "))),1,""))</f>
        <v/>
      </c>
      <c r="V262">
        <f>IF(Wizards!$A$20="","",IF(OR(ISNUMBER(SEARCH(", "&amp;$B262&amp;", ", ", "&amp;INDEX('Form Responses'!$I$1:$Q$200,20,$A262)&amp;", ")),ISNUMBER(SEARCH(", "&amp;$B262&amp;", ", ", "&amp;INDEX('Form Responses'!$R$1:$R$200,20)&amp;", "))),1,""))</f>
        <v/>
      </c>
      <c r="W262">
        <f>IF(Wizards!$A$21="","",IF(OR(ISNUMBER(SEARCH(", "&amp;$B262&amp;", ", ", "&amp;INDEX('Form Responses'!$I$1:$Q$200,21,$A262)&amp;", ")),ISNUMBER(SEARCH(", "&amp;$B262&amp;", ", ", "&amp;INDEX('Form Responses'!$R$1:$R$200,21)&amp;", "))),1,""))</f>
        <v/>
      </c>
      <c r="X262">
        <f>IF(Wizards!$A$22="","",IF(OR(ISNUMBER(SEARCH(", "&amp;$B262&amp;", ", ", "&amp;INDEX('Form Responses'!$I$1:$Q$200,22,$A262)&amp;", ")),ISNUMBER(SEARCH(", "&amp;$B262&amp;", ", ", "&amp;INDEX('Form Responses'!$R$1:$R$200,22)&amp;", "))),1,""))</f>
        <v/>
      </c>
      <c r="Y262">
        <f>IF(Wizards!$A$23="","",IF(OR(ISNUMBER(SEARCH(", "&amp;$B262&amp;", ", ", "&amp;INDEX('Form Responses'!$I$1:$Q$200,23,$A262)&amp;", ")),ISNUMBER(SEARCH(", "&amp;$B262&amp;", ", ", "&amp;INDEX('Form Responses'!$R$1:$R$200,23)&amp;", "))),1,""))</f>
        <v/>
      </c>
      <c r="Z262">
        <f>IF(Wizards!$A$24="","",IF(OR(ISNUMBER(SEARCH(", "&amp;$B262&amp;", ", ", "&amp;INDEX('Form Responses'!$I$1:$Q$200,24,$A262)&amp;", ")),ISNUMBER(SEARCH(", "&amp;$B262&amp;", ", ", "&amp;INDEX('Form Responses'!$R$1:$R$200,24)&amp;", "))),1,""))</f>
        <v/>
      </c>
      <c r="AA262">
        <f>IF(Wizards!$A$25="","",IF(OR(ISNUMBER(SEARCH(", "&amp;$B262&amp;", ", ", "&amp;INDEX('Form Responses'!$I$1:$Q$200,25,$A262)&amp;", ")),ISNUMBER(SEARCH(", "&amp;$B262&amp;", ", ", "&amp;INDEX('Form Responses'!$R$1:$R$200,25)&amp;", "))),1,""))</f>
        <v/>
      </c>
      <c r="AB262">
        <f>IF(D262=1,", "&amp;D$1,"")</f>
        <v/>
      </c>
      <c r="AC262">
        <f>IF(E262=1,", "&amp;E$1,"")</f>
        <v/>
      </c>
      <c r="AD262">
        <f>IF(F262=1,", "&amp;F$1,"")</f>
        <v/>
      </c>
      <c r="AE262">
        <f>IF(G262=1,", "&amp;G$1,"")</f>
        <v/>
      </c>
      <c r="AF262">
        <f>IF(H262=1,", "&amp;H$1,"")</f>
        <v/>
      </c>
      <c r="AG262">
        <f>IF(I262=1,", "&amp;I$1,"")</f>
        <v/>
      </c>
      <c r="AH262">
        <f>IF(J262=1,", "&amp;J$1,"")</f>
        <v/>
      </c>
      <c r="AI262">
        <f>IF(K262=1,", "&amp;K$1,"")</f>
        <v/>
      </c>
      <c r="AJ262">
        <f>IF(L262=1,", "&amp;L$1,"")</f>
        <v/>
      </c>
      <c r="AK262">
        <f>IF(M262=1,", "&amp;M$1,"")</f>
        <v/>
      </c>
      <c r="AL262">
        <f>IF(N262=1,", "&amp;N$1,"")</f>
        <v/>
      </c>
      <c r="AM262">
        <f>IF(O262=1,", "&amp;O$1,"")</f>
        <v/>
      </c>
      <c r="AN262">
        <f>IF(P262=1,", "&amp;P$1,"")</f>
        <v/>
      </c>
      <c r="AO262">
        <f>IF(Q262=1,", "&amp;Q$1,"")</f>
        <v/>
      </c>
      <c r="AP262">
        <f>IF(R262=1,", "&amp;R$1,"")</f>
        <v/>
      </c>
      <c r="AQ262">
        <f>IF(S262=1,", "&amp;S$1,"")</f>
        <v/>
      </c>
      <c r="AR262">
        <f>IF(T262=1,", "&amp;T$1,"")</f>
        <v/>
      </c>
      <c r="AS262">
        <f>IF(U262=1,", "&amp;U$1,"")</f>
        <v/>
      </c>
      <c r="AT262">
        <f>IF(V262=1,", "&amp;V$1,"")</f>
        <v/>
      </c>
      <c r="AU262">
        <f>IF(W262=1,", "&amp;W$1,"")</f>
        <v/>
      </c>
      <c r="AV262">
        <f>IF(X262=1,", "&amp;X$1,"")</f>
        <v/>
      </c>
      <c r="AW262">
        <f>IF(Y262=1,", "&amp;Y$1,"")</f>
        <v/>
      </c>
      <c r="AX262">
        <f>IF(Z262=1,", "&amp;Z$1,"")</f>
        <v/>
      </c>
      <c r="AY262">
        <f>IF(AA262=1,", "&amp;AA$1,"")</f>
        <v/>
      </c>
      <c r="AZ262">
        <f>MID($AB262&amp;$AC262&amp;$AD262&amp;$AE262&amp;$AF262&amp;$AG262&amp;$AH262&amp;$AI262&amp;$AJ262&amp;$AK262&amp;$AL262&amp;$AM262&amp;$AN262&amp;$AO262&amp;$AP262&amp;$AQ262&amp;$AR262&amp;$AS262&amp;$AT262&amp;$AU262&amp;$AV262&amp;$AW262&amp;$AX262&amp;$AY262,3,32767)</f>
        <v/>
      </c>
      <c r="BA262">
        <f>COUNT($D262:$AA262)</f>
        <v/>
      </c>
    </row>
    <row r="263">
      <c r="A263" t="n">
        <v>6</v>
      </c>
      <c r="B263" t="inlineStr">
        <is>
          <t>Guards and Wards</t>
        </is>
      </c>
      <c r="C263" t="inlineStr">
        <is>
          <t>Abjuration</t>
        </is>
      </c>
      <c r="D263">
        <f>IF(Wizards!$A$2="","",IF(OR(ISNUMBER(SEARCH(", "&amp;$B263&amp;", ", ", "&amp;INDEX('Form Responses'!$I$1:$Q$200,2,$A263)&amp;", ")),ISNUMBER(SEARCH(", "&amp;$B263&amp;", ", ", "&amp;INDEX('Form Responses'!$R$1:$R$200,2)&amp;", "))),1,""))</f>
        <v/>
      </c>
      <c r="E263">
        <f>IF(Wizards!$A$3="","",IF(OR(ISNUMBER(SEARCH(", "&amp;$B263&amp;", ", ", "&amp;INDEX('Form Responses'!$I$1:$Q$200,3,$A263)&amp;", ")),ISNUMBER(SEARCH(", "&amp;$B263&amp;", ", ", "&amp;INDEX('Form Responses'!$R$1:$R$200,3)&amp;", "))),1,""))</f>
        <v/>
      </c>
      <c r="F263">
        <f>IF(Wizards!$A$4="","",IF(OR(ISNUMBER(SEARCH(", "&amp;$B263&amp;", ", ", "&amp;INDEX('Form Responses'!$I$1:$Q$200,4,$A263)&amp;", ")),ISNUMBER(SEARCH(", "&amp;$B263&amp;", ", ", "&amp;INDEX('Form Responses'!$R$1:$R$200,4)&amp;", "))),1,""))</f>
        <v/>
      </c>
      <c r="G263">
        <f>IF(Wizards!$A$5="","",IF(OR(ISNUMBER(SEARCH(", "&amp;$B263&amp;", ", ", "&amp;INDEX('Form Responses'!$I$1:$Q$200,5,$A263)&amp;", ")),ISNUMBER(SEARCH(", "&amp;$B263&amp;", ", ", "&amp;INDEX('Form Responses'!$R$1:$R$200,5)&amp;", "))),1,""))</f>
        <v/>
      </c>
      <c r="H263">
        <f>IF(Wizards!$A$6="","",IF(OR(ISNUMBER(SEARCH(", "&amp;$B263&amp;", ", ", "&amp;INDEX('Form Responses'!$I$1:$Q$200,6,$A263)&amp;", ")),ISNUMBER(SEARCH(", "&amp;$B263&amp;", ", ", "&amp;INDEX('Form Responses'!$R$1:$R$200,6)&amp;", "))),1,""))</f>
        <v/>
      </c>
      <c r="I263">
        <f>IF(Wizards!$A$7="","",IF(OR(ISNUMBER(SEARCH(", "&amp;$B263&amp;", ", ", "&amp;INDEX('Form Responses'!$I$1:$Q$200,7,$A263)&amp;", ")),ISNUMBER(SEARCH(", "&amp;$B263&amp;", ", ", "&amp;INDEX('Form Responses'!$R$1:$R$200,7)&amp;", "))),1,""))</f>
        <v/>
      </c>
      <c r="J263">
        <f>IF(Wizards!$A$8="","",IF(OR(ISNUMBER(SEARCH(", "&amp;$B263&amp;", ", ", "&amp;INDEX('Form Responses'!$I$1:$Q$200,8,$A263)&amp;", ")),ISNUMBER(SEARCH(", "&amp;$B263&amp;", ", ", "&amp;INDEX('Form Responses'!$R$1:$R$200,8)&amp;", "))),1,""))</f>
        <v/>
      </c>
      <c r="K263">
        <f>IF(Wizards!$A$9="","",IF(OR(ISNUMBER(SEARCH(", "&amp;$B263&amp;", ", ", "&amp;INDEX('Form Responses'!$I$1:$Q$200,9,$A263)&amp;", ")),ISNUMBER(SEARCH(", "&amp;$B263&amp;", ", ", "&amp;INDEX('Form Responses'!$R$1:$R$200,9)&amp;", "))),1,""))</f>
        <v/>
      </c>
      <c r="L263">
        <f>IF(Wizards!$A$10="","",IF(OR(ISNUMBER(SEARCH(", "&amp;$B263&amp;", ", ", "&amp;INDEX('Form Responses'!$I$1:$Q$200,10,$A263)&amp;", ")),ISNUMBER(SEARCH(", "&amp;$B263&amp;", ", ", "&amp;INDEX('Form Responses'!$R$1:$R$200,10)&amp;", "))),1,""))</f>
        <v/>
      </c>
      <c r="M263">
        <f>IF(Wizards!$A$11="","",IF(OR(ISNUMBER(SEARCH(", "&amp;$B263&amp;", ", ", "&amp;INDEX('Form Responses'!$I$1:$Q$200,11,$A263)&amp;", ")),ISNUMBER(SEARCH(", "&amp;$B263&amp;", ", ", "&amp;INDEX('Form Responses'!$R$1:$R$200,11)&amp;", "))),1,""))</f>
        <v/>
      </c>
      <c r="N263">
        <f>IF(Wizards!$A$12="","",IF(OR(ISNUMBER(SEARCH(", "&amp;$B263&amp;", ", ", "&amp;INDEX('Form Responses'!$I$1:$Q$200,12,$A263)&amp;", ")),ISNUMBER(SEARCH(", "&amp;$B263&amp;", ", ", "&amp;INDEX('Form Responses'!$R$1:$R$200,12)&amp;", "))),1,""))</f>
        <v/>
      </c>
      <c r="O263">
        <f>IF(Wizards!$A$13="","",IF(OR(ISNUMBER(SEARCH(", "&amp;$B263&amp;", ", ", "&amp;INDEX('Form Responses'!$I$1:$Q$200,13,$A263)&amp;", ")),ISNUMBER(SEARCH(", "&amp;$B263&amp;", ", ", "&amp;INDEX('Form Responses'!$R$1:$R$200,13)&amp;", "))),1,""))</f>
        <v/>
      </c>
      <c r="P263">
        <f>IF(Wizards!$A$14="","",IF(OR(ISNUMBER(SEARCH(", "&amp;$B263&amp;", ", ", "&amp;INDEX('Form Responses'!$I$1:$Q$200,14,$A263)&amp;", ")),ISNUMBER(SEARCH(", "&amp;$B263&amp;", ", ", "&amp;INDEX('Form Responses'!$R$1:$R$200,14)&amp;", "))),1,""))</f>
        <v/>
      </c>
      <c r="Q263">
        <f>IF(Wizards!$A$15="","",IF(OR(ISNUMBER(SEARCH(", "&amp;$B263&amp;", ", ", "&amp;INDEX('Form Responses'!$I$1:$Q$200,15,$A263)&amp;", ")),ISNUMBER(SEARCH(", "&amp;$B263&amp;", ", ", "&amp;INDEX('Form Responses'!$R$1:$R$200,15)&amp;", "))),1,""))</f>
        <v/>
      </c>
      <c r="R263">
        <f>IF(Wizards!$A$16="","",IF(OR(ISNUMBER(SEARCH(", "&amp;$B263&amp;", ", ", "&amp;INDEX('Form Responses'!$I$1:$Q$200,16,$A263)&amp;", ")),ISNUMBER(SEARCH(", "&amp;$B263&amp;", ", ", "&amp;INDEX('Form Responses'!$R$1:$R$200,16)&amp;", "))),1,""))</f>
        <v/>
      </c>
      <c r="S263">
        <f>IF(Wizards!$A$17="","",IF(OR(ISNUMBER(SEARCH(", "&amp;$B263&amp;", ", ", "&amp;INDEX('Form Responses'!$I$1:$Q$200,17,$A263)&amp;", ")),ISNUMBER(SEARCH(", "&amp;$B263&amp;", ", ", "&amp;INDEX('Form Responses'!$R$1:$R$200,17)&amp;", "))),1,""))</f>
        <v/>
      </c>
      <c r="T263">
        <f>IF(Wizards!$A$18="","",IF(OR(ISNUMBER(SEARCH(", "&amp;$B263&amp;", ", ", "&amp;INDEX('Form Responses'!$I$1:$Q$200,18,$A263)&amp;", ")),ISNUMBER(SEARCH(", "&amp;$B263&amp;", ", ", "&amp;INDEX('Form Responses'!$R$1:$R$200,18)&amp;", "))),1,""))</f>
        <v/>
      </c>
      <c r="U263">
        <f>IF(Wizards!$A$19="","",IF(OR(ISNUMBER(SEARCH(", "&amp;$B263&amp;", ", ", "&amp;INDEX('Form Responses'!$I$1:$Q$200,19,$A263)&amp;", ")),ISNUMBER(SEARCH(", "&amp;$B263&amp;", ", ", "&amp;INDEX('Form Responses'!$R$1:$R$200,19)&amp;", "))),1,""))</f>
        <v/>
      </c>
      <c r="V263">
        <f>IF(Wizards!$A$20="","",IF(OR(ISNUMBER(SEARCH(", "&amp;$B263&amp;", ", ", "&amp;INDEX('Form Responses'!$I$1:$Q$200,20,$A263)&amp;", ")),ISNUMBER(SEARCH(", "&amp;$B263&amp;", ", ", "&amp;INDEX('Form Responses'!$R$1:$R$200,20)&amp;", "))),1,""))</f>
        <v/>
      </c>
      <c r="W263">
        <f>IF(Wizards!$A$21="","",IF(OR(ISNUMBER(SEARCH(", "&amp;$B263&amp;", ", ", "&amp;INDEX('Form Responses'!$I$1:$Q$200,21,$A263)&amp;", ")),ISNUMBER(SEARCH(", "&amp;$B263&amp;", ", ", "&amp;INDEX('Form Responses'!$R$1:$R$200,21)&amp;", "))),1,""))</f>
        <v/>
      </c>
      <c r="X263">
        <f>IF(Wizards!$A$22="","",IF(OR(ISNUMBER(SEARCH(", "&amp;$B263&amp;", ", ", "&amp;INDEX('Form Responses'!$I$1:$Q$200,22,$A263)&amp;", ")),ISNUMBER(SEARCH(", "&amp;$B263&amp;", ", ", "&amp;INDEX('Form Responses'!$R$1:$R$200,22)&amp;", "))),1,""))</f>
        <v/>
      </c>
      <c r="Y263">
        <f>IF(Wizards!$A$23="","",IF(OR(ISNUMBER(SEARCH(", "&amp;$B263&amp;", ", ", "&amp;INDEX('Form Responses'!$I$1:$Q$200,23,$A263)&amp;", ")),ISNUMBER(SEARCH(", "&amp;$B263&amp;", ", ", "&amp;INDEX('Form Responses'!$R$1:$R$200,23)&amp;", "))),1,""))</f>
        <v/>
      </c>
      <c r="Z263">
        <f>IF(Wizards!$A$24="","",IF(OR(ISNUMBER(SEARCH(", "&amp;$B263&amp;", ", ", "&amp;INDEX('Form Responses'!$I$1:$Q$200,24,$A263)&amp;", ")),ISNUMBER(SEARCH(", "&amp;$B263&amp;", ", ", "&amp;INDEX('Form Responses'!$R$1:$R$200,24)&amp;", "))),1,""))</f>
        <v/>
      </c>
      <c r="AA263">
        <f>IF(Wizards!$A$25="","",IF(OR(ISNUMBER(SEARCH(", "&amp;$B263&amp;", ", ", "&amp;INDEX('Form Responses'!$I$1:$Q$200,25,$A263)&amp;", ")),ISNUMBER(SEARCH(", "&amp;$B263&amp;", ", ", "&amp;INDEX('Form Responses'!$R$1:$R$200,25)&amp;", "))),1,""))</f>
        <v/>
      </c>
      <c r="AB263">
        <f>IF(D263=1,", "&amp;D$1,"")</f>
        <v/>
      </c>
      <c r="AC263">
        <f>IF(E263=1,", "&amp;E$1,"")</f>
        <v/>
      </c>
      <c r="AD263">
        <f>IF(F263=1,", "&amp;F$1,"")</f>
        <v/>
      </c>
      <c r="AE263">
        <f>IF(G263=1,", "&amp;G$1,"")</f>
        <v/>
      </c>
      <c r="AF263">
        <f>IF(H263=1,", "&amp;H$1,"")</f>
        <v/>
      </c>
      <c r="AG263">
        <f>IF(I263=1,", "&amp;I$1,"")</f>
        <v/>
      </c>
      <c r="AH263">
        <f>IF(J263=1,", "&amp;J$1,"")</f>
        <v/>
      </c>
      <c r="AI263">
        <f>IF(K263=1,", "&amp;K$1,"")</f>
        <v/>
      </c>
      <c r="AJ263">
        <f>IF(L263=1,", "&amp;L$1,"")</f>
        <v/>
      </c>
      <c r="AK263">
        <f>IF(M263=1,", "&amp;M$1,"")</f>
        <v/>
      </c>
      <c r="AL263">
        <f>IF(N263=1,", "&amp;N$1,"")</f>
        <v/>
      </c>
      <c r="AM263">
        <f>IF(O263=1,", "&amp;O$1,"")</f>
        <v/>
      </c>
      <c r="AN263">
        <f>IF(P263=1,", "&amp;P$1,"")</f>
        <v/>
      </c>
      <c r="AO263">
        <f>IF(Q263=1,", "&amp;Q$1,"")</f>
        <v/>
      </c>
      <c r="AP263">
        <f>IF(R263=1,", "&amp;R$1,"")</f>
        <v/>
      </c>
      <c r="AQ263">
        <f>IF(S263=1,", "&amp;S$1,"")</f>
        <v/>
      </c>
      <c r="AR263">
        <f>IF(T263=1,", "&amp;T$1,"")</f>
        <v/>
      </c>
      <c r="AS263">
        <f>IF(U263=1,", "&amp;U$1,"")</f>
        <v/>
      </c>
      <c r="AT263">
        <f>IF(V263=1,", "&amp;V$1,"")</f>
        <v/>
      </c>
      <c r="AU263">
        <f>IF(W263=1,", "&amp;W$1,"")</f>
        <v/>
      </c>
      <c r="AV263">
        <f>IF(X263=1,", "&amp;X$1,"")</f>
        <v/>
      </c>
      <c r="AW263">
        <f>IF(Y263=1,", "&amp;Y$1,"")</f>
        <v/>
      </c>
      <c r="AX263">
        <f>IF(Z263=1,", "&amp;Z$1,"")</f>
        <v/>
      </c>
      <c r="AY263">
        <f>IF(AA263=1,", "&amp;AA$1,"")</f>
        <v/>
      </c>
      <c r="AZ263">
        <f>MID($AB263&amp;$AC263&amp;$AD263&amp;$AE263&amp;$AF263&amp;$AG263&amp;$AH263&amp;$AI263&amp;$AJ263&amp;$AK263&amp;$AL263&amp;$AM263&amp;$AN263&amp;$AO263&amp;$AP263&amp;$AQ263&amp;$AR263&amp;$AS263&amp;$AT263&amp;$AU263&amp;$AV263&amp;$AW263&amp;$AX263&amp;$AY263,3,32767)</f>
        <v/>
      </c>
      <c r="BA263">
        <f>COUNT($D263:$AA263)</f>
        <v/>
      </c>
    </row>
    <row r="264">
      <c r="A264" t="n">
        <v>6</v>
      </c>
      <c r="B264" t="inlineStr">
        <is>
          <t>Investiture of Flame</t>
        </is>
      </c>
      <c r="C264" t="inlineStr">
        <is>
          <t>Transmutation</t>
        </is>
      </c>
      <c r="D264">
        <f>IF(Wizards!$A$2="","",IF(OR(ISNUMBER(SEARCH(", "&amp;$B264&amp;", ", ", "&amp;INDEX('Form Responses'!$I$1:$Q$200,2,$A264)&amp;", ")),ISNUMBER(SEARCH(", "&amp;$B264&amp;", ", ", "&amp;INDEX('Form Responses'!$R$1:$R$200,2)&amp;", "))),1,""))</f>
        <v/>
      </c>
      <c r="E264">
        <f>IF(Wizards!$A$3="","",IF(OR(ISNUMBER(SEARCH(", "&amp;$B264&amp;", ", ", "&amp;INDEX('Form Responses'!$I$1:$Q$200,3,$A264)&amp;", ")),ISNUMBER(SEARCH(", "&amp;$B264&amp;", ", ", "&amp;INDEX('Form Responses'!$R$1:$R$200,3)&amp;", "))),1,""))</f>
        <v/>
      </c>
      <c r="F264">
        <f>IF(Wizards!$A$4="","",IF(OR(ISNUMBER(SEARCH(", "&amp;$B264&amp;", ", ", "&amp;INDEX('Form Responses'!$I$1:$Q$200,4,$A264)&amp;", ")),ISNUMBER(SEARCH(", "&amp;$B264&amp;", ", ", "&amp;INDEX('Form Responses'!$R$1:$R$200,4)&amp;", "))),1,""))</f>
        <v/>
      </c>
      <c r="G264">
        <f>IF(Wizards!$A$5="","",IF(OR(ISNUMBER(SEARCH(", "&amp;$B264&amp;", ", ", "&amp;INDEX('Form Responses'!$I$1:$Q$200,5,$A264)&amp;", ")),ISNUMBER(SEARCH(", "&amp;$B264&amp;", ", ", "&amp;INDEX('Form Responses'!$R$1:$R$200,5)&amp;", "))),1,""))</f>
        <v/>
      </c>
      <c r="H264">
        <f>IF(Wizards!$A$6="","",IF(OR(ISNUMBER(SEARCH(", "&amp;$B264&amp;", ", ", "&amp;INDEX('Form Responses'!$I$1:$Q$200,6,$A264)&amp;", ")),ISNUMBER(SEARCH(", "&amp;$B264&amp;", ", ", "&amp;INDEX('Form Responses'!$R$1:$R$200,6)&amp;", "))),1,""))</f>
        <v/>
      </c>
      <c r="I264">
        <f>IF(Wizards!$A$7="","",IF(OR(ISNUMBER(SEARCH(", "&amp;$B264&amp;", ", ", "&amp;INDEX('Form Responses'!$I$1:$Q$200,7,$A264)&amp;", ")),ISNUMBER(SEARCH(", "&amp;$B264&amp;", ", ", "&amp;INDEX('Form Responses'!$R$1:$R$200,7)&amp;", "))),1,""))</f>
        <v/>
      </c>
      <c r="J264">
        <f>IF(Wizards!$A$8="","",IF(OR(ISNUMBER(SEARCH(", "&amp;$B264&amp;", ", ", "&amp;INDEX('Form Responses'!$I$1:$Q$200,8,$A264)&amp;", ")),ISNUMBER(SEARCH(", "&amp;$B264&amp;", ", ", "&amp;INDEX('Form Responses'!$R$1:$R$200,8)&amp;", "))),1,""))</f>
        <v/>
      </c>
      <c r="K264">
        <f>IF(Wizards!$A$9="","",IF(OR(ISNUMBER(SEARCH(", "&amp;$B264&amp;", ", ", "&amp;INDEX('Form Responses'!$I$1:$Q$200,9,$A264)&amp;", ")),ISNUMBER(SEARCH(", "&amp;$B264&amp;", ", ", "&amp;INDEX('Form Responses'!$R$1:$R$200,9)&amp;", "))),1,""))</f>
        <v/>
      </c>
      <c r="L264">
        <f>IF(Wizards!$A$10="","",IF(OR(ISNUMBER(SEARCH(", "&amp;$B264&amp;", ", ", "&amp;INDEX('Form Responses'!$I$1:$Q$200,10,$A264)&amp;", ")),ISNUMBER(SEARCH(", "&amp;$B264&amp;", ", ", "&amp;INDEX('Form Responses'!$R$1:$R$200,10)&amp;", "))),1,""))</f>
        <v/>
      </c>
      <c r="M264">
        <f>IF(Wizards!$A$11="","",IF(OR(ISNUMBER(SEARCH(", "&amp;$B264&amp;", ", ", "&amp;INDEX('Form Responses'!$I$1:$Q$200,11,$A264)&amp;", ")),ISNUMBER(SEARCH(", "&amp;$B264&amp;", ", ", "&amp;INDEX('Form Responses'!$R$1:$R$200,11)&amp;", "))),1,""))</f>
        <v/>
      </c>
      <c r="N264">
        <f>IF(Wizards!$A$12="","",IF(OR(ISNUMBER(SEARCH(", "&amp;$B264&amp;", ", ", "&amp;INDEX('Form Responses'!$I$1:$Q$200,12,$A264)&amp;", ")),ISNUMBER(SEARCH(", "&amp;$B264&amp;", ", ", "&amp;INDEX('Form Responses'!$R$1:$R$200,12)&amp;", "))),1,""))</f>
        <v/>
      </c>
      <c r="O264">
        <f>IF(Wizards!$A$13="","",IF(OR(ISNUMBER(SEARCH(", "&amp;$B264&amp;", ", ", "&amp;INDEX('Form Responses'!$I$1:$Q$200,13,$A264)&amp;", ")),ISNUMBER(SEARCH(", "&amp;$B264&amp;", ", ", "&amp;INDEX('Form Responses'!$R$1:$R$200,13)&amp;", "))),1,""))</f>
        <v/>
      </c>
      <c r="P264">
        <f>IF(Wizards!$A$14="","",IF(OR(ISNUMBER(SEARCH(", "&amp;$B264&amp;", ", ", "&amp;INDEX('Form Responses'!$I$1:$Q$200,14,$A264)&amp;", ")),ISNUMBER(SEARCH(", "&amp;$B264&amp;", ", ", "&amp;INDEX('Form Responses'!$R$1:$R$200,14)&amp;", "))),1,""))</f>
        <v/>
      </c>
      <c r="Q264">
        <f>IF(Wizards!$A$15="","",IF(OR(ISNUMBER(SEARCH(", "&amp;$B264&amp;", ", ", "&amp;INDEX('Form Responses'!$I$1:$Q$200,15,$A264)&amp;", ")),ISNUMBER(SEARCH(", "&amp;$B264&amp;", ", ", "&amp;INDEX('Form Responses'!$R$1:$R$200,15)&amp;", "))),1,""))</f>
        <v/>
      </c>
      <c r="R264">
        <f>IF(Wizards!$A$16="","",IF(OR(ISNUMBER(SEARCH(", "&amp;$B264&amp;", ", ", "&amp;INDEX('Form Responses'!$I$1:$Q$200,16,$A264)&amp;", ")),ISNUMBER(SEARCH(", "&amp;$B264&amp;", ", ", "&amp;INDEX('Form Responses'!$R$1:$R$200,16)&amp;", "))),1,""))</f>
        <v/>
      </c>
      <c r="S264">
        <f>IF(Wizards!$A$17="","",IF(OR(ISNUMBER(SEARCH(", "&amp;$B264&amp;", ", ", "&amp;INDEX('Form Responses'!$I$1:$Q$200,17,$A264)&amp;", ")),ISNUMBER(SEARCH(", "&amp;$B264&amp;", ", ", "&amp;INDEX('Form Responses'!$R$1:$R$200,17)&amp;", "))),1,""))</f>
        <v/>
      </c>
      <c r="T264">
        <f>IF(Wizards!$A$18="","",IF(OR(ISNUMBER(SEARCH(", "&amp;$B264&amp;", ", ", "&amp;INDEX('Form Responses'!$I$1:$Q$200,18,$A264)&amp;", ")),ISNUMBER(SEARCH(", "&amp;$B264&amp;", ", ", "&amp;INDEX('Form Responses'!$R$1:$R$200,18)&amp;", "))),1,""))</f>
        <v/>
      </c>
      <c r="U264">
        <f>IF(Wizards!$A$19="","",IF(OR(ISNUMBER(SEARCH(", "&amp;$B264&amp;", ", ", "&amp;INDEX('Form Responses'!$I$1:$Q$200,19,$A264)&amp;", ")),ISNUMBER(SEARCH(", "&amp;$B264&amp;", ", ", "&amp;INDEX('Form Responses'!$R$1:$R$200,19)&amp;", "))),1,""))</f>
        <v/>
      </c>
      <c r="V264">
        <f>IF(Wizards!$A$20="","",IF(OR(ISNUMBER(SEARCH(", "&amp;$B264&amp;", ", ", "&amp;INDEX('Form Responses'!$I$1:$Q$200,20,$A264)&amp;", ")),ISNUMBER(SEARCH(", "&amp;$B264&amp;", ", ", "&amp;INDEX('Form Responses'!$R$1:$R$200,20)&amp;", "))),1,""))</f>
        <v/>
      </c>
      <c r="W264">
        <f>IF(Wizards!$A$21="","",IF(OR(ISNUMBER(SEARCH(", "&amp;$B264&amp;", ", ", "&amp;INDEX('Form Responses'!$I$1:$Q$200,21,$A264)&amp;", ")),ISNUMBER(SEARCH(", "&amp;$B264&amp;", ", ", "&amp;INDEX('Form Responses'!$R$1:$R$200,21)&amp;", "))),1,""))</f>
        <v/>
      </c>
      <c r="X264">
        <f>IF(Wizards!$A$22="","",IF(OR(ISNUMBER(SEARCH(", "&amp;$B264&amp;", ", ", "&amp;INDEX('Form Responses'!$I$1:$Q$200,22,$A264)&amp;", ")),ISNUMBER(SEARCH(", "&amp;$B264&amp;", ", ", "&amp;INDEX('Form Responses'!$R$1:$R$200,22)&amp;", "))),1,""))</f>
        <v/>
      </c>
      <c r="Y264">
        <f>IF(Wizards!$A$23="","",IF(OR(ISNUMBER(SEARCH(", "&amp;$B264&amp;", ", ", "&amp;INDEX('Form Responses'!$I$1:$Q$200,23,$A264)&amp;", ")),ISNUMBER(SEARCH(", "&amp;$B264&amp;", ", ", "&amp;INDEX('Form Responses'!$R$1:$R$200,23)&amp;", "))),1,""))</f>
        <v/>
      </c>
      <c r="Z264">
        <f>IF(Wizards!$A$24="","",IF(OR(ISNUMBER(SEARCH(", "&amp;$B264&amp;", ", ", "&amp;INDEX('Form Responses'!$I$1:$Q$200,24,$A264)&amp;", ")),ISNUMBER(SEARCH(", "&amp;$B264&amp;", ", ", "&amp;INDEX('Form Responses'!$R$1:$R$200,24)&amp;", "))),1,""))</f>
        <v/>
      </c>
      <c r="AA264">
        <f>IF(Wizards!$A$25="","",IF(OR(ISNUMBER(SEARCH(", "&amp;$B264&amp;", ", ", "&amp;INDEX('Form Responses'!$I$1:$Q$200,25,$A264)&amp;", ")),ISNUMBER(SEARCH(", "&amp;$B264&amp;", ", ", "&amp;INDEX('Form Responses'!$R$1:$R$200,25)&amp;", "))),1,""))</f>
        <v/>
      </c>
      <c r="AB264">
        <f>IF(D264=1,", "&amp;D$1,"")</f>
        <v/>
      </c>
      <c r="AC264">
        <f>IF(E264=1,", "&amp;E$1,"")</f>
        <v/>
      </c>
      <c r="AD264">
        <f>IF(F264=1,", "&amp;F$1,"")</f>
        <v/>
      </c>
      <c r="AE264">
        <f>IF(G264=1,", "&amp;G$1,"")</f>
        <v/>
      </c>
      <c r="AF264">
        <f>IF(H264=1,", "&amp;H$1,"")</f>
        <v/>
      </c>
      <c r="AG264">
        <f>IF(I264=1,", "&amp;I$1,"")</f>
        <v/>
      </c>
      <c r="AH264">
        <f>IF(J264=1,", "&amp;J$1,"")</f>
        <v/>
      </c>
      <c r="AI264">
        <f>IF(K264=1,", "&amp;K$1,"")</f>
        <v/>
      </c>
      <c r="AJ264">
        <f>IF(L264=1,", "&amp;L$1,"")</f>
        <v/>
      </c>
      <c r="AK264">
        <f>IF(M264=1,", "&amp;M$1,"")</f>
        <v/>
      </c>
      <c r="AL264">
        <f>IF(N264=1,", "&amp;N$1,"")</f>
        <v/>
      </c>
      <c r="AM264">
        <f>IF(O264=1,", "&amp;O$1,"")</f>
        <v/>
      </c>
      <c r="AN264">
        <f>IF(P264=1,", "&amp;P$1,"")</f>
        <v/>
      </c>
      <c r="AO264">
        <f>IF(Q264=1,", "&amp;Q$1,"")</f>
        <v/>
      </c>
      <c r="AP264">
        <f>IF(R264=1,", "&amp;R$1,"")</f>
        <v/>
      </c>
      <c r="AQ264">
        <f>IF(S264=1,", "&amp;S$1,"")</f>
        <v/>
      </c>
      <c r="AR264">
        <f>IF(T264=1,", "&amp;T$1,"")</f>
        <v/>
      </c>
      <c r="AS264">
        <f>IF(U264=1,", "&amp;U$1,"")</f>
        <v/>
      </c>
      <c r="AT264">
        <f>IF(V264=1,", "&amp;V$1,"")</f>
        <v/>
      </c>
      <c r="AU264">
        <f>IF(W264=1,", "&amp;W$1,"")</f>
        <v/>
      </c>
      <c r="AV264">
        <f>IF(X264=1,", "&amp;X$1,"")</f>
        <v/>
      </c>
      <c r="AW264">
        <f>IF(Y264=1,", "&amp;Y$1,"")</f>
        <v/>
      </c>
      <c r="AX264">
        <f>IF(Z264=1,", "&amp;Z$1,"")</f>
        <v/>
      </c>
      <c r="AY264">
        <f>IF(AA264=1,", "&amp;AA$1,"")</f>
        <v/>
      </c>
      <c r="AZ264">
        <f>MID($AB264&amp;$AC264&amp;$AD264&amp;$AE264&amp;$AF264&amp;$AG264&amp;$AH264&amp;$AI264&amp;$AJ264&amp;$AK264&amp;$AL264&amp;$AM264&amp;$AN264&amp;$AO264&amp;$AP264&amp;$AQ264&amp;$AR264&amp;$AS264&amp;$AT264&amp;$AU264&amp;$AV264&amp;$AW264&amp;$AX264&amp;$AY264,3,32767)</f>
        <v/>
      </c>
      <c r="BA264">
        <f>COUNT($D264:$AA264)</f>
        <v/>
      </c>
    </row>
    <row r="265">
      <c r="A265" t="n">
        <v>6</v>
      </c>
      <c r="B265" t="inlineStr">
        <is>
          <t>Investiture of Ice</t>
        </is>
      </c>
      <c r="C265" t="inlineStr">
        <is>
          <t>Transmutation</t>
        </is>
      </c>
      <c r="D265">
        <f>IF(Wizards!$A$2="","",IF(OR(ISNUMBER(SEARCH(", "&amp;$B265&amp;", ", ", "&amp;INDEX('Form Responses'!$I$1:$Q$200,2,$A265)&amp;", ")),ISNUMBER(SEARCH(", "&amp;$B265&amp;", ", ", "&amp;INDEX('Form Responses'!$R$1:$R$200,2)&amp;", "))),1,""))</f>
        <v/>
      </c>
      <c r="E265">
        <f>IF(Wizards!$A$3="","",IF(OR(ISNUMBER(SEARCH(", "&amp;$B265&amp;", ", ", "&amp;INDEX('Form Responses'!$I$1:$Q$200,3,$A265)&amp;", ")),ISNUMBER(SEARCH(", "&amp;$B265&amp;", ", ", "&amp;INDEX('Form Responses'!$R$1:$R$200,3)&amp;", "))),1,""))</f>
        <v/>
      </c>
      <c r="F265">
        <f>IF(Wizards!$A$4="","",IF(OR(ISNUMBER(SEARCH(", "&amp;$B265&amp;", ", ", "&amp;INDEX('Form Responses'!$I$1:$Q$200,4,$A265)&amp;", ")),ISNUMBER(SEARCH(", "&amp;$B265&amp;", ", ", "&amp;INDEX('Form Responses'!$R$1:$R$200,4)&amp;", "))),1,""))</f>
        <v/>
      </c>
      <c r="G265">
        <f>IF(Wizards!$A$5="","",IF(OR(ISNUMBER(SEARCH(", "&amp;$B265&amp;", ", ", "&amp;INDEX('Form Responses'!$I$1:$Q$200,5,$A265)&amp;", ")),ISNUMBER(SEARCH(", "&amp;$B265&amp;", ", ", "&amp;INDEX('Form Responses'!$R$1:$R$200,5)&amp;", "))),1,""))</f>
        <v/>
      </c>
      <c r="H265">
        <f>IF(Wizards!$A$6="","",IF(OR(ISNUMBER(SEARCH(", "&amp;$B265&amp;", ", ", "&amp;INDEX('Form Responses'!$I$1:$Q$200,6,$A265)&amp;", ")),ISNUMBER(SEARCH(", "&amp;$B265&amp;", ", ", "&amp;INDEX('Form Responses'!$R$1:$R$200,6)&amp;", "))),1,""))</f>
        <v/>
      </c>
      <c r="I265">
        <f>IF(Wizards!$A$7="","",IF(OR(ISNUMBER(SEARCH(", "&amp;$B265&amp;", ", ", "&amp;INDEX('Form Responses'!$I$1:$Q$200,7,$A265)&amp;", ")),ISNUMBER(SEARCH(", "&amp;$B265&amp;", ", ", "&amp;INDEX('Form Responses'!$R$1:$R$200,7)&amp;", "))),1,""))</f>
        <v/>
      </c>
      <c r="J265">
        <f>IF(Wizards!$A$8="","",IF(OR(ISNUMBER(SEARCH(", "&amp;$B265&amp;", ", ", "&amp;INDEX('Form Responses'!$I$1:$Q$200,8,$A265)&amp;", ")),ISNUMBER(SEARCH(", "&amp;$B265&amp;", ", ", "&amp;INDEX('Form Responses'!$R$1:$R$200,8)&amp;", "))),1,""))</f>
        <v/>
      </c>
      <c r="K265">
        <f>IF(Wizards!$A$9="","",IF(OR(ISNUMBER(SEARCH(", "&amp;$B265&amp;", ", ", "&amp;INDEX('Form Responses'!$I$1:$Q$200,9,$A265)&amp;", ")),ISNUMBER(SEARCH(", "&amp;$B265&amp;", ", ", "&amp;INDEX('Form Responses'!$R$1:$R$200,9)&amp;", "))),1,""))</f>
        <v/>
      </c>
      <c r="L265">
        <f>IF(Wizards!$A$10="","",IF(OR(ISNUMBER(SEARCH(", "&amp;$B265&amp;", ", ", "&amp;INDEX('Form Responses'!$I$1:$Q$200,10,$A265)&amp;", ")),ISNUMBER(SEARCH(", "&amp;$B265&amp;", ", ", "&amp;INDEX('Form Responses'!$R$1:$R$200,10)&amp;", "))),1,""))</f>
        <v/>
      </c>
      <c r="M265">
        <f>IF(Wizards!$A$11="","",IF(OR(ISNUMBER(SEARCH(", "&amp;$B265&amp;", ", ", "&amp;INDEX('Form Responses'!$I$1:$Q$200,11,$A265)&amp;", ")),ISNUMBER(SEARCH(", "&amp;$B265&amp;", ", ", "&amp;INDEX('Form Responses'!$R$1:$R$200,11)&amp;", "))),1,""))</f>
        <v/>
      </c>
      <c r="N265">
        <f>IF(Wizards!$A$12="","",IF(OR(ISNUMBER(SEARCH(", "&amp;$B265&amp;", ", ", "&amp;INDEX('Form Responses'!$I$1:$Q$200,12,$A265)&amp;", ")),ISNUMBER(SEARCH(", "&amp;$B265&amp;", ", ", "&amp;INDEX('Form Responses'!$R$1:$R$200,12)&amp;", "))),1,""))</f>
        <v/>
      </c>
      <c r="O265">
        <f>IF(Wizards!$A$13="","",IF(OR(ISNUMBER(SEARCH(", "&amp;$B265&amp;", ", ", "&amp;INDEX('Form Responses'!$I$1:$Q$200,13,$A265)&amp;", ")),ISNUMBER(SEARCH(", "&amp;$B265&amp;", ", ", "&amp;INDEX('Form Responses'!$R$1:$R$200,13)&amp;", "))),1,""))</f>
        <v/>
      </c>
      <c r="P265">
        <f>IF(Wizards!$A$14="","",IF(OR(ISNUMBER(SEARCH(", "&amp;$B265&amp;", ", ", "&amp;INDEX('Form Responses'!$I$1:$Q$200,14,$A265)&amp;", ")),ISNUMBER(SEARCH(", "&amp;$B265&amp;", ", ", "&amp;INDEX('Form Responses'!$R$1:$R$200,14)&amp;", "))),1,""))</f>
        <v/>
      </c>
      <c r="Q265">
        <f>IF(Wizards!$A$15="","",IF(OR(ISNUMBER(SEARCH(", "&amp;$B265&amp;", ", ", "&amp;INDEX('Form Responses'!$I$1:$Q$200,15,$A265)&amp;", ")),ISNUMBER(SEARCH(", "&amp;$B265&amp;", ", ", "&amp;INDEX('Form Responses'!$R$1:$R$200,15)&amp;", "))),1,""))</f>
        <v/>
      </c>
      <c r="R265">
        <f>IF(Wizards!$A$16="","",IF(OR(ISNUMBER(SEARCH(", "&amp;$B265&amp;", ", ", "&amp;INDEX('Form Responses'!$I$1:$Q$200,16,$A265)&amp;", ")),ISNUMBER(SEARCH(", "&amp;$B265&amp;", ", ", "&amp;INDEX('Form Responses'!$R$1:$R$200,16)&amp;", "))),1,""))</f>
        <v/>
      </c>
      <c r="S265">
        <f>IF(Wizards!$A$17="","",IF(OR(ISNUMBER(SEARCH(", "&amp;$B265&amp;", ", ", "&amp;INDEX('Form Responses'!$I$1:$Q$200,17,$A265)&amp;", ")),ISNUMBER(SEARCH(", "&amp;$B265&amp;", ", ", "&amp;INDEX('Form Responses'!$R$1:$R$200,17)&amp;", "))),1,""))</f>
        <v/>
      </c>
      <c r="T265">
        <f>IF(Wizards!$A$18="","",IF(OR(ISNUMBER(SEARCH(", "&amp;$B265&amp;", ", ", "&amp;INDEX('Form Responses'!$I$1:$Q$200,18,$A265)&amp;", ")),ISNUMBER(SEARCH(", "&amp;$B265&amp;", ", ", "&amp;INDEX('Form Responses'!$R$1:$R$200,18)&amp;", "))),1,""))</f>
        <v/>
      </c>
      <c r="U265">
        <f>IF(Wizards!$A$19="","",IF(OR(ISNUMBER(SEARCH(", "&amp;$B265&amp;", ", ", "&amp;INDEX('Form Responses'!$I$1:$Q$200,19,$A265)&amp;", ")),ISNUMBER(SEARCH(", "&amp;$B265&amp;", ", ", "&amp;INDEX('Form Responses'!$R$1:$R$200,19)&amp;", "))),1,""))</f>
        <v/>
      </c>
      <c r="V265">
        <f>IF(Wizards!$A$20="","",IF(OR(ISNUMBER(SEARCH(", "&amp;$B265&amp;", ", ", "&amp;INDEX('Form Responses'!$I$1:$Q$200,20,$A265)&amp;", ")),ISNUMBER(SEARCH(", "&amp;$B265&amp;", ", ", "&amp;INDEX('Form Responses'!$R$1:$R$200,20)&amp;", "))),1,""))</f>
        <v/>
      </c>
      <c r="W265">
        <f>IF(Wizards!$A$21="","",IF(OR(ISNUMBER(SEARCH(", "&amp;$B265&amp;", ", ", "&amp;INDEX('Form Responses'!$I$1:$Q$200,21,$A265)&amp;", ")),ISNUMBER(SEARCH(", "&amp;$B265&amp;", ", ", "&amp;INDEX('Form Responses'!$R$1:$R$200,21)&amp;", "))),1,""))</f>
        <v/>
      </c>
      <c r="X265">
        <f>IF(Wizards!$A$22="","",IF(OR(ISNUMBER(SEARCH(", "&amp;$B265&amp;", ", ", "&amp;INDEX('Form Responses'!$I$1:$Q$200,22,$A265)&amp;", ")),ISNUMBER(SEARCH(", "&amp;$B265&amp;", ", ", "&amp;INDEX('Form Responses'!$R$1:$R$200,22)&amp;", "))),1,""))</f>
        <v/>
      </c>
      <c r="Y265">
        <f>IF(Wizards!$A$23="","",IF(OR(ISNUMBER(SEARCH(", "&amp;$B265&amp;", ", ", "&amp;INDEX('Form Responses'!$I$1:$Q$200,23,$A265)&amp;", ")),ISNUMBER(SEARCH(", "&amp;$B265&amp;", ", ", "&amp;INDEX('Form Responses'!$R$1:$R$200,23)&amp;", "))),1,""))</f>
        <v/>
      </c>
      <c r="Z265">
        <f>IF(Wizards!$A$24="","",IF(OR(ISNUMBER(SEARCH(", "&amp;$B265&amp;", ", ", "&amp;INDEX('Form Responses'!$I$1:$Q$200,24,$A265)&amp;", ")),ISNUMBER(SEARCH(", "&amp;$B265&amp;", ", ", "&amp;INDEX('Form Responses'!$R$1:$R$200,24)&amp;", "))),1,""))</f>
        <v/>
      </c>
      <c r="AA265">
        <f>IF(Wizards!$A$25="","",IF(OR(ISNUMBER(SEARCH(", "&amp;$B265&amp;", ", ", "&amp;INDEX('Form Responses'!$I$1:$Q$200,25,$A265)&amp;", ")),ISNUMBER(SEARCH(", "&amp;$B265&amp;", ", ", "&amp;INDEX('Form Responses'!$R$1:$R$200,25)&amp;", "))),1,""))</f>
        <v/>
      </c>
      <c r="AB265">
        <f>IF(D265=1,", "&amp;D$1,"")</f>
        <v/>
      </c>
      <c r="AC265">
        <f>IF(E265=1,", "&amp;E$1,"")</f>
        <v/>
      </c>
      <c r="AD265">
        <f>IF(F265=1,", "&amp;F$1,"")</f>
        <v/>
      </c>
      <c r="AE265">
        <f>IF(G265=1,", "&amp;G$1,"")</f>
        <v/>
      </c>
      <c r="AF265">
        <f>IF(H265=1,", "&amp;H$1,"")</f>
        <v/>
      </c>
      <c r="AG265">
        <f>IF(I265=1,", "&amp;I$1,"")</f>
        <v/>
      </c>
      <c r="AH265">
        <f>IF(J265=1,", "&amp;J$1,"")</f>
        <v/>
      </c>
      <c r="AI265">
        <f>IF(K265=1,", "&amp;K$1,"")</f>
        <v/>
      </c>
      <c r="AJ265">
        <f>IF(L265=1,", "&amp;L$1,"")</f>
        <v/>
      </c>
      <c r="AK265">
        <f>IF(M265=1,", "&amp;M$1,"")</f>
        <v/>
      </c>
      <c r="AL265">
        <f>IF(N265=1,", "&amp;N$1,"")</f>
        <v/>
      </c>
      <c r="AM265">
        <f>IF(O265=1,", "&amp;O$1,"")</f>
        <v/>
      </c>
      <c r="AN265">
        <f>IF(P265=1,", "&amp;P$1,"")</f>
        <v/>
      </c>
      <c r="AO265">
        <f>IF(Q265=1,", "&amp;Q$1,"")</f>
        <v/>
      </c>
      <c r="AP265">
        <f>IF(R265=1,", "&amp;R$1,"")</f>
        <v/>
      </c>
      <c r="AQ265">
        <f>IF(S265=1,", "&amp;S$1,"")</f>
        <v/>
      </c>
      <c r="AR265">
        <f>IF(T265=1,", "&amp;T$1,"")</f>
        <v/>
      </c>
      <c r="AS265">
        <f>IF(U265=1,", "&amp;U$1,"")</f>
        <v/>
      </c>
      <c r="AT265">
        <f>IF(V265=1,", "&amp;V$1,"")</f>
        <v/>
      </c>
      <c r="AU265">
        <f>IF(W265=1,", "&amp;W$1,"")</f>
        <v/>
      </c>
      <c r="AV265">
        <f>IF(X265=1,", "&amp;X$1,"")</f>
        <v/>
      </c>
      <c r="AW265">
        <f>IF(Y265=1,", "&amp;Y$1,"")</f>
        <v/>
      </c>
      <c r="AX265">
        <f>IF(Z265=1,", "&amp;Z$1,"")</f>
        <v/>
      </c>
      <c r="AY265">
        <f>IF(AA265=1,", "&amp;AA$1,"")</f>
        <v/>
      </c>
      <c r="AZ265">
        <f>MID($AB265&amp;$AC265&amp;$AD265&amp;$AE265&amp;$AF265&amp;$AG265&amp;$AH265&amp;$AI265&amp;$AJ265&amp;$AK265&amp;$AL265&amp;$AM265&amp;$AN265&amp;$AO265&amp;$AP265&amp;$AQ265&amp;$AR265&amp;$AS265&amp;$AT265&amp;$AU265&amp;$AV265&amp;$AW265&amp;$AX265&amp;$AY265,3,32767)</f>
        <v/>
      </c>
      <c r="BA265">
        <f>COUNT($D265:$AA265)</f>
        <v/>
      </c>
    </row>
    <row r="266">
      <c r="A266" t="n">
        <v>6</v>
      </c>
      <c r="B266" t="inlineStr">
        <is>
          <t>Investiture of Stone</t>
        </is>
      </c>
      <c r="C266" t="inlineStr">
        <is>
          <t>Transmutation</t>
        </is>
      </c>
      <c r="D266">
        <f>IF(Wizards!$A$2="","",IF(OR(ISNUMBER(SEARCH(", "&amp;$B266&amp;", ", ", "&amp;INDEX('Form Responses'!$I$1:$Q$200,2,$A266)&amp;", ")),ISNUMBER(SEARCH(", "&amp;$B266&amp;", ", ", "&amp;INDEX('Form Responses'!$R$1:$R$200,2)&amp;", "))),1,""))</f>
        <v/>
      </c>
      <c r="E266">
        <f>IF(Wizards!$A$3="","",IF(OR(ISNUMBER(SEARCH(", "&amp;$B266&amp;", ", ", "&amp;INDEX('Form Responses'!$I$1:$Q$200,3,$A266)&amp;", ")),ISNUMBER(SEARCH(", "&amp;$B266&amp;", ", ", "&amp;INDEX('Form Responses'!$R$1:$R$200,3)&amp;", "))),1,""))</f>
        <v/>
      </c>
      <c r="F266">
        <f>IF(Wizards!$A$4="","",IF(OR(ISNUMBER(SEARCH(", "&amp;$B266&amp;", ", ", "&amp;INDEX('Form Responses'!$I$1:$Q$200,4,$A266)&amp;", ")),ISNUMBER(SEARCH(", "&amp;$B266&amp;", ", ", "&amp;INDEX('Form Responses'!$R$1:$R$200,4)&amp;", "))),1,""))</f>
        <v/>
      </c>
      <c r="G266">
        <f>IF(Wizards!$A$5="","",IF(OR(ISNUMBER(SEARCH(", "&amp;$B266&amp;", ", ", "&amp;INDEX('Form Responses'!$I$1:$Q$200,5,$A266)&amp;", ")),ISNUMBER(SEARCH(", "&amp;$B266&amp;", ", ", "&amp;INDEX('Form Responses'!$R$1:$R$200,5)&amp;", "))),1,""))</f>
        <v/>
      </c>
      <c r="H266">
        <f>IF(Wizards!$A$6="","",IF(OR(ISNUMBER(SEARCH(", "&amp;$B266&amp;", ", ", "&amp;INDEX('Form Responses'!$I$1:$Q$200,6,$A266)&amp;", ")),ISNUMBER(SEARCH(", "&amp;$B266&amp;", ", ", "&amp;INDEX('Form Responses'!$R$1:$R$200,6)&amp;", "))),1,""))</f>
        <v/>
      </c>
      <c r="I266">
        <f>IF(Wizards!$A$7="","",IF(OR(ISNUMBER(SEARCH(", "&amp;$B266&amp;", ", ", "&amp;INDEX('Form Responses'!$I$1:$Q$200,7,$A266)&amp;", ")),ISNUMBER(SEARCH(", "&amp;$B266&amp;", ", ", "&amp;INDEX('Form Responses'!$R$1:$R$200,7)&amp;", "))),1,""))</f>
        <v/>
      </c>
      <c r="J266">
        <f>IF(Wizards!$A$8="","",IF(OR(ISNUMBER(SEARCH(", "&amp;$B266&amp;", ", ", "&amp;INDEX('Form Responses'!$I$1:$Q$200,8,$A266)&amp;", ")),ISNUMBER(SEARCH(", "&amp;$B266&amp;", ", ", "&amp;INDEX('Form Responses'!$R$1:$R$200,8)&amp;", "))),1,""))</f>
        <v/>
      </c>
      <c r="K266">
        <f>IF(Wizards!$A$9="","",IF(OR(ISNUMBER(SEARCH(", "&amp;$B266&amp;", ", ", "&amp;INDEX('Form Responses'!$I$1:$Q$200,9,$A266)&amp;", ")),ISNUMBER(SEARCH(", "&amp;$B266&amp;", ", ", "&amp;INDEX('Form Responses'!$R$1:$R$200,9)&amp;", "))),1,""))</f>
        <v/>
      </c>
      <c r="L266">
        <f>IF(Wizards!$A$10="","",IF(OR(ISNUMBER(SEARCH(", "&amp;$B266&amp;", ", ", "&amp;INDEX('Form Responses'!$I$1:$Q$200,10,$A266)&amp;", ")),ISNUMBER(SEARCH(", "&amp;$B266&amp;", ", ", "&amp;INDEX('Form Responses'!$R$1:$R$200,10)&amp;", "))),1,""))</f>
        <v/>
      </c>
      <c r="M266">
        <f>IF(Wizards!$A$11="","",IF(OR(ISNUMBER(SEARCH(", "&amp;$B266&amp;", ", ", "&amp;INDEX('Form Responses'!$I$1:$Q$200,11,$A266)&amp;", ")),ISNUMBER(SEARCH(", "&amp;$B266&amp;", ", ", "&amp;INDEX('Form Responses'!$R$1:$R$200,11)&amp;", "))),1,""))</f>
        <v/>
      </c>
      <c r="N266">
        <f>IF(Wizards!$A$12="","",IF(OR(ISNUMBER(SEARCH(", "&amp;$B266&amp;", ", ", "&amp;INDEX('Form Responses'!$I$1:$Q$200,12,$A266)&amp;", ")),ISNUMBER(SEARCH(", "&amp;$B266&amp;", ", ", "&amp;INDEX('Form Responses'!$R$1:$R$200,12)&amp;", "))),1,""))</f>
        <v/>
      </c>
      <c r="O266">
        <f>IF(Wizards!$A$13="","",IF(OR(ISNUMBER(SEARCH(", "&amp;$B266&amp;", ", ", "&amp;INDEX('Form Responses'!$I$1:$Q$200,13,$A266)&amp;", ")),ISNUMBER(SEARCH(", "&amp;$B266&amp;", ", ", "&amp;INDEX('Form Responses'!$R$1:$R$200,13)&amp;", "))),1,""))</f>
        <v/>
      </c>
      <c r="P266">
        <f>IF(Wizards!$A$14="","",IF(OR(ISNUMBER(SEARCH(", "&amp;$B266&amp;", ", ", "&amp;INDEX('Form Responses'!$I$1:$Q$200,14,$A266)&amp;", ")),ISNUMBER(SEARCH(", "&amp;$B266&amp;", ", ", "&amp;INDEX('Form Responses'!$R$1:$R$200,14)&amp;", "))),1,""))</f>
        <v/>
      </c>
      <c r="Q266">
        <f>IF(Wizards!$A$15="","",IF(OR(ISNUMBER(SEARCH(", "&amp;$B266&amp;", ", ", "&amp;INDEX('Form Responses'!$I$1:$Q$200,15,$A266)&amp;", ")),ISNUMBER(SEARCH(", "&amp;$B266&amp;", ", ", "&amp;INDEX('Form Responses'!$R$1:$R$200,15)&amp;", "))),1,""))</f>
        <v/>
      </c>
      <c r="R266">
        <f>IF(Wizards!$A$16="","",IF(OR(ISNUMBER(SEARCH(", "&amp;$B266&amp;", ", ", "&amp;INDEX('Form Responses'!$I$1:$Q$200,16,$A266)&amp;", ")),ISNUMBER(SEARCH(", "&amp;$B266&amp;", ", ", "&amp;INDEX('Form Responses'!$R$1:$R$200,16)&amp;", "))),1,""))</f>
        <v/>
      </c>
      <c r="S266">
        <f>IF(Wizards!$A$17="","",IF(OR(ISNUMBER(SEARCH(", "&amp;$B266&amp;", ", ", "&amp;INDEX('Form Responses'!$I$1:$Q$200,17,$A266)&amp;", ")),ISNUMBER(SEARCH(", "&amp;$B266&amp;", ", ", "&amp;INDEX('Form Responses'!$R$1:$R$200,17)&amp;", "))),1,""))</f>
        <v/>
      </c>
      <c r="T266">
        <f>IF(Wizards!$A$18="","",IF(OR(ISNUMBER(SEARCH(", "&amp;$B266&amp;", ", ", "&amp;INDEX('Form Responses'!$I$1:$Q$200,18,$A266)&amp;", ")),ISNUMBER(SEARCH(", "&amp;$B266&amp;", ", ", "&amp;INDEX('Form Responses'!$R$1:$R$200,18)&amp;", "))),1,""))</f>
        <v/>
      </c>
      <c r="U266">
        <f>IF(Wizards!$A$19="","",IF(OR(ISNUMBER(SEARCH(", "&amp;$B266&amp;", ", ", "&amp;INDEX('Form Responses'!$I$1:$Q$200,19,$A266)&amp;", ")),ISNUMBER(SEARCH(", "&amp;$B266&amp;", ", ", "&amp;INDEX('Form Responses'!$R$1:$R$200,19)&amp;", "))),1,""))</f>
        <v/>
      </c>
      <c r="V266">
        <f>IF(Wizards!$A$20="","",IF(OR(ISNUMBER(SEARCH(", "&amp;$B266&amp;", ", ", "&amp;INDEX('Form Responses'!$I$1:$Q$200,20,$A266)&amp;", ")),ISNUMBER(SEARCH(", "&amp;$B266&amp;", ", ", "&amp;INDEX('Form Responses'!$R$1:$R$200,20)&amp;", "))),1,""))</f>
        <v/>
      </c>
      <c r="W266">
        <f>IF(Wizards!$A$21="","",IF(OR(ISNUMBER(SEARCH(", "&amp;$B266&amp;", ", ", "&amp;INDEX('Form Responses'!$I$1:$Q$200,21,$A266)&amp;", ")),ISNUMBER(SEARCH(", "&amp;$B266&amp;", ", ", "&amp;INDEX('Form Responses'!$R$1:$R$200,21)&amp;", "))),1,""))</f>
        <v/>
      </c>
      <c r="X266">
        <f>IF(Wizards!$A$22="","",IF(OR(ISNUMBER(SEARCH(", "&amp;$B266&amp;", ", ", "&amp;INDEX('Form Responses'!$I$1:$Q$200,22,$A266)&amp;", ")),ISNUMBER(SEARCH(", "&amp;$B266&amp;", ", ", "&amp;INDEX('Form Responses'!$R$1:$R$200,22)&amp;", "))),1,""))</f>
        <v/>
      </c>
      <c r="Y266">
        <f>IF(Wizards!$A$23="","",IF(OR(ISNUMBER(SEARCH(", "&amp;$B266&amp;", ", ", "&amp;INDEX('Form Responses'!$I$1:$Q$200,23,$A266)&amp;", ")),ISNUMBER(SEARCH(", "&amp;$B266&amp;", ", ", "&amp;INDEX('Form Responses'!$R$1:$R$200,23)&amp;", "))),1,""))</f>
        <v/>
      </c>
      <c r="Z266">
        <f>IF(Wizards!$A$24="","",IF(OR(ISNUMBER(SEARCH(", "&amp;$B266&amp;", ", ", "&amp;INDEX('Form Responses'!$I$1:$Q$200,24,$A266)&amp;", ")),ISNUMBER(SEARCH(", "&amp;$B266&amp;", ", ", "&amp;INDEX('Form Responses'!$R$1:$R$200,24)&amp;", "))),1,""))</f>
        <v/>
      </c>
      <c r="AA266">
        <f>IF(Wizards!$A$25="","",IF(OR(ISNUMBER(SEARCH(", "&amp;$B266&amp;", ", ", "&amp;INDEX('Form Responses'!$I$1:$Q$200,25,$A266)&amp;", ")),ISNUMBER(SEARCH(", "&amp;$B266&amp;", ", ", "&amp;INDEX('Form Responses'!$R$1:$R$200,25)&amp;", "))),1,""))</f>
        <v/>
      </c>
      <c r="AB266">
        <f>IF(D266=1,", "&amp;D$1,"")</f>
        <v/>
      </c>
      <c r="AC266">
        <f>IF(E266=1,", "&amp;E$1,"")</f>
        <v/>
      </c>
      <c r="AD266">
        <f>IF(F266=1,", "&amp;F$1,"")</f>
        <v/>
      </c>
      <c r="AE266">
        <f>IF(G266=1,", "&amp;G$1,"")</f>
        <v/>
      </c>
      <c r="AF266">
        <f>IF(H266=1,", "&amp;H$1,"")</f>
        <v/>
      </c>
      <c r="AG266">
        <f>IF(I266=1,", "&amp;I$1,"")</f>
        <v/>
      </c>
      <c r="AH266">
        <f>IF(J266=1,", "&amp;J$1,"")</f>
        <v/>
      </c>
      <c r="AI266">
        <f>IF(K266=1,", "&amp;K$1,"")</f>
        <v/>
      </c>
      <c r="AJ266">
        <f>IF(L266=1,", "&amp;L$1,"")</f>
        <v/>
      </c>
      <c r="AK266">
        <f>IF(M266=1,", "&amp;M$1,"")</f>
        <v/>
      </c>
      <c r="AL266">
        <f>IF(N266=1,", "&amp;N$1,"")</f>
        <v/>
      </c>
      <c r="AM266">
        <f>IF(O266=1,", "&amp;O$1,"")</f>
        <v/>
      </c>
      <c r="AN266">
        <f>IF(P266=1,", "&amp;P$1,"")</f>
        <v/>
      </c>
      <c r="AO266">
        <f>IF(Q266=1,", "&amp;Q$1,"")</f>
        <v/>
      </c>
      <c r="AP266">
        <f>IF(R266=1,", "&amp;R$1,"")</f>
        <v/>
      </c>
      <c r="AQ266">
        <f>IF(S266=1,", "&amp;S$1,"")</f>
        <v/>
      </c>
      <c r="AR266">
        <f>IF(T266=1,", "&amp;T$1,"")</f>
        <v/>
      </c>
      <c r="AS266">
        <f>IF(U266=1,", "&amp;U$1,"")</f>
        <v/>
      </c>
      <c r="AT266">
        <f>IF(V266=1,", "&amp;V$1,"")</f>
        <v/>
      </c>
      <c r="AU266">
        <f>IF(W266=1,", "&amp;W$1,"")</f>
        <v/>
      </c>
      <c r="AV266">
        <f>IF(X266=1,", "&amp;X$1,"")</f>
        <v/>
      </c>
      <c r="AW266">
        <f>IF(Y266=1,", "&amp;Y$1,"")</f>
        <v/>
      </c>
      <c r="AX266">
        <f>IF(Z266=1,", "&amp;Z$1,"")</f>
        <v/>
      </c>
      <c r="AY266">
        <f>IF(AA266=1,", "&amp;AA$1,"")</f>
        <v/>
      </c>
      <c r="AZ266">
        <f>MID($AB266&amp;$AC266&amp;$AD266&amp;$AE266&amp;$AF266&amp;$AG266&amp;$AH266&amp;$AI266&amp;$AJ266&amp;$AK266&amp;$AL266&amp;$AM266&amp;$AN266&amp;$AO266&amp;$AP266&amp;$AQ266&amp;$AR266&amp;$AS266&amp;$AT266&amp;$AU266&amp;$AV266&amp;$AW266&amp;$AX266&amp;$AY266,3,32767)</f>
        <v/>
      </c>
      <c r="BA266">
        <f>COUNT($D266:$AA266)</f>
        <v/>
      </c>
    </row>
    <row r="267">
      <c r="A267" t="n">
        <v>6</v>
      </c>
      <c r="B267" t="inlineStr">
        <is>
          <t>Investiture of Wind</t>
        </is>
      </c>
      <c r="C267" t="inlineStr">
        <is>
          <t>Transmutation</t>
        </is>
      </c>
      <c r="D267">
        <f>IF(Wizards!$A$2="","",IF(OR(ISNUMBER(SEARCH(", "&amp;$B267&amp;", ", ", "&amp;INDEX('Form Responses'!$I$1:$Q$200,2,$A267)&amp;", ")),ISNUMBER(SEARCH(", "&amp;$B267&amp;", ", ", "&amp;INDEX('Form Responses'!$R$1:$R$200,2)&amp;", "))),1,""))</f>
        <v/>
      </c>
      <c r="E267">
        <f>IF(Wizards!$A$3="","",IF(OR(ISNUMBER(SEARCH(", "&amp;$B267&amp;", ", ", "&amp;INDEX('Form Responses'!$I$1:$Q$200,3,$A267)&amp;", ")),ISNUMBER(SEARCH(", "&amp;$B267&amp;", ", ", "&amp;INDEX('Form Responses'!$R$1:$R$200,3)&amp;", "))),1,""))</f>
        <v/>
      </c>
      <c r="F267">
        <f>IF(Wizards!$A$4="","",IF(OR(ISNUMBER(SEARCH(", "&amp;$B267&amp;", ", ", "&amp;INDEX('Form Responses'!$I$1:$Q$200,4,$A267)&amp;", ")),ISNUMBER(SEARCH(", "&amp;$B267&amp;", ", ", "&amp;INDEX('Form Responses'!$R$1:$R$200,4)&amp;", "))),1,""))</f>
        <v/>
      </c>
      <c r="G267">
        <f>IF(Wizards!$A$5="","",IF(OR(ISNUMBER(SEARCH(", "&amp;$B267&amp;", ", ", "&amp;INDEX('Form Responses'!$I$1:$Q$200,5,$A267)&amp;", ")),ISNUMBER(SEARCH(", "&amp;$B267&amp;", ", ", "&amp;INDEX('Form Responses'!$R$1:$R$200,5)&amp;", "))),1,""))</f>
        <v/>
      </c>
      <c r="H267">
        <f>IF(Wizards!$A$6="","",IF(OR(ISNUMBER(SEARCH(", "&amp;$B267&amp;", ", ", "&amp;INDEX('Form Responses'!$I$1:$Q$200,6,$A267)&amp;", ")),ISNUMBER(SEARCH(", "&amp;$B267&amp;", ", ", "&amp;INDEX('Form Responses'!$R$1:$R$200,6)&amp;", "))),1,""))</f>
        <v/>
      </c>
      <c r="I267">
        <f>IF(Wizards!$A$7="","",IF(OR(ISNUMBER(SEARCH(", "&amp;$B267&amp;", ", ", "&amp;INDEX('Form Responses'!$I$1:$Q$200,7,$A267)&amp;", ")),ISNUMBER(SEARCH(", "&amp;$B267&amp;", ", ", "&amp;INDEX('Form Responses'!$R$1:$R$200,7)&amp;", "))),1,""))</f>
        <v/>
      </c>
      <c r="J267">
        <f>IF(Wizards!$A$8="","",IF(OR(ISNUMBER(SEARCH(", "&amp;$B267&amp;", ", ", "&amp;INDEX('Form Responses'!$I$1:$Q$200,8,$A267)&amp;", ")),ISNUMBER(SEARCH(", "&amp;$B267&amp;", ", ", "&amp;INDEX('Form Responses'!$R$1:$R$200,8)&amp;", "))),1,""))</f>
        <v/>
      </c>
      <c r="K267">
        <f>IF(Wizards!$A$9="","",IF(OR(ISNUMBER(SEARCH(", "&amp;$B267&amp;", ", ", "&amp;INDEX('Form Responses'!$I$1:$Q$200,9,$A267)&amp;", ")),ISNUMBER(SEARCH(", "&amp;$B267&amp;", ", ", "&amp;INDEX('Form Responses'!$R$1:$R$200,9)&amp;", "))),1,""))</f>
        <v/>
      </c>
      <c r="L267">
        <f>IF(Wizards!$A$10="","",IF(OR(ISNUMBER(SEARCH(", "&amp;$B267&amp;", ", ", "&amp;INDEX('Form Responses'!$I$1:$Q$200,10,$A267)&amp;", ")),ISNUMBER(SEARCH(", "&amp;$B267&amp;", ", ", "&amp;INDEX('Form Responses'!$R$1:$R$200,10)&amp;", "))),1,""))</f>
        <v/>
      </c>
      <c r="M267">
        <f>IF(Wizards!$A$11="","",IF(OR(ISNUMBER(SEARCH(", "&amp;$B267&amp;", ", ", "&amp;INDEX('Form Responses'!$I$1:$Q$200,11,$A267)&amp;", ")),ISNUMBER(SEARCH(", "&amp;$B267&amp;", ", ", "&amp;INDEX('Form Responses'!$R$1:$R$200,11)&amp;", "))),1,""))</f>
        <v/>
      </c>
      <c r="N267">
        <f>IF(Wizards!$A$12="","",IF(OR(ISNUMBER(SEARCH(", "&amp;$B267&amp;", ", ", "&amp;INDEX('Form Responses'!$I$1:$Q$200,12,$A267)&amp;", ")),ISNUMBER(SEARCH(", "&amp;$B267&amp;", ", ", "&amp;INDEX('Form Responses'!$R$1:$R$200,12)&amp;", "))),1,""))</f>
        <v/>
      </c>
      <c r="O267">
        <f>IF(Wizards!$A$13="","",IF(OR(ISNUMBER(SEARCH(", "&amp;$B267&amp;", ", ", "&amp;INDEX('Form Responses'!$I$1:$Q$200,13,$A267)&amp;", ")),ISNUMBER(SEARCH(", "&amp;$B267&amp;", ", ", "&amp;INDEX('Form Responses'!$R$1:$R$200,13)&amp;", "))),1,""))</f>
        <v/>
      </c>
      <c r="P267">
        <f>IF(Wizards!$A$14="","",IF(OR(ISNUMBER(SEARCH(", "&amp;$B267&amp;", ", ", "&amp;INDEX('Form Responses'!$I$1:$Q$200,14,$A267)&amp;", ")),ISNUMBER(SEARCH(", "&amp;$B267&amp;", ", ", "&amp;INDEX('Form Responses'!$R$1:$R$200,14)&amp;", "))),1,""))</f>
        <v/>
      </c>
      <c r="Q267">
        <f>IF(Wizards!$A$15="","",IF(OR(ISNUMBER(SEARCH(", "&amp;$B267&amp;", ", ", "&amp;INDEX('Form Responses'!$I$1:$Q$200,15,$A267)&amp;", ")),ISNUMBER(SEARCH(", "&amp;$B267&amp;", ", ", "&amp;INDEX('Form Responses'!$R$1:$R$200,15)&amp;", "))),1,""))</f>
        <v/>
      </c>
      <c r="R267">
        <f>IF(Wizards!$A$16="","",IF(OR(ISNUMBER(SEARCH(", "&amp;$B267&amp;", ", ", "&amp;INDEX('Form Responses'!$I$1:$Q$200,16,$A267)&amp;", ")),ISNUMBER(SEARCH(", "&amp;$B267&amp;", ", ", "&amp;INDEX('Form Responses'!$R$1:$R$200,16)&amp;", "))),1,""))</f>
        <v/>
      </c>
      <c r="S267">
        <f>IF(Wizards!$A$17="","",IF(OR(ISNUMBER(SEARCH(", "&amp;$B267&amp;", ", ", "&amp;INDEX('Form Responses'!$I$1:$Q$200,17,$A267)&amp;", ")),ISNUMBER(SEARCH(", "&amp;$B267&amp;", ", ", "&amp;INDEX('Form Responses'!$R$1:$R$200,17)&amp;", "))),1,""))</f>
        <v/>
      </c>
      <c r="T267">
        <f>IF(Wizards!$A$18="","",IF(OR(ISNUMBER(SEARCH(", "&amp;$B267&amp;", ", ", "&amp;INDEX('Form Responses'!$I$1:$Q$200,18,$A267)&amp;", ")),ISNUMBER(SEARCH(", "&amp;$B267&amp;", ", ", "&amp;INDEX('Form Responses'!$R$1:$R$200,18)&amp;", "))),1,""))</f>
        <v/>
      </c>
      <c r="U267">
        <f>IF(Wizards!$A$19="","",IF(OR(ISNUMBER(SEARCH(", "&amp;$B267&amp;", ", ", "&amp;INDEX('Form Responses'!$I$1:$Q$200,19,$A267)&amp;", ")),ISNUMBER(SEARCH(", "&amp;$B267&amp;", ", ", "&amp;INDEX('Form Responses'!$R$1:$R$200,19)&amp;", "))),1,""))</f>
        <v/>
      </c>
      <c r="V267">
        <f>IF(Wizards!$A$20="","",IF(OR(ISNUMBER(SEARCH(", "&amp;$B267&amp;", ", ", "&amp;INDEX('Form Responses'!$I$1:$Q$200,20,$A267)&amp;", ")),ISNUMBER(SEARCH(", "&amp;$B267&amp;", ", ", "&amp;INDEX('Form Responses'!$R$1:$R$200,20)&amp;", "))),1,""))</f>
        <v/>
      </c>
      <c r="W267">
        <f>IF(Wizards!$A$21="","",IF(OR(ISNUMBER(SEARCH(", "&amp;$B267&amp;", ", ", "&amp;INDEX('Form Responses'!$I$1:$Q$200,21,$A267)&amp;", ")),ISNUMBER(SEARCH(", "&amp;$B267&amp;", ", ", "&amp;INDEX('Form Responses'!$R$1:$R$200,21)&amp;", "))),1,""))</f>
        <v/>
      </c>
      <c r="X267">
        <f>IF(Wizards!$A$22="","",IF(OR(ISNUMBER(SEARCH(", "&amp;$B267&amp;", ", ", "&amp;INDEX('Form Responses'!$I$1:$Q$200,22,$A267)&amp;", ")),ISNUMBER(SEARCH(", "&amp;$B267&amp;", ", ", "&amp;INDEX('Form Responses'!$R$1:$R$200,22)&amp;", "))),1,""))</f>
        <v/>
      </c>
      <c r="Y267">
        <f>IF(Wizards!$A$23="","",IF(OR(ISNUMBER(SEARCH(", "&amp;$B267&amp;", ", ", "&amp;INDEX('Form Responses'!$I$1:$Q$200,23,$A267)&amp;", ")),ISNUMBER(SEARCH(", "&amp;$B267&amp;", ", ", "&amp;INDEX('Form Responses'!$R$1:$R$200,23)&amp;", "))),1,""))</f>
        <v/>
      </c>
      <c r="Z267">
        <f>IF(Wizards!$A$24="","",IF(OR(ISNUMBER(SEARCH(", "&amp;$B267&amp;", ", ", "&amp;INDEX('Form Responses'!$I$1:$Q$200,24,$A267)&amp;", ")),ISNUMBER(SEARCH(", "&amp;$B267&amp;", ", ", "&amp;INDEX('Form Responses'!$R$1:$R$200,24)&amp;", "))),1,""))</f>
        <v/>
      </c>
      <c r="AA267">
        <f>IF(Wizards!$A$25="","",IF(OR(ISNUMBER(SEARCH(", "&amp;$B267&amp;", ", ", "&amp;INDEX('Form Responses'!$I$1:$Q$200,25,$A267)&amp;", ")),ISNUMBER(SEARCH(", "&amp;$B267&amp;", ", ", "&amp;INDEX('Form Responses'!$R$1:$R$200,25)&amp;", "))),1,""))</f>
        <v/>
      </c>
      <c r="AB267">
        <f>IF(D267=1,", "&amp;D$1,"")</f>
        <v/>
      </c>
      <c r="AC267">
        <f>IF(E267=1,", "&amp;E$1,"")</f>
        <v/>
      </c>
      <c r="AD267">
        <f>IF(F267=1,", "&amp;F$1,"")</f>
        <v/>
      </c>
      <c r="AE267">
        <f>IF(G267=1,", "&amp;G$1,"")</f>
        <v/>
      </c>
      <c r="AF267">
        <f>IF(H267=1,", "&amp;H$1,"")</f>
        <v/>
      </c>
      <c r="AG267">
        <f>IF(I267=1,", "&amp;I$1,"")</f>
        <v/>
      </c>
      <c r="AH267">
        <f>IF(J267=1,", "&amp;J$1,"")</f>
        <v/>
      </c>
      <c r="AI267">
        <f>IF(K267=1,", "&amp;K$1,"")</f>
        <v/>
      </c>
      <c r="AJ267">
        <f>IF(L267=1,", "&amp;L$1,"")</f>
        <v/>
      </c>
      <c r="AK267">
        <f>IF(M267=1,", "&amp;M$1,"")</f>
        <v/>
      </c>
      <c r="AL267">
        <f>IF(N267=1,", "&amp;N$1,"")</f>
        <v/>
      </c>
      <c r="AM267">
        <f>IF(O267=1,", "&amp;O$1,"")</f>
        <v/>
      </c>
      <c r="AN267">
        <f>IF(P267=1,", "&amp;P$1,"")</f>
        <v/>
      </c>
      <c r="AO267">
        <f>IF(Q267=1,", "&amp;Q$1,"")</f>
        <v/>
      </c>
      <c r="AP267">
        <f>IF(R267=1,", "&amp;R$1,"")</f>
        <v/>
      </c>
      <c r="AQ267">
        <f>IF(S267=1,", "&amp;S$1,"")</f>
        <v/>
      </c>
      <c r="AR267">
        <f>IF(T267=1,", "&amp;T$1,"")</f>
        <v/>
      </c>
      <c r="AS267">
        <f>IF(U267=1,", "&amp;U$1,"")</f>
        <v/>
      </c>
      <c r="AT267">
        <f>IF(V267=1,", "&amp;V$1,"")</f>
        <v/>
      </c>
      <c r="AU267">
        <f>IF(W267=1,", "&amp;W$1,"")</f>
        <v/>
      </c>
      <c r="AV267">
        <f>IF(X267=1,", "&amp;X$1,"")</f>
        <v/>
      </c>
      <c r="AW267">
        <f>IF(Y267=1,", "&amp;Y$1,"")</f>
        <v/>
      </c>
      <c r="AX267">
        <f>IF(Z267=1,", "&amp;Z$1,"")</f>
        <v/>
      </c>
      <c r="AY267">
        <f>IF(AA267=1,", "&amp;AA$1,"")</f>
        <v/>
      </c>
      <c r="AZ267">
        <f>MID($AB267&amp;$AC267&amp;$AD267&amp;$AE267&amp;$AF267&amp;$AG267&amp;$AH267&amp;$AI267&amp;$AJ267&amp;$AK267&amp;$AL267&amp;$AM267&amp;$AN267&amp;$AO267&amp;$AP267&amp;$AQ267&amp;$AR267&amp;$AS267&amp;$AT267&amp;$AU267&amp;$AV267&amp;$AW267&amp;$AX267&amp;$AY267,3,32767)</f>
        <v/>
      </c>
      <c r="BA267">
        <f>COUNT($D267:$AA267)</f>
        <v/>
      </c>
    </row>
    <row r="268">
      <c r="A268" t="n">
        <v>6</v>
      </c>
      <c r="B268" t="inlineStr">
        <is>
          <t>Magic Jar</t>
        </is>
      </c>
      <c r="C268" t="inlineStr">
        <is>
          <t>Necromancy</t>
        </is>
      </c>
      <c r="D268">
        <f>IF(Wizards!$A$2="","",IF(OR(ISNUMBER(SEARCH(", "&amp;$B268&amp;", ", ", "&amp;INDEX('Form Responses'!$I$1:$Q$200,2,$A268)&amp;", ")),ISNUMBER(SEARCH(", "&amp;$B268&amp;", ", ", "&amp;INDEX('Form Responses'!$R$1:$R$200,2)&amp;", "))),1,""))</f>
        <v/>
      </c>
      <c r="E268">
        <f>IF(Wizards!$A$3="","",IF(OR(ISNUMBER(SEARCH(", "&amp;$B268&amp;", ", ", "&amp;INDEX('Form Responses'!$I$1:$Q$200,3,$A268)&amp;", ")),ISNUMBER(SEARCH(", "&amp;$B268&amp;", ", ", "&amp;INDEX('Form Responses'!$R$1:$R$200,3)&amp;", "))),1,""))</f>
        <v/>
      </c>
      <c r="F268">
        <f>IF(Wizards!$A$4="","",IF(OR(ISNUMBER(SEARCH(", "&amp;$B268&amp;", ", ", "&amp;INDEX('Form Responses'!$I$1:$Q$200,4,$A268)&amp;", ")),ISNUMBER(SEARCH(", "&amp;$B268&amp;", ", ", "&amp;INDEX('Form Responses'!$R$1:$R$200,4)&amp;", "))),1,""))</f>
        <v/>
      </c>
      <c r="G268">
        <f>IF(Wizards!$A$5="","",IF(OR(ISNUMBER(SEARCH(", "&amp;$B268&amp;", ", ", "&amp;INDEX('Form Responses'!$I$1:$Q$200,5,$A268)&amp;", ")),ISNUMBER(SEARCH(", "&amp;$B268&amp;", ", ", "&amp;INDEX('Form Responses'!$R$1:$R$200,5)&amp;", "))),1,""))</f>
        <v/>
      </c>
      <c r="H268">
        <f>IF(Wizards!$A$6="","",IF(OR(ISNUMBER(SEARCH(", "&amp;$B268&amp;", ", ", "&amp;INDEX('Form Responses'!$I$1:$Q$200,6,$A268)&amp;", ")),ISNUMBER(SEARCH(", "&amp;$B268&amp;", ", ", "&amp;INDEX('Form Responses'!$R$1:$R$200,6)&amp;", "))),1,""))</f>
        <v/>
      </c>
      <c r="I268">
        <f>IF(Wizards!$A$7="","",IF(OR(ISNUMBER(SEARCH(", "&amp;$B268&amp;", ", ", "&amp;INDEX('Form Responses'!$I$1:$Q$200,7,$A268)&amp;", ")),ISNUMBER(SEARCH(", "&amp;$B268&amp;", ", ", "&amp;INDEX('Form Responses'!$R$1:$R$200,7)&amp;", "))),1,""))</f>
        <v/>
      </c>
      <c r="J268">
        <f>IF(Wizards!$A$8="","",IF(OR(ISNUMBER(SEARCH(", "&amp;$B268&amp;", ", ", "&amp;INDEX('Form Responses'!$I$1:$Q$200,8,$A268)&amp;", ")),ISNUMBER(SEARCH(", "&amp;$B268&amp;", ", ", "&amp;INDEX('Form Responses'!$R$1:$R$200,8)&amp;", "))),1,""))</f>
        <v/>
      </c>
      <c r="K268">
        <f>IF(Wizards!$A$9="","",IF(OR(ISNUMBER(SEARCH(", "&amp;$B268&amp;", ", ", "&amp;INDEX('Form Responses'!$I$1:$Q$200,9,$A268)&amp;", ")),ISNUMBER(SEARCH(", "&amp;$B268&amp;", ", ", "&amp;INDEX('Form Responses'!$R$1:$R$200,9)&amp;", "))),1,""))</f>
        <v/>
      </c>
      <c r="L268">
        <f>IF(Wizards!$A$10="","",IF(OR(ISNUMBER(SEARCH(", "&amp;$B268&amp;", ", ", "&amp;INDEX('Form Responses'!$I$1:$Q$200,10,$A268)&amp;", ")),ISNUMBER(SEARCH(", "&amp;$B268&amp;", ", ", "&amp;INDEX('Form Responses'!$R$1:$R$200,10)&amp;", "))),1,""))</f>
        <v/>
      </c>
      <c r="M268">
        <f>IF(Wizards!$A$11="","",IF(OR(ISNUMBER(SEARCH(", "&amp;$B268&amp;", ", ", "&amp;INDEX('Form Responses'!$I$1:$Q$200,11,$A268)&amp;", ")),ISNUMBER(SEARCH(", "&amp;$B268&amp;", ", ", "&amp;INDEX('Form Responses'!$R$1:$R$200,11)&amp;", "))),1,""))</f>
        <v/>
      </c>
      <c r="N268">
        <f>IF(Wizards!$A$12="","",IF(OR(ISNUMBER(SEARCH(", "&amp;$B268&amp;", ", ", "&amp;INDEX('Form Responses'!$I$1:$Q$200,12,$A268)&amp;", ")),ISNUMBER(SEARCH(", "&amp;$B268&amp;", ", ", "&amp;INDEX('Form Responses'!$R$1:$R$200,12)&amp;", "))),1,""))</f>
        <v/>
      </c>
      <c r="O268">
        <f>IF(Wizards!$A$13="","",IF(OR(ISNUMBER(SEARCH(", "&amp;$B268&amp;", ", ", "&amp;INDEX('Form Responses'!$I$1:$Q$200,13,$A268)&amp;", ")),ISNUMBER(SEARCH(", "&amp;$B268&amp;", ", ", "&amp;INDEX('Form Responses'!$R$1:$R$200,13)&amp;", "))),1,""))</f>
        <v/>
      </c>
      <c r="P268">
        <f>IF(Wizards!$A$14="","",IF(OR(ISNUMBER(SEARCH(", "&amp;$B268&amp;", ", ", "&amp;INDEX('Form Responses'!$I$1:$Q$200,14,$A268)&amp;", ")),ISNUMBER(SEARCH(", "&amp;$B268&amp;", ", ", "&amp;INDEX('Form Responses'!$R$1:$R$200,14)&amp;", "))),1,""))</f>
        <v/>
      </c>
      <c r="Q268">
        <f>IF(Wizards!$A$15="","",IF(OR(ISNUMBER(SEARCH(", "&amp;$B268&amp;", ", ", "&amp;INDEX('Form Responses'!$I$1:$Q$200,15,$A268)&amp;", ")),ISNUMBER(SEARCH(", "&amp;$B268&amp;", ", ", "&amp;INDEX('Form Responses'!$R$1:$R$200,15)&amp;", "))),1,""))</f>
        <v/>
      </c>
      <c r="R268">
        <f>IF(Wizards!$A$16="","",IF(OR(ISNUMBER(SEARCH(", "&amp;$B268&amp;", ", ", "&amp;INDEX('Form Responses'!$I$1:$Q$200,16,$A268)&amp;", ")),ISNUMBER(SEARCH(", "&amp;$B268&amp;", ", ", "&amp;INDEX('Form Responses'!$R$1:$R$200,16)&amp;", "))),1,""))</f>
        <v/>
      </c>
      <c r="S268">
        <f>IF(Wizards!$A$17="","",IF(OR(ISNUMBER(SEARCH(", "&amp;$B268&amp;", ", ", "&amp;INDEX('Form Responses'!$I$1:$Q$200,17,$A268)&amp;", ")),ISNUMBER(SEARCH(", "&amp;$B268&amp;", ", ", "&amp;INDEX('Form Responses'!$R$1:$R$200,17)&amp;", "))),1,""))</f>
        <v/>
      </c>
      <c r="T268">
        <f>IF(Wizards!$A$18="","",IF(OR(ISNUMBER(SEARCH(", "&amp;$B268&amp;", ", ", "&amp;INDEX('Form Responses'!$I$1:$Q$200,18,$A268)&amp;", ")),ISNUMBER(SEARCH(", "&amp;$B268&amp;", ", ", "&amp;INDEX('Form Responses'!$R$1:$R$200,18)&amp;", "))),1,""))</f>
        <v/>
      </c>
      <c r="U268">
        <f>IF(Wizards!$A$19="","",IF(OR(ISNUMBER(SEARCH(", "&amp;$B268&amp;", ", ", "&amp;INDEX('Form Responses'!$I$1:$Q$200,19,$A268)&amp;", ")),ISNUMBER(SEARCH(", "&amp;$B268&amp;", ", ", "&amp;INDEX('Form Responses'!$R$1:$R$200,19)&amp;", "))),1,""))</f>
        <v/>
      </c>
      <c r="V268">
        <f>IF(Wizards!$A$20="","",IF(OR(ISNUMBER(SEARCH(", "&amp;$B268&amp;", ", ", "&amp;INDEX('Form Responses'!$I$1:$Q$200,20,$A268)&amp;", ")),ISNUMBER(SEARCH(", "&amp;$B268&amp;", ", ", "&amp;INDEX('Form Responses'!$R$1:$R$200,20)&amp;", "))),1,""))</f>
        <v/>
      </c>
      <c r="W268">
        <f>IF(Wizards!$A$21="","",IF(OR(ISNUMBER(SEARCH(", "&amp;$B268&amp;", ", ", "&amp;INDEX('Form Responses'!$I$1:$Q$200,21,$A268)&amp;", ")),ISNUMBER(SEARCH(", "&amp;$B268&amp;", ", ", "&amp;INDEX('Form Responses'!$R$1:$R$200,21)&amp;", "))),1,""))</f>
        <v/>
      </c>
      <c r="X268">
        <f>IF(Wizards!$A$22="","",IF(OR(ISNUMBER(SEARCH(", "&amp;$B268&amp;", ", ", "&amp;INDEX('Form Responses'!$I$1:$Q$200,22,$A268)&amp;", ")),ISNUMBER(SEARCH(", "&amp;$B268&amp;", ", ", "&amp;INDEX('Form Responses'!$R$1:$R$200,22)&amp;", "))),1,""))</f>
        <v/>
      </c>
      <c r="Y268">
        <f>IF(Wizards!$A$23="","",IF(OR(ISNUMBER(SEARCH(", "&amp;$B268&amp;", ", ", "&amp;INDEX('Form Responses'!$I$1:$Q$200,23,$A268)&amp;", ")),ISNUMBER(SEARCH(", "&amp;$B268&amp;", ", ", "&amp;INDEX('Form Responses'!$R$1:$R$200,23)&amp;", "))),1,""))</f>
        <v/>
      </c>
      <c r="Z268">
        <f>IF(Wizards!$A$24="","",IF(OR(ISNUMBER(SEARCH(", "&amp;$B268&amp;", ", ", "&amp;INDEX('Form Responses'!$I$1:$Q$200,24,$A268)&amp;", ")),ISNUMBER(SEARCH(", "&amp;$B268&amp;", ", ", "&amp;INDEX('Form Responses'!$R$1:$R$200,24)&amp;", "))),1,""))</f>
        <v/>
      </c>
      <c r="AA268">
        <f>IF(Wizards!$A$25="","",IF(OR(ISNUMBER(SEARCH(", "&amp;$B268&amp;", ", ", "&amp;INDEX('Form Responses'!$I$1:$Q$200,25,$A268)&amp;", ")),ISNUMBER(SEARCH(", "&amp;$B268&amp;", ", ", "&amp;INDEX('Form Responses'!$R$1:$R$200,25)&amp;", "))),1,""))</f>
        <v/>
      </c>
      <c r="AB268">
        <f>IF(D268=1,", "&amp;D$1,"")</f>
        <v/>
      </c>
      <c r="AC268">
        <f>IF(E268=1,", "&amp;E$1,"")</f>
        <v/>
      </c>
      <c r="AD268">
        <f>IF(F268=1,", "&amp;F$1,"")</f>
        <v/>
      </c>
      <c r="AE268">
        <f>IF(G268=1,", "&amp;G$1,"")</f>
        <v/>
      </c>
      <c r="AF268">
        <f>IF(H268=1,", "&amp;H$1,"")</f>
        <v/>
      </c>
      <c r="AG268">
        <f>IF(I268=1,", "&amp;I$1,"")</f>
        <v/>
      </c>
      <c r="AH268">
        <f>IF(J268=1,", "&amp;J$1,"")</f>
        <v/>
      </c>
      <c r="AI268">
        <f>IF(K268=1,", "&amp;K$1,"")</f>
        <v/>
      </c>
      <c r="AJ268">
        <f>IF(L268=1,", "&amp;L$1,"")</f>
        <v/>
      </c>
      <c r="AK268">
        <f>IF(M268=1,", "&amp;M$1,"")</f>
        <v/>
      </c>
      <c r="AL268">
        <f>IF(N268=1,", "&amp;N$1,"")</f>
        <v/>
      </c>
      <c r="AM268">
        <f>IF(O268=1,", "&amp;O$1,"")</f>
        <v/>
      </c>
      <c r="AN268">
        <f>IF(P268=1,", "&amp;P$1,"")</f>
        <v/>
      </c>
      <c r="AO268">
        <f>IF(Q268=1,", "&amp;Q$1,"")</f>
        <v/>
      </c>
      <c r="AP268">
        <f>IF(R268=1,", "&amp;R$1,"")</f>
        <v/>
      </c>
      <c r="AQ268">
        <f>IF(S268=1,", "&amp;S$1,"")</f>
        <v/>
      </c>
      <c r="AR268">
        <f>IF(T268=1,", "&amp;T$1,"")</f>
        <v/>
      </c>
      <c r="AS268">
        <f>IF(U268=1,", "&amp;U$1,"")</f>
        <v/>
      </c>
      <c r="AT268">
        <f>IF(V268=1,", "&amp;V$1,"")</f>
        <v/>
      </c>
      <c r="AU268">
        <f>IF(W268=1,", "&amp;W$1,"")</f>
        <v/>
      </c>
      <c r="AV268">
        <f>IF(X268=1,", "&amp;X$1,"")</f>
        <v/>
      </c>
      <c r="AW268">
        <f>IF(Y268=1,", "&amp;Y$1,"")</f>
        <v/>
      </c>
      <c r="AX268">
        <f>IF(Z268=1,", "&amp;Z$1,"")</f>
        <v/>
      </c>
      <c r="AY268">
        <f>IF(AA268=1,", "&amp;AA$1,"")</f>
        <v/>
      </c>
      <c r="AZ268">
        <f>MID($AB268&amp;$AC268&amp;$AD268&amp;$AE268&amp;$AF268&amp;$AG268&amp;$AH268&amp;$AI268&amp;$AJ268&amp;$AK268&amp;$AL268&amp;$AM268&amp;$AN268&amp;$AO268&amp;$AP268&amp;$AQ268&amp;$AR268&amp;$AS268&amp;$AT268&amp;$AU268&amp;$AV268&amp;$AW268&amp;$AX268&amp;$AY268,3,32767)</f>
        <v/>
      </c>
      <c r="BA268">
        <f>COUNT($D268:$AA268)</f>
        <v/>
      </c>
    </row>
    <row r="269">
      <c r="A269" t="n">
        <v>6</v>
      </c>
      <c r="B269" t="inlineStr">
        <is>
          <t>Mass Suggestion</t>
        </is>
      </c>
      <c r="C269" t="inlineStr">
        <is>
          <t>Enchantment</t>
        </is>
      </c>
      <c r="D269">
        <f>IF(Wizards!$A$2="","",IF(OR(ISNUMBER(SEARCH(", "&amp;$B269&amp;", ", ", "&amp;INDEX('Form Responses'!$I$1:$Q$200,2,$A269)&amp;", ")),ISNUMBER(SEARCH(", "&amp;$B269&amp;", ", ", "&amp;INDEX('Form Responses'!$R$1:$R$200,2)&amp;", "))),1,""))</f>
        <v/>
      </c>
      <c r="E269">
        <f>IF(Wizards!$A$3="","",IF(OR(ISNUMBER(SEARCH(", "&amp;$B269&amp;", ", ", "&amp;INDEX('Form Responses'!$I$1:$Q$200,3,$A269)&amp;", ")),ISNUMBER(SEARCH(", "&amp;$B269&amp;", ", ", "&amp;INDEX('Form Responses'!$R$1:$R$200,3)&amp;", "))),1,""))</f>
        <v/>
      </c>
      <c r="F269">
        <f>IF(Wizards!$A$4="","",IF(OR(ISNUMBER(SEARCH(", "&amp;$B269&amp;", ", ", "&amp;INDEX('Form Responses'!$I$1:$Q$200,4,$A269)&amp;", ")),ISNUMBER(SEARCH(", "&amp;$B269&amp;", ", ", "&amp;INDEX('Form Responses'!$R$1:$R$200,4)&amp;", "))),1,""))</f>
        <v/>
      </c>
      <c r="G269">
        <f>IF(Wizards!$A$5="","",IF(OR(ISNUMBER(SEARCH(", "&amp;$B269&amp;", ", ", "&amp;INDEX('Form Responses'!$I$1:$Q$200,5,$A269)&amp;", ")),ISNUMBER(SEARCH(", "&amp;$B269&amp;", ", ", "&amp;INDEX('Form Responses'!$R$1:$R$200,5)&amp;", "))),1,""))</f>
        <v/>
      </c>
      <c r="H269">
        <f>IF(Wizards!$A$6="","",IF(OR(ISNUMBER(SEARCH(", "&amp;$B269&amp;", ", ", "&amp;INDEX('Form Responses'!$I$1:$Q$200,6,$A269)&amp;", ")),ISNUMBER(SEARCH(", "&amp;$B269&amp;", ", ", "&amp;INDEX('Form Responses'!$R$1:$R$200,6)&amp;", "))),1,""))</f>
        <v/>
      </c>
      <c r="I269">
        <f>IF(Wizards!$A$7="","",IF(OR(ISNUMBER(SEARCH(", "&amp;$B269&amp;", ", ", "&amp;INDEX('Form Responses'!$I$1:$Q$200,7,$A269)&amp;", ")),ISNUMBER(SEARCH(", "&amp;$B269&amp;", ", ", "&amp;INDEX('Form Responses'!$R$1:$R$200,7)&amp;", "))),1,""))</f>
        <v/>
      </c>
      <c r="J269">
        <f>IF(Wizards!$A$8="","",IF(OR(ISNUMBER(SEARCH(", "&amp;$B269&amp;", ", ", "&amp;INDEX('Form Responses'!$I$1:$Q$200,8,$A269)&amp;", ")),ISNUMBER(SEARCH(", "&amp;$B269&amp;", ", ", "&amp;INDEX('Form Responses'!$R$1:$R$200,8)&amp;", "))),1,""))</f>
        <v/>
      </c>
      <c r="K269">
        <f>IF(Wizards!$A$9="","",IF(OR(ISNUMBER(SEARCH(", "&amp;$B269&amp;", ", ", "&amp;INDEX('Form Responses'!$I$1:$Q$200,9,$A269)&amp;", ")),ISNUMBER(SEARCH(", "&amp;$B269&amp;", ", ", "&amp;INDEX('Form Responses'!$R$1:$R$200,9)&amp;", "))),1,""))</f>
        <v/>
      </c>
      <c r="L269">
        <f>IF(Wizards!$A$10="","",IF(OR(ISNUMBER(SEARCH(", "&amp;$B269&amp;", ", ", "&amp;INDEX('Form Responses'!$I$1:$Q$200,10,$A269)&amp;", ")),ISNUMBER(SEARCH(", "&amp;$B269&amp;", ", ", "&amp;INDEX('Form Responses'!$R$1:$R$200,10)&amp;", "))),1,""))</f>
        <v/>
      </c>
      <c r="M269">
        <f>IF(Wizards!$A$11="","",IF(OR(ISNUMBER(SEARCH(", "&amp;$B269&amp;", ", ", "&amp;INDEX('Form Responses'!$I$1:$Q$200,11,$A269)&amp;", ")),ISNUMBER(SEARCH(", "&amp;$B269&amp;", ", ", "&amp;INDEX('Form Responses'!$R$1:$R$200,11)&amp;", "))),1,""))</f>
        <v/>
      </c>
      <c r="N269">
        <f>IF(Wizards!$A$12="","",IF(OR(ISNUMBER(SEARCH(", "&amp;$B269&amp;", ", ", "&amp;INDEX('Form Responses'!$I$1:$Q$200,12,$A269)&amp;", ")),ISNUMBER(SEARCH(", "&amp;$B269&amp;", ", ", "&amp;INDEX('Form Responses'!$R$1:$R$200,12)&amp;", "))),1,""))</f>
        <v/>
      </c>
      <c r="O269">
        <f>IF(Wizards!$A$13="","",IF(OR(ISNUMBER(SEARCH(", "&amp;$B269&amp;", ", ", "&amp;INDEX('Form Responses'!$I$1:$Q$200,13,$A269)&amp;", ")),ISNUMBER(SEARCH(", "&amp;$B269&amp;", ", ", "&amp;INDEX('Form Responses'!$R$1:$R$200,13)&amp;", "))),1,""))</f>
        <v/>
      </c>
      <c r="P269">
        <f>IF(Wizards!$A$14="","",IF(OR(ISNUMBER(SEARCH(", "&amp;$B269&amp;", ", ", "&amp;INDEX('Form Responses'!$I$1:$Q$200,14,$A269)&amp;", ")),ISNUMBER(SEARCH(", "&amp;$B269&amp;", ", ", "&amp;INDEX('Form Responses'!$R$1:$R$200,14)&amp;", "))),1,""))</f>
        <v/>
      </c>
      <c r="Q269">
        <f>IF(Wizards!$A$15="","",IF(OR(ISNUMBER(SEARCH(", "&amp;$B269&amp;", ", ", "&amp;INDEX('Form Responses'!$I$1:$Q$200,15,$A269)&amp;", ")),ISNUMBER(SEARCH(", "&amp;$B269&amp;", ", ", "&amp;INDEX('Form Responses'!$R$1:$R$200,15)&amp;", "))),1,""))</f>
        <v/>
      </c>
      <c r="R269">
        <f>IF(Wizards!$A$16="","",IF(OR(ISNUMBER(SEARCH(", "&amp;$B269&amp;", ", ", "&amp;INDEX('Form Responses'!$I$1:$Q$200,16,$A269)&amp;", ")),ISNUMBER(SEARCH(", "&amp;$B269&amp;", ", ", "&amp;INDEX('Form Responses'!$R$1:$R$200,16)&amp;", "))),1,""))</f>
        <v/>
      </c>
      <c r="S269">
        <f>IF(Wizards!$A$17="","",IF(OR(ISNUMBER(SEARCH(", "&amp;$B269&amp;", ", ", "&amp;INDEX('Form Responses'!$I$1:$Q$200,17,$A269)&amp;", ")),ISNUMBER(SEARCH(", "&amp;$B269&amp;", ", ", "&amp;INDEX('Form Responses'!$R$1:$R$200,17)&amp;", "))),1,""))</f>
        <v/>
      </c>
      <c r="T269">
        <f>IF(Wizards!$A$18="","",IF(OR(ISNUMBER(SEARCH(", "&amp;$B269&amp;", ", ", "&amp;INDEX('Form Responses'!$I$1:$Q$200,18,$A269)&amp;", ")),ISNUMBER(SEARCH(", "&amp;$B269&amp;", ", ", "&amp;INDEX('Form Responses'!$R$1:$R$200,18)&amp;", "))),1,""))</f>
        <v/>
      </c>
      <c r="U269">
        <f>IF(Wizards!$A$19="","",IF(OR(ISNUMBER(SEARCH(", "&amp;$B269&amp;", ", ", "&amp;INDEX('Form Responses'!$I$1:$Q$200,19,$A269)&amp;", ")),ISNUMBER(SEARCH(", "&amp;$B269&amp;", ", ", "&amp;INDEX('Form Responses'!$R$1:$R$200,19)&amp;", "))),1,""))</f>
        <v/>
      </c>
      <c r="V269">
        <f>IF(Wizards!$A$20="","",IF(OR(ISNUMBER(SEARCH(", "&amp;$B269&amp;", ", ", "&amp;INDEX('Form Responses'!$I$1:$Q$200,20,$A269)&amp;", ")),ISNUMBER(SEARCH(", "&amp;$B269&amp;", ", ", "&amp;INDEX('Form Responses'!$R$1:$R$200,20)&amp;", "))),1,""))</f>
        <v/>
      </c>
      <c r="W269">
        <f>IF(Wizards!$A$21="","",IF(OR(ISNUMBER(SEARCH(", "&amp;$B269&amp;", ", ", "&amp;INDEX('Form Responses'!$I$1:$Q$200,21,$A269)&amp;", ")),ISNUMBER(SEARCH(", "&amp;$B269&amp;", ", ", "&amp;INDEX('Form Responses'!$R$1:$R$200,21)&amp;", "))),1,""))</f>
        <v/>
      </c>
      <c r="X269">
        <f>IF(Wizards!$A$22="","",IF(OR(ISNUMBER(SEARCH(", "&amp;$B269&amp;", ", ", "&amp;INDEX('Form Responses'!$I$1:$Q$200,22,$A269)&amp;", ")),ISNUMBER(SEARCH(", "&amp;$B269&amp;", ", ", "&amp;INDEX('Form Responses'!$R$1:$R$200,22)&amp;", "))),1,""))</f>
        <v/>
      </c>
      <c r="Y269">
        <f>IF(Wizards!$A$23="","",IF(OR(ISNUMBER(SEARCH(", "&amp;$B269&amp;", ", ", "&amp;INDEX('Form Responses'!$I$1:$Q$200,23,$A269)&amp;", ")),ISNUMBER(SEARCH(", "&amp;$B269&amp;", ", ", "&amp;INDEX('Form Responses'!$R$1:$R$200,23)&amp;", "))),1,""))</f>
        <v/>
      </c>
      <c r="Z269">
        <f>IF(Wizards!$A$24="","",IF(OR(ISNUMBER(SEARCH(", "&amp;$B269&amp;", ", ", "&amp;INDEX('Form Responses'!$I$1:$Q$200,24,$A269)&amp;", ")),ISNUMBER(SEARCH(", "&amp;$B269&amp;", ", ", "&amp;INDEX('Form Responses'!$R$1:$R$200,24)&amp;", "))),1,""))</f>
        <v/>
      </c>
      <c r="AA269">
        <f>IF(Wizards!$A$25="","",IF(OR(ISNUMBER(SEARCH(", "&amp;$B269&amp;", ", ", "&amp;INDEX('Form Responses'!$I$1:$Q$200,25,$A269)&amp;", ")),ISNUMBER(SEARCH(", "&amp;$B269&amp;", ", ", "&amp;INDEX('Form Responses'!$R$1:$R$200,25)&amp;", "))),1,""))</f>
        <v/>
      </c>
      <c r="AB269">
        <f>IF(D269=1,", "&amp;D$1,"")</f>
        <v/>
      </c>
      <c r="AC269">
        <f>IF(E269=1,", "&amp;E$1,"")</f>
        <v/>
      </c>
      <c r="AD269">
        <f>IF(F269=1,", "&amp;F$1,"")</f>
        <v/>
      </c>
      <c r="AE269">
        <f>IF(G269=1,", "&amp;G$1,"")</f>
        <v/>
      </c>
      <c r="AF269">
        <f>IF(H269=1,", "&amp;H$1,"")</f>
        <v/>
      </c>
      <c r="AG269">
        <f>IF(I269=1,", "&amp;I$1,"")</f>
        <v/>
      </c>
      <c r="AH269">
        <f>IF(J269=1,", "&amp;J$1,"")</f>
        <v/>
      </c>
      <c r="AI269">
        <f>IF(K269=1,", "&amp;K$1,"")</f>
        <v/>
      </c>
      <c r="AJ269">
        <f>IF(L269=1,", "&amp;L$1,"")</f>
        <v/>
      </c>
      <c r="AK269">
        <f>IF(M269=1,", "&amp;M$1,"")</f>
        <v/>
      </c>
      <c r="AL269">
        <f>IF(N269=1,", "&amp;N$1,"")</f>
        <v/>
      </c>
      <c r="AM269">
        <f>IF(O269=1,", "&amp;O$1,"")</f>
        <v/>
      </c>
      <c r="AN269">
        <f>IF(P269=1,", "&amp;P$1,"")</f>
        <v/>
      </c>
      <c r="AO269">
        <f>IF(Q269=1,", "&amp;Q$1,"")</f>
        <v/>
      </c>
      <c r="AP269">
        <f>IF(R269=1,", "&amp;R$1,"")</f>
        <v/>
      </c>
      <c r="AQ269">
        <f>IF(S269=1,", "&amp;S$1,"")</f>
        <v/>
      </c>
      <c r="AR269">
        <f>IF(T269=1,", "&amp;T$1,"")</f>
        <v/>
      </c>
      <c r="AS269">
        <f>IF(U269=1,", "&amp;U$1,"")</f>
        <v/>
      </c>
      <c r="AT269">
        <f>IF(V269=1,", "&amp;V$1,"")</f>
        <v/>
      </c>
      <c r="AU269">
        <f>IF(W269=1,", "&amp;W$1,"")</f>
        <v/>
      </c>
      <c r="AV269">
        <f>IF(X269=1,", "&amp;X$1,"")</f>
        <v/>
      </c>
      <c r="AW269">
        <f>IF(Y269=1,", "&amp;Y$1,"")</f>
        <v/>
      </c>
      <c r="AX269">
        <f>IF(Z269=1,", "&amp;Z$1,"")</f>
        <v/>
      </c>
      <c r="AY269">
        <f>IF(AA269=1,", "&amp;AA$1,"")</f>
        <v/>
      </c>
      <c r="AZ269">
        <f>MID($AB269&amp;$AC269&amp;$AD269&amp;$AE269&amp;$AF269&amp;$AG269&amp;$AH269&amp;$AI269&amp;$AJ269&amp;$AK269&amp;$AL269&amp;$AM269&amp;$AN269&amp;$AO269&amp;$AP269&amp;$AQ269&amp;$AR269&amp;$AS269&amp;$AT269&amp;$AU269&amp;$AV269&amp;$AW269&amp;$AX269&amp;$AY269,3,32767)</f>
        <v/>
      </c>
      <c r="BA269">
        <f>COUNT($D269:$AA269)</f>
        <v/>
      </c>
    </row>
    <row r="270">
      <c r="A270" t="n">
        <v>6</v>
      </c>
      <c r="B270" t="inlineStr">
        <is>
          <t>Mental Prison</t>
        </is>
      </c>
      <c r="C270" t="inlineStr">
        <is>
          <t>Illusion</t>
        </is>
      </c>
      <c r="D270">
        <f>IF(Wizards!$A$2="","",IF(OR(ISNUMBER(SEARCH(", "&amp;$B270&amp;", ", ", "&amp;INDEX('Form Responses'!$I$1:$Q$200,2,$A270)&amp;", ")),ISNUMBER(SEARCH(", "&amp;$B270&amp;", ", ", "&amp;INDEX('Form Responses'!$R$1:$R$200,2)&amp;", "))),1,""))</f>
        <v/>
      </c>
      <c r="E270">
        <f>IF(Wizards!$A$3="","",IF(OR(ISNUMBER(SEARCH(", "&amp;$B270&amp;", ", ", "&amp;INDEX('Form Responses'!$I$1:$Q$200,3,$A270)&amp;", ")),ISNUMBER(SEARCH(", "&amp;$B270&amp;", ", ", "&amp;INDEX('Form Responses'!$R$1:$R$200,3)&amp;", "))),1,""))</f>
        <v/>
      </c>
      <c r="F270">
        <f>IF(Wizards!$A$4="","",IF(OR(ISNUMBER(SEARCH(", "&amp;$B270&amp;", ", ", "&amp;INDEX('Form Responses'!$I$1:$Q$200,4,$A270)&amp;", ")),ISNUMBER(SEARCH(", "&amp;$B270&amp;", ", ", "&amp;INDEX('Form Responses'!$R$1:$R$200,4)&amp;", "))),1,""))</f>
        <v/>
      </c>
      <c r="G270">
        <f>IF(Wizards!$A$5="","",IF(OR(ISNUMBER(SEARCH(", "&amp;$B270&amp;", ", ", "&amp;INDEX('Form Responses'!$I$1:$Q$200,5,$A270)&amp;", ")),ISNUMBER(SEARCH(", "&amp;$B270&amp;", ", ", "&amp;INDEX('Form Responses'!$R$1:$R$200,5)&amp;", "))),1,""))</f>
        <v/>
      </c>
      <c r="H270">
        <f>IF(Wizards!$A$6="","",IF(OR(ISNUMBER(SEARCH(", "&amp;$B270&amp;", ", ", "&amp;INDEX('Form Responses'!$I$1:$Q$200,6,$A270)&amp;", ")),ISNUMBER(SEARCH(", "&amp;$B270&amp;", ", ", "&amp;INDEX('Form Responses'!$R$1:$R$200,6)&amp;", "))),1,""))</f>
        <v/>
      </c>
      <c r="I270">
        <f>IF(Wizards!$A$7="","",IF(OR(ISNUMBER(SEARCH(", "&amp;$B270&amp;", ", ", "&amp;INDEX('Form Responses'!$I$1:$Q$200,7,$A270)&amp;", ")),ISNUMBER(SEARCH(", "&amp;$B270&amp;", ", ", "&amp;INDEX('Form Responses'!$R$1:$R$200,7)&amp;", "))),1,""))</f>
        <v/>
      </c>
      <c r="J270">
        <f>IF(Wizards!$A$8="","",IF(OR(ISNUMBER(SEARCH(", "&amp;$B270&amp;", ", ", "&amp;INDEX('Form Responses'!$I$1:$Q$200,8,$A270)&amp;", ")),ISNUMBER(SEARCH(", "&amp;$B270&amp;", ", ", "&amp;INDEX('Form Responses'!$R$1:$R$200,8)&amp;", "))),1,""))</f>
        <v/>
      </c>
      <c r="K270">
        <f>IF(Wizards!$A$9="","",IF(OR(ISNUMBER(SEARCH(", "&amp;$B270&amp;", ", ", "&amp;INDEX('Form Responses'!$I$1:$Q$200,9,$A270)&amp;", ")),ISNUMBER(SEARCH(", "&amp;$B270&amp;", ", ", "&amp;INDEX('Form Responses'!$R$1:$R$200,9)&amp;", "))),1,""))</f>
        <v/>
      </c>
      <c r="L270">
        <f>IF(Wizards!$A$10="","",IF(OR(ISNUMBER(SEARCH(", "&amp;$B270&amp;", ", ", "&amp;INDEX('Form Responses'!$I$1:$Q$200,10,$A270)&amp;", ")),ISNUMBER(SEARCH(", "&amp;$B270&amp;", ", ", "&amp;INDEX('Form Responses'!$R$1:$R$200,10)&amp;", "))),1,""))</f>
        <v/>
      </c>
      <c r="M270">
        <f>IF(Wizards!$A$11="","",IF(OR(ISNUMBER(SEARCH(", "&amp;$B270&amp;", ", ", "&amp;INDEX('Form Responses'!$I$1:$Q$200,11,$A270)&amp;", ")),ISNUMBER(SEARCH(", "&amp;$B270&amp;", ", ", "&amp;INDEX('Form Responses'!$R$1:$R$200,11)&amp;", "))),1,""))</f>
        <v/>
      </c>
      <c r="N270">
        <f>IF(Wizards!$A$12="","",IF(OR(ISNUMBER(SEARCH(", "&amp;$B270&amp;", ", ", "&amp;INDEX('Form Responses'!$I$1:$Q$200,12,$A270)&amp;", ")),ISNUMBER(SEARCH(", "&amp;$B270&amp;", ", ", "&amp;INDEX('Form Responses'!$R$1:$R$200,12)&amp;", "))),1,""))</f>
        <v/>
      </c>
      <c r="O270">
        <f>IF(Wizards!$A$13="","",IF(OR(ISNUMBER(SEARCH(", "&amp;$B270&amp;", ", ", "&amp;INDEX('Form Responses'!$I$1:$Q$200,13,$A270)&amp;", ")),ISNUMBER(SEARCH(", "&amp;$B270&amp;", ", ", "&amp;INDEX('Form Responses'!$R$1:$R$200,13)&amp;", "))),1,""))</f>
        <v/>
      </c>
      <c r="P270">
        <f>IF(Wizards!$A$14="","",IF(OR(ISNUMBER(SEARCH(", "&amp;$B270&amp;", ", ", "&amp;INDEX('Form Responses'!$I$1:$Q$200,14,$A270)&amp;", ")),ISNUMBER(SEARCH(", "&amp;$B270&amp;", ", ", "&amp;INDEX('Form Responses'!$R$1:$R$200,14)&amp;", "))),1,""))</f>
        <v/>
      </c>
      <c r="Q270">
        <f>IF(Wizards!$A$15="","",IF(OR(ISNUMBER(SEARCH(", "&amp;$B270&amp;", ", ", "&amp;INDEX('Form Responses'!$I$1:$Q$200,15,$A270)&amp;", ")),ISNUMBER(SEARCH(", "&amp;$B270&amp;", ", ", "&amp;INDEX('Form Responses'!$R$1:$R$200,15)&amp;", "))),1,""))</f>
        <v/>
      </c>
      <c r="R270">
        <f>IF(Wizards!$A$16="","",IF(OR(ISNUMBER(SEARCH(", "&amp;$B270&amp;", ", ", "&amp;INDEX('Form Responses'!$I$1:$Q$200,16,$A270)&amp;", ")),ISNUMBER(SEARCH(", "&amp;$B270&amp;", ", ", "&amp;INDEX('Form Responses'!$R$1:$R$200,16)&amp;", "))),1,""))</f>
        <v/>
      </c>
      <c r="S270">
        <f>IF(Wizards!$A$17="","",IF(OR(ISNUMBER(SEARCH(", "&amp;$B270&amp;", ", ", "&amp;INDEX('Form Responses'!$I$1:$Q$200,17,$A270)&amp;", ")),ISNUMBER(SEARCH(", "&amp;$B270&amp;", ", ", "&amp;INDEX('Form Responses'!$R$1:$R$200,17)&amp;", "))),1,""))</f>
        <v/>
      </c>
      <c r="T270">
        <f>IF(Wizards!$A$18="","",IF(OR(ISNUMBER(SEARCH(", "&amp;$B270&amp;", ", ", "&amp;INDEX('Form Responses'!$I$1:$Q$200,18,$A270)&amp;", ")),ISNUMBER(SEARCH(", "&amp;$B270&amp;", ", ", "&amp;INDEX('Form Responses'!$R$1:$R$200,18)&amp;", "))),1,""))</f>
        <v/>
      </c>
      <c r="U270">
        <f>IF(Wizards!$A$19="","",IF(OR(ISNUMBER(SEARCH(", "&amp;$B270&amp;", ", ", "&amp;INDEX('Form Responses'!$I$1:$Q$200,19,$A270)&amp;", ")),ISNUMBER(SEARCH(", "&amp;$B270&amp;", ", ", "&amp;INDEX('Form Responses'!$R$1:$R$200,19)&amp;", "))),1,""))</f>
        <v/>
      </c>
      <c r="V270">
        <f>IF(Wizards!$A$20="","",IF(OR(ISNUMBER(SEARCH(", "&amp;$B270&amp;", ", ", "&amp;INDEX('Form Responses'!$I$1:$Q$200,20,$A270)&amp;", ")),ISNUMBER(SEARCH(", "&amp;$B270&amp;", ", ", "&amp;INDEX('Form Responses'!$R$1:$R$200,20)&amp;", "))),1,""))</f>
        <v/>
      </c>
      <c r="W270">
        <f>IF(Wizards!$A$21="","",IF(OR(ISNUMBER(SEARCH(", "&amp;$B270&amp;", ", ", "&amp;INDEX('Form Responses'!$I$1:$Q$200,21,$A270)&amp;", ")),ISNUMBER(SEARCH(", "&amp;$B270&amp;", ", ", "&amp;INDEX('Form Responses'!$R$1:$R$200,21)&amp;", "))),1,""))</f>
        <v/>
      </c>
      <c r="X270">
        <f>IF(Wizards!$A$22="","",IF(OR(ISNUMBER(SEARCH(", "&amp;$B270&amp;", ", ", "&amp;INDEX('Form Responses'!$I$1:$Q$200,22,$A270)&amp;", ")),ISNUMBER(SEARCH(", "&amp;$B270&amp;", ", ", "&amp;INDEX('Form Responses'!$R$1:$R$200,22)&amp;", "))),1,""))</f>
        <v/>
      </c>
      <c r="Y270">
        <f>IF(Wizards!$A$23="","",IF(OR(ISNUMBER(SEARCH(", "&amp;$B270&amp;", ", ", "&amp;INDEX('Form Responses'!$I$1:$Q$200,23,$A270)&amp;", ")),ISNUMBER(SEARCH(", "&amp;$B270&amp;", ", ", "&amp;INDEX('Form Responses'!$R$1:$R$200,23)&amp;", "))),1,""))</f>
        <v/>
      </c>
      <c r="Z270">
        <f>IF(Wizards!$A$24="","",IF(OR(ISNUMBER(SEARCH(", "&amp;$B270&amp;", ", ", "&amp;INDEX('Form Responses'!$I$1:$Q$200,24,$A270)&amp;", ")),ISNUMBER(SEARCH(", "&amp;$B270&amp;", ", ", "&amp;INDEX('Form Responses'!$R$1:$R$200,24)&amp;", "))),1,""))</f>
        <v/>
      </c>
      <c r="AA270">
        <f>IF(Wizards!$A$25="","",IF(OR(ISNUMBER(SEARCH(", "&amp;$B270&amp;", ", ", "&amp;INDEX('Form Responses'!$I$1:$Q$200,25,$A270)&amp;", ")),ISNUMBER(SEARCH(", "&amp;$B270&amp;", ", ", "&amp;INDEX('Form Responses'!$R$1:$R$200,25)&amp;", "))),1,""))</f>
        <v/>
      </c>
      <c r="AB270">
        <f>IF(D270=1,", "&amp;D$1,"")</f>
        <v/>
      </c>
      <c r="AC270">
        <f>IF(E270=1,", "&amp;E$1,"")</f>
        <v/>
      </c>
      <c r="AD270">
        <f>IF(F270=1,", "&amp;F$1,"")</f>
        <v/>
      </c>
      <c r="AE270">
        <f>IF(G270=1,", "&amp;G$1,"")</f>
        <v/>
      </c>
      <c r="AF270">
        <f>IF(H270=1,", "&amp;H$1,"")</f>
        <v/>
      </c>
      <c r="AG270">
        <f>IF(I270=1,", "&amp;I$1,"")</f>
        <v/>
      </c>
      <c r="AH270">
        <f>IF(J270=1,", "&amp;J$1,"")</f>
        <v/>
      </c>
      <c r="AI270">
        <f>IF(K270=1,", "&amp;K$1,"")</f>
        <v/>
      </c>
      <c r="AJ270">
        <f>IF(L270=1,", "&amp;L$1,"")</f>
        <v/>
      </c>
      <c r="AK270">
        <f>IF(M270=1,", "&amp;M$1,"")</f>
        <v/>
      </c>
      <c r="AL270">
        <f>IF(N270=1,", "&amp;N$1,"")</f>
        <v/>
      </c>
      <c r="AM270">
        <f>IF(O270=1,", "&amp;O$1,"")</f>
        <v/>
      </c>
      <c r="AN270">
        <f>IF(P270=1,", "&amp;P$1,"")</f>
        <v/>
      </c>
      <c r="AO270">
        <f>IF(Q270=1,", "&amp;Q$1,"")</f>
        <v/>
      </c>
      <c r="AP270">
        <f>IF(R270=1,", "&amp;R$1,"")</f>
        <v/>
      </c>
      <c r="AQ270">
        <f>IF(S270=1,", "&amp;S$1,"")</f>
        <v/>
      </c>
      <c r="AR270">
        <f>IF(T270=1,", "&amp;T$1,"")</f>
        <v/>
      </c>
      <c r="AS270">
        <f>IF(U270=1,", "&amp;U$1,"")</f>
        <v/>
      </c>
      <c r="AT270">
        <f>IF(V270=1,", "&amp;V$1,"")</f>
        <v/>
      </c>
      <c r="AU270">
        <f>IF(W270=1,", "&amp;W$1,"")</f>
        <v/>
      </c>
      <c r="AV270">
        <f>IF(X270=1,", "&amp;X$1,"")</f>
        <v/>
      </c>
      <c r="AW270">
        <f>IF(Y270=1,", "&amp;Y$1,"")</f>
        <v/>
      </c>
      <c r="AX270">
        <f>IF(Z270=1,", "&amp;Z$1,"")</f>
        <v/>
      </c>
      <c r="AY270">
        <f>IF(AA270=1,", "&amp;AA$1,"")</f>
        <v/>
      </c>
      <c r="AZ270">
        <f>MID($AB270&amp;$AC270&amp;$AD270&amp;$AE270&amp;$AF270&amp;$AG270&amp;$AH270&amp;$AI270&amp;$AJ270&amp;$AK270&amp;$AL270&amp;$AM270&amp;$AN270&amp;$AO270&amp;$AP270&amp;$AQ270&amp;$AR270&amp;$AS270&amp;$AT270&amp;$AU270&amp;$AV270&amp;$AW270&amp;$AX270&amp;$AY270,3,32767)</f>
        <v/>
      </c>
      <c r="BA270">
        <f>COUNT($D270:$AA270)</f>
        <v/>
      </c>
    </row>
    <row r="271">
      <c r="A271" t="n">
        <v>6</v>
      </c>
      <c r="B271" t="inlineStr">
        <is>
          <t>Move Earth</t>
        </is>
      </c>
      <c r="C271" t="inlineStr">
        <is>
          <t>Transmutation</t>
        </is>
      </c>
      <c r="D271">
        <f>IF(Wizards!$A$2="","",IF(OR(ISNUMBER(SEARCH(", "&amp;$B271&amp;", ", ", "&amp;INDEX('Form Responses'!$I$1:$Q$200,2,$A271)&amp;", ")),ISNUMBER(SEARCH(", "&amp;$B271&amp;", ", ", "&amp;INDEX('Form Responses'!$R$1:$R$200,2)&amp;", "))),1,""))</f>
        <v/>
      </c>
      <c r="E271">
        <f>IF(Wizards!$A$3="","",IF(OR(ISNUMBER(SEARCH(", "&amp;$B271&amp;", ", ", "&amp;INDEX('Form Responses'!$I$1:$Q$200,3,$A271)&amp;", ")),ISNUMBER(SEARCH(", "&amp;$B271&amp;", ", ", "&amp;INDEX('Form Responses'!$R$1:$R$200,3)&amp;", "))),1,""))</f>
        <v/>
      </c>
      <c r="F271">
        <f>IF(Wizards!$A$4="","",IF(OR(ISNUMBER(SEARCH(", "&amp;$B271&amp;", ", ", "&amp;INDEX('Form Responses'!$I$1:$Q$200,4,$A271)&amp;", ")),ISNUMBER(SEARCH(", "&amp;$B271&amp;", ", ", "&amp;INDEX('Form Responses'!$R$1:$R$200,4)&amp;", "))),1,""))</f>
        <v/>
      </c>
      <c r="G271">
        <f>IF(Wizards!$A$5="","",IF(OR(ISNUMBER(SEARCH(", "&amp;$B271&amp;", ", ", "&amp;INDEX('Form Responses'!$I$1:$Q$200,5,$A271)&amp;", ")),ISNUMBER(SEARCH(", "&amp;$B271&amp;", ", ", "&amp;INDEX('Form Responses'!$R$1:$R$200,5)&amp;", "))),1,""))</f>
        <v/>
      </c>
      <c r="H271">
        <f>IF(Wizards!$A$6="","",IF(OR(ISNUMBER(SEARCH(", "&amp;$B271&amp;", ", ", "&amp;INDEX('Form Responses'!$I$1:$Q$200,6,$A271)&amp;", ")),ISNUMBER(SEARCH(", "&amp;$B271&amp;", ", ", "&amp;INDEX('Form Responses'!$R$1:$R$200,6)&amp;", "))),1,""))</f>
        <v/>
      </c>
      <c r="I271">
        <f>IF(Wizards!$A$7="","",IF(OR(ISNUMBER(SEARCH(", "&amp;$B271&amp;", ", ", "&amp;INDEX('Form Responses'!$I$1:$Q$200,7,$A271)&amp;", ")),ISNUMBER(SEARCH(", "&amp;$B271&amp;", ", ", "&amp;INDEX('Form Responses'!$R$1:$R$200,7)&amp;", "))),1,""))</f>
        <v/>
      </c>
      <c r="J271">
        <f>IF(Wizards!$A$8="","",IF(OR(ISNUMBER(SEARCH(", "&amp;$B271&amp;", ", ", "&amp;INDEX('Form Responses'!$I$1:$Q$200,8,$A271)&amp;", ")),ISNUMBER(SEARCH(", "&amp;$B271&amp;", ", ", "&amp;INDEX('Form Responses'!$R$1:$R$200,8)&amp;", "))),1,""))</f>
        <v/>
      </c>
      <c r="K271">
        <f>IF(Wizards!$A$9="","",IF(OR(ISNUMBER(SEARCH(", "&amp;$B271&amp;", ", ", "&amp;INDEX('Form Responses'!$I$1:$Q$200,9,$A271)&amp;", ")),ISNUMBER(SEARCH(", "&amp;$B271&amp;", ", ", "&amp;INDEX('Form Responses'!$R$1:$R$200,9)&amp;", "))),1,""))</f>
        <v/>
      </c>
      <c r="L271">
        <f>IF(Wizards!$A$10="","",IF(OR(ISNUMBER(SEARCH(", "&amp;$B271&amp;", ", ", "&amp;INDEX('Form Responses'!$I$1:$Q$200,10,$A271)&amp;", ")),ISNUMBER(SEARCH(", "&amp;$B271&amp;", ", ", "&amp;INDEX('Form Responses'!$R$1:$R$200,10)&amp;", "))),1,""))</f>
        <v/>
      </c>
      <c r="M271">
        <f>IF(Wizards!$A$11="","",IF(OR(ISNUMBER(SEARCH(", "&amp;$B271&amp;", ", ", "&amp;INDEX('Form Responses'!$I$1:$Q$200,11,$A271)&amp;", ")),ISNUMBER(SEARCH(", "&amp;$B271&amp;", ", ", "&amp;INDEX('Form Responses'!$R$1:$R$200,11)&amp;", "))),1,""))</f>
        <v/>
      </c>
      <c r="N271">
        <f>IF(Wizards!$A$12="","",IF(OR(ISNUMBER(SEARCH(", "&amp;$B271&amp;", ", ", "&amp;INDEX('Form Responses'!$I$1:$Q$200,12,$A271)&amp;", ")),ISNUMBER(SEARCH(", "&amp;$B271&amp;", ", ", "&amp;INDEX('Form Responses'!$R$1:$R$200,12)&amp;", "))),1,""))</f>
        <v/>
      </c>
      <c r="O271">
        <f>IF(Wizards!$A$13="","",IF(OR(ISNUMBER(SEARCH(", "&amp;$B271&amp;", ", ", "&amp;INDEX('Form Responses'!$I$1:$Q$200,13,$A271)&amp;", ")),ISNUMBER(SEARCH(", "&amp;$B271&amp;", ", ", "&amp;INDEX('Form Responses'!$R$1:$R$200,13)&amp;", "))),1,""))</f>
        <v/>
      </c>
      <c r="P271">
        <f>IF(Wizards!$A$14="","",IF(OR(ISNUMBER(SEARCH(", "&amp;$B271&amp;", ", ", "&amp;INDEX('Form Responses'!$I$1:$Q$200,14,$A271)&amp;", ")),ISNUMBER(SEARCH(", "&amp;$B271&amp;", ", ", "&amp;INDEX('Form Responses'!$R$1:$R$200,14)&amp;", "))),1,""))</f>
        <v/>
      </c>
      <c r="Q271">
        <f>IF(Wizards!$A$15="","",IF(OR(ISNUMBER(SEARCH(", "&amp;$B271&amp;", ", ", "&amp;INDEX('Form Responses'!$I$1:$Q$200,15,$A271)&amp;", ")),ISNUMBER(SEARCH(", "&amp;$B271&amp;", ", ", "&amp;INDEX('Form Responses'!$R$1:$R$200,15)&amp;", "))),1,""))</f>
        <v/>
      </c>
      <c r="R271">
        <f>IF(Wizards!$A$16="","",IF(OR(ISNUMBER(SEARCH(", "&amp;$B271&amp;", ", ", "&amp;INDEX('Form Responses'!$I$1:$Q$200,16,$A271)&amp;", ")),ISNUMBER(SEARCH(", "&amp;$B271&amp;", ", ", "&amp;INDEX('Form Responses'!$R$1:$R$200,16)&amp;", "))),1,""))</f>
        <v/>
      </c>
      <c r="S271">
        <f>IF(Wizards!$A$17="","",IF(OR(ISNUMBER(SEARCH(", "&amp;$B271&amp;", ", ", "&amp;INDEX('Form Responses'!$I$1:$Q$200,17,$A271)&amp;", ")),ISNUMBER(SEARCH(", "&amp;$B271&amp;", ", ", "&amp;INDEX('Form Responses'!$R$1:$R$200,17)&amp;", "))),1,""))</f>
        <v/>
      </c>
      <c r="T271">
        <f>IF(Wizards!$A$18="","",IF(OR(ISNUMBER(SEARCH(", "&amp;$B271&amp;", ", ", "&amp;INDEX('Form Responses'!$I$1:$Q$200,18,$A271)&amp;", ")),ISNUMBER(SEARCH(", "&amp;$B271&amp;", ", ", "&amp;INDEX('Form Responses'!$R$1:$R$200,18)&amp;", "))),1,""))</f>
        <v/>
      </c>
      <c r="U271">
        <f>IF(Wizards!$A$19="","",IF(OR(ISNUMBER(SEARCH(", "&amp;$B271&amp;", ", ", "&amp;INDEX('Form Responses'!$I$1:$Q$200,19,$A271)&amp;", ")),ISNUMBER(SEARCH(", "&amp;$B271&amp;", ", ", "&amp;INDEX('Form Responses'!$R$1:$R$200,19)&amp;", "))),1,""))</f>
        <v/>
      </c>
      <c r="V271">
        <f>IF(Wizards!$A$20="","",IF(OR(ISNUMBER(SEARCH(", "&amp;$B271&amp;", ", ", "&amp;INDEX('Form Responses'!$I$1:$Q$200,20,$A271)&amp;", ")),ISNUMBER(SEARCH(", "&amp;$B271&amp;", ", ", "&amp;INDEX('Form Responses'!$R$1:$R$200,20)&amp;", "))),1,""))</f>
        <v/>
      </c>
      <c r="W271">
        <f>IF(Wizards!$A$21="","",IF(OR(ISNUMBER(SEARCH(", "&amp;$B271&amp;", ", ", "&amp;INDEX('Form Responses'!$I$1:$Q$200,21,$A271)&amp;", ")),ISNUMBER(SEARCH(", "&amp;$B271&amp;", ", ", "&amp;INDEX('Form Responses'!$R$1:$R$200,21)&amp;", "))),1,""))</f>
        <v/>
      </c>
      <c r="X271">
        <f>IF(Wizards!$A$22="","",IF(OR(ISNUMBER(SEARCH(", "&amp;$B271&amp;", ", ", "&amp;INDEX('Form Responses'!$I$1:$Q$200,22,$A271)&amp;", ")),ISNUMBER(SEARCH(", "&amp;$B271&amp;", ", ", "&amp;INDEX('Form Responses'!$R$1:$R$200,22)&amp;", "))),1,""))</f>
        <v/>
      </c>
      <c r="Y271">
        <f>IF(Wizards!$A$23="","",IF(OR(ISNUMBER(SEARCH(", "&amp;$B271&amp;", ", ", "&amp;INDEX('Form Responses'!$I$1:$Q$200,23,$A271)&amp;", ")),ISNUMBER(SEARCH(", "&amp;$B271&amp;", ", ", "&amp;INDEX('Form Responses'!$R$1:$R$200,23)&amp;", "))),1,""))</f>
        <v/>
      </c>
      <c r="Z271">
        <f>IF(Wizards!$A$24="","",IF(OR(ISNUMBER(SEARCH(", "&amp;$B271&amp;", ", ", "&amp;INDEX('Form Responses'!$I$1:$Q$200,24,$A271)&amp;", ")),ISNUMBER(SEARCH(", "&amp;$B271&amp;", ", ", "&amp;INDEX('Form Responses'!$R$1:$R$200,24)&amp;", "))),1,""))</f>
        <v/>
      </c>
      <c r="AA271">
        <f>IF(Wizards!$A$25="","",IF(OR(ISNUMBER(SEARCH(", "&amp;$B271&amp;", ", ", "&amp;INDEX('Form Responses'!$I$1:$Q$200,25,$A271)&amp;", ")),ISNUMBER(SEARCH(", "&amp;$B271&amp;", ", ", "&amp;INDEX('Form Responses'!$R$1:$R$200,25)&amp;", "))),1,""))</f>
        <v/>
      </c>
      <c r="AB271">
        <f>IF(D271=1,", "&amp;D$1,"")</f>
        <v/>
      </c>
      <c r="AC271">
        <f>IF(E271=1,", "&amp;E$1,"")</f>
        <v/>
      </c>
      <c r="AD271">
        <f>IF(F271=1,", "&amp;F$1,"")</f>
        <v/>
      </c>
      <c r="AE271">
        <f>IF(G271=1,", "&amp;G$1,"")</f>
        <v/>
      </c>
      <c r="AF271">
        <f>IF(H271=1,", "&amp;H$1,"")</f>
        <v/>
      </c>
      <c r="AG271">
        <f>IF(I271=1,", "&amp;I$1,"")</f>
        <v/>
      </c>
      <c r="AH271">
        <f>IF(J271=1,", "&amp;J$1,"")</f>
        <v/>
      </c>
      <c r="AI271">
        <f>IF(K271=1,", "&amp;K$1,"")</f>
        <v/>
      </c>
      <c r="AJ271">
        <f>IF(L271=1,", "&amp;L$1,"")</f>
        <v/>
      </c>
      <c r="AK271">
        <f>IF(M271=1,", "&amp;M$1,"")</f>
        <v/>
      </c>
      <c r="AL271">
        <f>IF(N271=1,", "&amp;N$1,"")</f>
        <v/>
      </c>
      <c r="AM271">
        <f>IF(O271=1,", "&amp;O$1,"")</f>
        <v/>
      </c>
      <c r="AN271">
        <f>IF(P271=1,", "&amp;P$1,"")</f>
        <v/>
      </c>
      <c r="AO271">
        <f>IF(Q271=1,", "&amp;Q$1,"")</f>
        <v/>
      </c>
      <c r="AP271">
        <f>IF(R271=1,", "&amp;R$1,"")</f>
        <v/>
      </c>
      <c r="AQ271">
        <f>IF(S271=1,", "&amp;S$1,"")</f>
        <v/>
      </c>
      <c r="AR271">
        <f>IF(T271=1,", "&amp;T$1,"")</f>
        <v/>
      </c>
      <c r="AS271">
        <f>IF(U271=1,", "&amp;U$1,"")</f>
        <v/>
      </c>
      <c r="AT271">
        <f>IF(V271=1,", "&amp;V$1,"")</f>
        <v/>
      </c>
      <c r="AU271">
        <f>IF(W271=1,", "&amp;W$1,"")</f>
        <v/>
      </c>
      <c r="AV271">
        <f>IF(X271=1,", "&amp;X$1,"")</f>
        <v/>
      </c>
      <c r="AW271">
        <f>IF(Y271=1,", "&amp;Y$1,"")</f>
        <v/>
      </c>
      <c r="AX271">
        <f>IF(Z271=1,", "&amp;Z$1,"")</f>
        <v/>
      </c>
      <c r="AY271">
        <f>IF(AA271=1,", "&amp;AA$1,"")</f>
        <v/>
      </c>
      <c r="AZ271">
        <f>MID($AB271&amp;$AC271&amp;$AD271&amp;$AE271&amp;$AF271&amp;$AG271&amp;$AH271&amp;$AI271&amp;$AJ271&amp;$AK271&amp;$AL271&amp;$AM271&amp;$AN271&amp;$AO271&amp;$AP271&amp;$AQ271&amp;$AR271&amp;$AS271&amp;$AT271&amp;$AU271&amp;$AV271&amp;$AW271&amp;$AX271&amp;$AY271,3,32767)</f>
        <v/>
      </c>
      <c r="BA271">
        <f>COUNT($D271:$AA271)</f>
        <v/>
      </c>
    </row>
    <row r="272">
      <c r="A272" t="n">
        <v>6</v>
      </c>
      <c r="B272" t="inlineStr">
        <is>
          <t>Otiluke's Freezing Sphere</t>
        </is>
      </c>
      <c r="C272" t="inlineStr">
        <is>
          <t>Evocation</t>
        </is>
      </c>
      <c r="D272">
        <f>IF(Wizards!$A$2="","",IF(OR(ISNUMBER(SEARCH(", "&amp;$B272&amp;", ", ", "&amp;INDEX('Form Responses'!$I$1:$Q$200,2,$A272)&amp;", ")),ISNUMBER(SEARCH(", "&amp;$B272&amp;", ", ", "&amp;INDEX('Form Responses'!$R$1:$R$200,2)&amp;", "))),1,""))</f>
        <v/>
      </c>
      <c r="E272">
        <f>IF(Wizards!$A$3="","",IF(OR(ISNUMBER(SEARCH(", "&amp;$B272&amp;", ", ", "&amp;INDEX('Form Responses'!$I$1:$Q$200,3,$A272)&amp;", ")),ISNUMBER(SEARCH(", "&amp;$B272&amp;", ", ", "&amp;INDEX('Form Responses'!$R$1:$R$200,3)&amp;", "))),1,""))</f>
        <v/>
      </c>
      <c r="F272">
        <f>IF(Wizards!$A$4="","",IF(OR(ISNUMBER(SEARCH(", "&amp;$B272&amp;", ", ", "&amp;INDEX('Form Responses'!$I$1:$Q$200,4,$A272)&amp;", ")),ISNUMBER(SEARCH(", "&amp;$B272&amp;", ", ", "&amp;INDEX('Form Responses'!$R$1:$R$200,4)&amp;", "))),1,""))</f>
        <v/>
      </c>
      <c r="G272">
        <f>IF(Wizards!$A$5="","",IF(OR(ISNUMBER(SEARCH(", "&amp;$B272&amp;", ", ", "&amp;INDEX('Form Responses'!$I$1:$Q$200,5,$A272)&amp;", ")),ISNUMBER(SEARCH(", "&amp;$B272&amp;", ", ", "&amp;INDEX('Form Responses'!$R$1:$R$200,5)&amp;", "))),1,""))</f>
        <v/>
      </c>
      <c r="H272">
        <f>IF(Wizards!$A$6="","",IF(OR(ISNUMBER(SEARCH(", "&amp;$B272&amp;", ", ", "&amp;INDEX('Form Responses'!$I$1:$Q$200,6,$A272)&amp;", ")),ISNUMBER(SEARCH(", "&amp;$B272&amp;", ", ", "&amp;INDEX('Form Responses'!$R$1:$R$200,6)&amp;", "))),1,""))</f>
        <v/>
      </c>
      <c r="I272">
        <f>IF(Wizards!$A$7="","",IF(OR(ISNUMBER(SEARCH(", "&amp;$B272&amp;", ", ", "&amp;INDEX('Form Responses'!$I$1:$Q$200,7,$A272)&amp;", ")),ISNUMBER(SEARCH(", "&amp;$B272&amp;", ", ", "&amp;INDEX('Form Responses'!$R$1:$R$200,7)&amp;", "))),1,""))</f>
        <v/>
      </c>
      <c r="J272">
        <f>IF(Wizards!$A$8="","",IF(OR(ISNUMBER(SEARCH(", "&amp;$B272&amp;", ", ", "&amp;INDEX('Form Responses'!$I$1:$Q$200,8,$A272)&amp;", ")),ISNUMBER(SEARCH(", "&amp;$B272&amp;", ", ", "&amp;INDEX('Form Responses'!$R$1:$R$200,8)&amp;", "))),1,""))</f>
        <v/>
      </c>
      <c r="K272">
        <f>IF(Wizards!$A$9="","",IF(OR(ISNUMBER(SEARCH(", "&amp;$B272&amp;", ", ", "&amp;INDEX('Form Responses'!$I$1:$Q$200,9,$A272)&amp;", ")),ISNUMBER(SEARCH(", "&amp;$B272&amp;", ", ", "&amp;INDEX('Form Responses'!$R$1:$R$200,9)&amp;", "))),1,""))</f>
        <v/>
      </c>
      <c r="L272">
        <f>IF(Wizards!$A$10="","",IF(OR(ISNUMBER(SEARCH(", "&amp;$B272&amp;", ", ", "&amp;INDEX('Form Responses'!$I$1:$Q$200,10,$A272)&amp;", ")),ISNUMBER(SEARCH(", "&amp;$B272&amp;", ", ", "&amp;INDEX('Form Responses'!$R$1:$R$200,10)&amp;", "))),1,""))</f>
        <v/>
      </c>
      <c r="M272">
        <f>IF(Wizards!$A$11="","",IF(OR(ISNUMBER(SEARCH(", "&amp;$B272&amp;", ", ", "&amp;INDEX('Form Responses'!$I$1:$Q$200,11,$A272)&amp;", ")),ISNUMBER(SEARCH(", "&amp;$B272&amp;", ", ", "&amp;INDEX('Form Responses'!$R$1:$R$200,11)&amp;", "))),1,""))</f>
        <v/>
      </c>
      <c r="N272">
        <f>IF(Wizards!$A$12="","",IF(OR(ISNUMBER(SEARCH(", "&amp;$B272&amp;", ", ", "&amp;INDEX('Form Responses'!$I$1:$Q$200,12,$A272)&amp;", ")),ISNUMBER(SEARCH(", "&amp;$B272&amp;", ", ", "&amp;INDEX('Form Responses'!$R$1:$R$200,12)&amp;", "))),1,""))</f>
        <v/>
      </c>
      <c r="O272">
        <f>IF(Wizards!$A$13="","",IF(OR(ISNUMBER(SEARCH(", "&amp;$B272&amp;", ", ", "&amp;INDEX('Form Responses'!$I$1:$Q$200,13,$A272)&amp;", ")),ISNUMBER(SEARCH(", "&amp;$B272&amp;", ", ", "&amp;INDEX('Form Responses'!$R$1:$R$200,13)&amp;", "))),1,""))</f>
        <v/>
      </c>
      <c r="P272">
        <f>IF(Wizards!$A$14="","",IF(OR(ISNUMBER(SEARCH(", "&amp;$B272&amp;", ", ", "&amp;INDEX('Form Responses'!$I$1:$Q$200,14,$A272)&amp;", ")),ISNUMBER(SEARCH(", "&amp;$B272&amp;", ", ", "&amp;INDEX('Form Responses'!$R$1:$R$200,14)&amp;", "))),1,""))</f>
        <v/>
      </c>
      <c r="Q272">
        <f>IF(Wizards!$A$15="","",IF(OR(ISNUMBER(SEARCH(", "&amp;$B272&amp;", ", ", "&amp;INDEX('Form Responses'!$I$1:$Q$200,15,$A272)&amp;", ")),ISNUMBER(SEARCH(", "&amp;$B272&amp;", ", ", "&amp;INDEX('Form Responses'!$R$1:$R$200,15)&amp;", "))),1,""))</f>
        <v/>
      </c>
      <c r="R272">
        <f>IF(Wizards!$A$16="","",IF(OR(ISNUMBER(SEARCH(", "&amp;$B272&amp;", ", ", "&amp;INDEX('Form Responses'!$I$1:$Q$200,16,$A272)&amp;", ")),ISNUMBER(SEARCH(", "&amp;$B272&amp;", ", ", "&amp;INDEX('Form Responses'!$R$1:$R$200,16)&amp;", "))),1,""))</f>
        <v/>
      </c>
      <c r="S272">
        <f>IF(Wizards!$A$17="","",IF(OR(ISNUMBER(SEARCH(", "&amp;$B272&amp;", ", ", "&amp;INDEX('Form Responses'!$I$1:$Q$200,17,$A272)&amp;", ")),ISNUMBER(SEARCH(", "&amp;$B272&amp;", ", ", "&amp;INDEX('Form Responses'!$R$1:$R$200,17)&amp;", "))),1,""))</f>
        <v/>
      </c>
      <c r="T272">
        <f>IF(Wizards!$A$18="","",IF(OR(ISNUMBER(SEARCH(", "&amp;$B272&amp;", ", ", "&amp;INDEX('Form Responses'!$I$1:$Q$200,18,$A272)&amp;", ")),ISNUMBER(SEARCH(", "&amp;$B272&amp;", ", ", "&amp;INDEX('Form Responses'!$R$1:$R$200,18)&amp;", "))),1,""))</f>
        <v/>
      </c>
      <c r="U272">
        <f>IF(Wizards!$A$19="","",IF(OR(ISNUMBER(SEARCH(", "&amp;$B272&amp;", ", ", "&amp;INDEX('Form Responses'!$I$1:$Q$200,19,$A272)&amp;", ")),ISNUMBER(SEARCH(", "&amp;$B272&amp;", ", ", "&amp;INDEX('Form Responses'!$R$1:$R$200,19)&amp;", "))),1,""))</f>
        <v/>
      </c>
      <c r="V272">
        <f>IF(Wizards!$A$20="","",IF(OR(ISNUMBER(SEARCH(", "&amp;$B272&amp;", ", ", "&amp;INDEX('Form Responses'!$I$1:$Q$200,20,$A272)&amp;", ")),ISNUMBER(SEARCH(", "&amp;$B272&amp;", ", ", "&amp;INDEX('Form Responses'!$R$1:$R$200,20)&amp;", "))),1,""))</f>
        <v/>
      </c>
      <c r="W272">
        <f>IF(Wizards!$A$21="","",IF(OR(ISNUMBER(SEARCH(", "&amp;$B272&amp;", ", ", "&amp;INDEX('Form Responses'!$I$1:$Q$200,21,$A272)&amp;", ")),ISNUMBER(SEARCH(", "&amp;$B272&amp;", ", ", "&amp;INDEX('Form Responses'!$R$1:$R$200,21)&amp;", "))),1,""))</f>
        <v/>
      </c>
      <c r="X272">
        <f>IF(Wizards!$A$22="","",IF(OR(ISNUMBER(SEARCH(", "&amp;$B272&amp;", ", ", "&amp;INDEX('Form Responses'!$I$1:$Q$200,22,$A272)&amp;", ")),ISNUMBER(SEARCH(", "&amp;$B272&amp;", ", ", "&amp;INDEX('Form Responses'!$R$1:$R$200,22)&amp;", "))),1,""))</f>
        <v/>
      </c>
      <c r="Y272">
        <f>IF(Wizards!$A$23="","",IF(OR(ISNUMBER(SEARCH(", "&amp;$B272&amp;", ", ", "&amp;INDEX('Form Responses'!$I$1:$Q$200,23,$A272)&amp;", ")),ISNUMBER(SEARCH(", "&amp;$B272&amp;", ", ", "&amp;INDEX('Form Responses'!$R$1:$R$200,23)&amp;", "))),1,""))</f>
        <v/>
      </c>
      <c r="Z272">
        <f>IF(Wizards!$A$24="","",IF(OR(ISNUMBER(SEARCH(", "&amp;$B272&amp;", ", ", "&amp;INDEX('Form Responses'!$I$1:$Q$200,24,$A272)&amp;", ")),ISNUMBER(SEARCH(", "&amp;$B272&amp;", ", ", "&amp;INDEX('Form Responses'!$R$1:$R$200,24)&amp;", "))),1,""))</f>
        <v/>
      </c>
      <c r="AA272">
        <f>IF(Wizards!$A$25="","",IF(OR(ISNUMBER(SEARCH(", "&amp;$B272&amp;", ", ", "&amp;INDEX('Form Responses'!$I$1:$Q$200,25,$A272)&amp;", ")),ISNUMBER(SEARCH(", "&amp;$B272&amp;", ", ", "&amp;INDEX('Form Responses'!$R$1:$R$200,25)&amp;", "))),1,""))</f>
        <v/>
      </c>
      <c r="AB272">
        <f>IF(D272=1,", "&amp;D$1,"")</f>
        <v/>
      </c>
      <c r="AC272">
        <f>IF(E272=1,", "&amp;E$1,"")</f>
        <v/>
      </c>
      <c r="AD272">
        <f>IF(F272=1,", "&amp;F$1,"")</f>
        <v/>
      </c>
      <c r="AE272">
        <f>IF(G272=1,", "&amp;G$1,"")</f>
        <v/>
      </c>
      <c r="AF272">
        <f>IF(H272=1,", "&amp;H$1,"")</f>
        <v/>
      </c>
      <c r="AG272">
        <f>IF(I272=1,", "&amp;I$1,"")</f>
        <v/>
      </c>
      <c r="AH272">
        <f>IF(J272=1,", "&amp;J$1,"")</f>
        <v/>
      </c>
      <c r="AI272">
        <f>IF(K272=1,", "&amp;K$1,"")</f>
        <v/>
      </c>
      <c r="AJ272">
        <f>IF(L272=1,", "&amp;L$1,"")</f>
        <v/>
      </c>
      <c r="AK272">
        <f>IF(M272=1,", "&amp;M$1,"")</f>
        <v/>
      </c>
      <c r="AL272">
        <f>IF(N272=1,", "&amp;N$1,"")</f>
        <v/>
      </c>
      <c r="AM272">
        <f>IF(O272=1,", "&amp;O$1,"")</f>
        <v/>
      </c>
      <c r="AN272">
        <f>IF(P272=1,", "&amp;P$1,"")</f>
        <v/>
      </c>
      <c r="AO272">
        <f>IF(Q272=1,", "&amp;Q$1,"")</f>
        <v/>
      </c>
      <c r="AP272">
        <f>IF(R272=1,", "&amp;R$1,"")</f>
        <v/>
      </c>
      <c r="AQ272">
        <f>IF(S272=1,", "&amp;S$1,"")</f>
        <v/>
      </c>
      <c r="AR272">
        <f>IF(T272=1,", "&amp;T$1,"")</f>
        <v/>
      </c>
      <c r="AS272">
        <f>IF(U272=1,", "&amp;U$1,"")</f>
        <v/>
      </c>
      <c r="AT272">
        <f>IF(V272=1,", "&amp;V$1,"")</f>
        <v/>
      </c>
      <c r="AU272">
        <f>IF(W272=1,", "&amp;W$1,"")</f>
        <v/>
      </c>
      <c r="AV272">
        <f>IF(X272=1,", "&amp;X$1,"")</f>
        <v/>
      </c>
      <c r="AW272">
        <f>IF(Y272=1,", "&amp;Y$1,"")</f>
        <v/>
      </c>
      <c r="AX272">
        <f>IF(Z272=1,", "&amp;Z$1,"")</f>
        <v/>
      </c>
      <c r="AY272">
        <f>IF(AA272=1,", "&amp;AA$1,"")</f>
        <v/>
      </c>
      <c r="AZ272">
        <f>MID($AB272&amp;$AC272&amp;$AD272&amp;$AE272&amp;$AF272&amp;$AG272&amp;$AH272&amp;$AI272&amp;$AJ272&amp;$AK272&amp;$AL272&amp;$AM272&amp;$AN272&amp;$AO272&amp;$AP272&amp;$AQ272&amp;$AR272&amp;$AS272&amp;$AT272&amp;$AU272&amp;$AV272&amp;$AW272&amp;$AX272&amp;$AY272,3,32767)</f>
        <v/>
      </c>
      <c r="BA272">
        <f>COUNT($D272:$AA272)</f>
        <v/>
      </c>
    </row>
    <row r="273">
      <c r="A273" t="n">
        <v>6</v>
      </c>
      <c r="B273" t="inlineStr">
        <is>
          <t>Otto's Irresistible Dance</t>
        </is>
      </c>
      <c r="C273" t="inlineStr">
        <is>
          <t>Enchantment</t>
        </is>
      </c>
      <c r="D273">
        <f>IF(Wizards!$A$2="","",IF(OR(ISNUMBER(SEARCH(", "&amp;$B273&amp;", ", ", "&amp;INDEX('Form Responses'!$I$1:$Q$200,2,$A273)&amp;", ")),ISNUMBER(SEARCH(", "&amp;$B273&amp;", ", ", "&amp;INDEX('Form Responses'!$R$1:$R$200,2)&amp;", "))),1,""))</f>
        <v/>
      </c>
      <c r="E273">
        <f>IF(Wizards!$A$3="","",IF(OR(ISNUMBER(SEARCH(", "&amp;$B273&amp;", ", ", "&amp;INDEX('Form Responses'!$I$1:$Q$200,3,$A273)&amp;", ")),ISNUMBER(SEARCH(", "&amp;$B273&amp;", ", ", "&amp;INDEX('Form Responses'!$R$1:$R$200,3)&amp;", "))),1,""))</f>
        <v/>
      </c>
      <c r="F273">
        <f>IF(Wizards!$A$4="","",IF(OR(ISNUMBER(SEARCH(", "&amp;$B273&amp;", ", ", "&amp;INDEX('Form Responses'!$I$1:$Q$200,4,$A273)&amp;", ")),ISNUMBER(SEARCH(", "&amp;$B273&amp;", ", ", "&amp;INDEX('Form Responses'!$R$1:$R$200,4)&amp;", "))),1,""))</f>
        <v/>
      </c>
      <c r="G273">
        <f>IF(Wizards!$A$5="","",IF(OR(ISNUMBER(SEARCH(", "&amp;$B273&amp;", ", ", "&amp;INDEX('Form Responses'!$I$1:$Q$200,5,$A273)&amp;", ")),ISNUMBER(SEARCH(", "&amp;$B273&amp;", ", ", "&amp;INDEX('Form Responses'!$R$1:$R$200,5)&amp;", "))),1,""))</f>
        <v/>
      </c>
      <c r="H273">
        <f>IF(Wizards!$A$6="","",IF(OR(ISNUMBER(SEARCH(", "&amp;$B273&amp;", ", ", "&amp;INDEX('Form Responses'!$I$1:$Q$200,6,$A273)&amp;", ")),ISNUMBER(SEARCH(", "&amp;$B273&amp;", ", ", "&amp;INDEX('Form Responses'!$R$1:$R$200,6)&amp;", "))),1,""))</f>
        <v/>
      </c>
      <c r="I273">
        <f>IF(Wizards!$A$7="","",IF(OR(ISNUMBER(SEARCH(", "&amp;$B273&amp;", ", ", "&amp;INDEX('Form Responses'!$I$1:$Q$200,7,$A273)&amp;", ")),ISNUMBER(SEARCH(", "&amp;$B273&amp;", ", ", "&amp;INDEX('Form Responses'!$R$1:$R$200,7)&amp;", "))),1,""))</f>
        <v/>
      </c>
      <c r="J273">
        <f>IF(Wizards!$A$8="","",IF(OR(ISNUMBER(SEARCH(", "&amp;$B273&amp;", ", ", "&amp;INDEX('Form Responses'!$I$1:$Q$200,8,$A273)&amp;", ")),ISNUMBER(SEARCH(", "&amp;$B273&amp;", ", ", "&amp;INDEX('Form Responses'!$R$1:$R$200,8)&amp;", "))),1,""))</f>
        <v/>
      </c>
      <c r="K273">
        <f>IF(Wizards!$A$9="","",IF(OR(ISNUMBER(SEARCH(", "&amp;$B273&amp;", ", ", "&amp;INDEX('Form Responses'!$I$1:$Q$200,9,$A273)&amp;", ")),ISNUMBER(SEARCH(", "&amp;$B273&amp;", ", ", "&amp;INDEX('Form Responses'!$R$1:$R$200,9)&amp;", "))),1,""))</f>
        <v/>
      </c>
      <c r="L273">
        <f>IF(Wizards!$A$10="","",IF(OR(ISNUMBER(SEARCH(", "&amp;$B273&amp;", ", ", "&amp;INDEX('Form Responses'!$I$1:$Q$200,10,$A273)&amp;", ")),ISNUMBER(SEARCH(", "&amp;$B273&amp;", ", ", "&amp;INDEX('Form Responses'!$R$1:$R$200,10)&amp;", "))),1,""))</f>
        <v/>
      </c>
      <c r="M273">
        <f>IF(Wizards!$A$11="","",IF(OR(ISNUMBER(SEARCH(", "&amp;$B273&amp;", ", ", "&amp;INDEX('Form Responses'!$I$1:$Q$200,11,$A273)&amp;", ")),ISNUMBER(SEARCH(", "&amp;$B273&amp;", ", ", "&amp;INDEX('Form Responses'!$R$1:$R$200,11)&amp;", "))),1,""))</f>
        <v/>
      </c>
      <c r="N273">
        <f>IF(Wizards!$A$12="","",IF(OR(ISNUMBER(SEARCH(", "&amp;$B273&amp;", ", ", "&amp;INDEX('Form Responses'!$I$1:$Q$200,12,$A273)&amp;", ")),ISNUMBER(SEARCH(", "&amp;$B273&amp;", ", ", "&amp;INDEX('Form Responses'!$R$1:$R$200,12)&amp;", "))),1,""))</f>
        <v/>
      </c>
      <c r="O273">
        <f>IF(Wizards!$A$13="","",IF(OR(ISNUMBER(SEARCH(", "&amp;$B273&amp;", ", ", "&amp;INDEX('Form Responses'!$I$1:$Q$200,13,$A273)&amp;", ")),ISNUMBER(SEARCH(", "&amp;$B273&amp;", ", ", "&amp;INDEX('Form Responses'!$R$1:$R$200,13)&amp;", "))),1,""))</f>
        <v/>
      </c>
      <c r="P273">
        <f>IF(Wizards!$A$14="","",IF(OR(ISNUMBER(SEARCH(", "&amp;$B273&amp;", ", ", "&amp;INDEX('Form Responses'!$I$1:$Q$200,14,$A273)&amp;", ")),ISNUMBER(SEARCH(", "&amp;$B273&amp;", ", ", "&amp;INDEX('Form Responses'!$R$1:$R$200,14)&amp;", "))),1,""))</f>
        <v/>
      </c>
      <c r="Q273">
        <f>IF(Wizards!$A$15="","",IF(OR(ISNUMBER(SEARCH(", "&amp;$B273&amp;", ", ", "&amp;INDEX('Form Responses'!$I$1:$Q$200,15,$A273)&amp;", ")),ISNUMBER(SEARCH(", "&amp;$B273&amp;", ", ", "&amp;INDEX('Form Responses'!$R$1:$R$200,15)&amp;", "))),1,""))</f>
        <v/>
      </c>
      <c r="R273">
        <f>IF(Wizards!$A$16="","",IF(OR(ISNUMBER(SEARCH(", "&amp;$B273&amp;", ", ", "&amp;INDEX('Form Responses'!$I$1:$Q$200,16,$A273)&amp;", ")),ISNUMBER(SEARCH(", "&amp;$B273&amp;", ", ", "&amp;INDEX('Form Responses'!$R$1:$R$200,16)&amp;", "))),1,""))</f>
        <v/>
      </c>
      <c r="S273">
        <f>IF(Wizards!$A$17="","",IF(OR(ISNUMBER(SEARCH(", "&amp;$B273&amp;", ", ", "&amp;INDEX('Form Responses'!$I$1:$Q$200,17,$A273)&amp;", ")),ISNUMBER(SEARCH(", "&amp;$B273&amp;", ", ", "&amp;INDEX('Form Responses'!$R$1:$R$200,17)&amp;", "))),1,""))</f>
        <v/>
      </c>
      <c r="T273">
        <f>IF(Wizards!$A$18="","",IF(OR(ISNUMBER(SEARCH(", "&amp;$B273&amp;", ", ", "&amp;INDEX('Form Responses'!$I$1:$Q$200,18,$A273)&amp;", ")),ISNUMBER(SEARCH(", "&amp;$B273&amp;", ", ", "&amp;INDEX('Form Responses'!$R$1:$R$200,18)&amp;", "))),1,""))</f>
        <v/>
      </c>
      <c r="U273">
        <f>IF(Wizards!$A$19="","",IF(OR(ISNUMBER(SEARCH(", "&amp;$B273&amp;", ", ", "&amp;INDEX('Form Responses'!$I$1:$Q$200,19,$A273)&amp;", ")),ISNUMBER(SEARCH(", "&amp;$B273&amp;", ", ", "&amp;INDEX('Form Responses'!$R$1:$R$200,19)&amp;", "))),1,""))</f>
        <v/>
      </c>
      <c r="V273">
        <f>IF(Wizards!$A$20="","",IF(OR(ISNUMBER(SEARCH(", "&amp;$B273&amp;", ", ", "&amp;INDEX('Form Responses'!$I$1:$Q$200,20,$A273)&amp;", ")),ISNUMBER(SEARCH(", "&amp;$B273&amp;", ", ", "&amp;INDEX('Form Responses'!$R$1:$R$200,20)&amp;", "))),1,""))</f>
        <v/>
      </c>
      <c r="W273">
        <f>IF(Wizards!$A$21="","",IF(OR(ISNUMBER(SEARCH(", "&amp;$B273&amp;", ", ", "&amp;INDEX('Form Responses'!$I$1:$Q$200,21,$A273)&amp;", ")),ISNUMBER(SEARCH(", "&amp;$B273&amp;", ", ", "&amp;INDEX('Form Responses'!$R$1:$R$200,21)&amp;", "))),1,""))</f>
        <v/>
      </c>
      <c r="X273">
        <f>IF(Wizards!$A$22="","",IF(OR(ISNUMBER(SEARCH(", "&amp;$B273&amp;", ", ", "&amp;INDEX('Form Responses'!$I$1:$Q$200,22,$A273)&amp;", ")),ISNUMBER(SEARCH(", "&amp;$B273&amp;", ", ", "&amp;INDEX('Form Responses'!$R$1:$R$200,22)&amp;", "))),1,""))</f>
        <v/>
      </c>
      <c r="Y273">
        <f>IF(Wizards!$A$23="","",IF(OR(ISNUMBER(SEARCH(", "&amp;$B273&amp;", ", ", "&amp;INDEX('Form Responses'!$I$1:$Q$200,23,$A273)&amp;", ")),ISNUMBER(SEARCH(", "&amp;$B273&amp;", ", ", "&amp;INDEX('Form Responses'!$R$1:$R$200,23)&amp;", "))),1,""))</f>
        <v/>
      </c>
      <c r="Z273">
        <f>IF(Wizards!$A$24="","",IF(OR(ISNUMBER(SEARCH(", "&amp;$B273&amp;", ", ", "&amp;INDEX('Form Responses'!$I$1:$Q$200,24,$A273)&amp;", ")),ISNUMBER(SEARCH(", "&amp;$B273&amp;", ", ", "&amp;INDEX('Form Responses'!$R$1:$R$200,24)&amp;", "))),1,""))</f>
        <v/>
      </c>
      <c r="AA273">
        <f>IF(Wizards!$A$25="","",IF(OR(ISNUMBER(SEARCH(", "&amp;$B273&amp;", ", ", "&amp;INDEX('Form Responses'!$I$1:$Q$200,25,$A273)&amp;", ")),ISNUMBER(SEARCH(", "&amp;$B273&amp;", ", ", "&amp;INDEX('Form Responses'!$R$1:$R$200,25)&amp;", "))),1,""))</f>
        <v/>
      </c>
      <c r="AB273">
        <f>IF(D273=1,", "&amp;D$1,"")</f>
        <v/>
      </c>
      <c r="AC273">
        <f>IF(E273=1,", "&amp;E$1,"")</f>
        <v/>
      </c>
      <c r="AD273">
        <f>IF(F273=1,", "&amp;F$1,"")</f>
        <v/>
      </c>
      <c r="AE273">
        <f>IF(G273=1,", "&amp;G$1,"")</f>
        <v/>
      </c>
      <c r="AF273">
        <f>IF(H273=1,", "&amp;H$1,"")</f>
        <v/>
      </c>
      <c r="AG273">
        <f>IF(I273=1,", "&amp;I$1,"")</f>
        <v/>
      </c>
      <c r="AH273">
        <f>IF(J273=1,", "&amp;J$1,"")</f>
        <v/>
      </c>
      <c r="AI273">
        <f>IF(K273=1,", "&amp;K$1,"")</f>
        <v/>
      </c>
      <c r="AJ273">
        <f>IF(L273=1,", "&amp;L$1,"")</f>
        <v/>
      </c>
      <c r="AK273">
        <f>IF(M273=1,", "&amp;M$1,"")</f>
        <v/>
      </c>
      <c r="AL273">
        <f>IF(N273=1,", "&amp;N$1,"")</f>
        <v/>
      </c>
      <c r="AM273">
        <f>IF(O273=1,", "&amp;O$1,"")</f>
        <v/>
      </c>
      <c r="AN273">
        <f>IF(P273=1,", "&amp;P$1,"")</f>
        <v/>
      </c>
      <c r="AO273">
        <f>IF(Q273=1,", "&amp;Q$1,"")</f>
        <v/>
      </c>
      <c r="AP273">
        <f>IF(R273=1,", "&amp;R$1,"")</f>
        <v/>
      </c>
      <c r="AQ273">
        <f>IF(S273=1,", "&amp;S$1,"")</f>
        <v/>
      </c>
      <c r="AR273">
        <f>IF(T273=1,", "&amp;T$1,"")</f>
        <v/>
      </c>
      <c r="AS273">
        <f>IF(U273=1,", "&amp;U$1,"")</f>
        <v/>
      </c>
      <c r="AT273">
        <f>IF(V273=1,", "&amp;V$1,"")</f>
        <v/>
      </c>
      <c r="AU273">
        <f>IF(W273=1,", "&amp;W$1,"")</f>
        <v/>
      </c>
      <c r="AV273">
        <f>IF(X273=1,", "&amp;X$1,"")</f>
        <v/>
      </c>
      <c r="AW273">
        <f>IF(Y273=1,", "&amp;Y$1,"")</f>
        <v/>
      </c>
      <c r="AX273">
        <f>IF(Z273=1,", "&amp;Z$1,"")</f>
        <v/>
      </c>
      <c r="AY273">
        <f>IF(AA273=1,", "&amp;AA$1,"")</f>
        <v/>
      </c>
      <c r="AZ273">
        <f>MID($AB273&amp;$AC273&amp;$AD273&amp;$AE273&amp;$AF273&amp;$AG273&amp;$AH273&amp;$AI273&amp;$AJ273&amp;$AK273&amp;$AL273&amp;$AM273&amp;$AN273&amp;$AO273&amp;$AP273&amp;$AQ273&amp;$AR273&amp;$AS273&amp;$AT273&amp;$AU273&amp;$AV273&amp;$AW273&amp;$AX273&amp;$AY273,3,32767)</f>
        <v/>
      </c>
      <c r="BA273">
        <f>COUNT($D273:$AA273)</f>
        <v/>
      </c>
    </row>
    <row r="274">
      <c r="A274" t="n">
        <v>6</v>
      </c>
      <c r="B274" t="inlineStr">
        <is>
          <t>Programmed Illusion</t>
        </is>
      </c>
      <c r="C274" t="inlineStr">
        <is>
          <t>Illusion</t>
        </is>
      </c>
      <c r="D274">
        <f>IF(Wizards!$A$2="","",IF(OR(ISNUMBER(SEARCH(", "&amp;$B274&amp;", ", ", "&amp;INDEX('Form Responses'!$I$1:$Q$200,2,$A274)&amp;", ")),ISNUMBER(SEARCH(", "&amp;$B274&amp;", ", ", "&amp;INDEX('Form Responses'!$R$1:$R$200,2)&amp;", "))),1,""))</f>
        <v/>
      </c>
      <c r="E274">
        <f>IF(Wizards!$A$3="","",IF(OR(ISNUMBER(SEARCH(", "&amp;$B274&amp;", ", ", "&amp;INDEX('Form Responses'!$I$1:$Q$200,3,$A274)&amp;", ")),ISNUMBER(SEARCH(", "&amp;$B274&amp;", ", ", "&amp;INDEX('Form Responses'!$R$1:$R$200,3)&amp;", "))),1,""))</f>
        <v/>
      </c>
      <c r="F274">
        <f>IF(Wizards!$A$4="","",IF(OR(ISNUMBER(SEARCH(", "&amp;$B274&amp;", ", ", "&amp;INDEX('Form Responses'!$I$1:$Q$200,4,$A274)&amp;", ")),ISNUMBER(SEARCH(", "&amp;$B274&amp;", ", ", "&amp;INDEX('Form Responses'!$R$1:$R$200,4)&amp;", "))),1,""))</f>
        <v/>
      </c>
      <c r="G274">
        <f>IF(Wizards!$A$5="","",IF(OR(ISNUMBER(SEARCH(", "&amp;$B274&amp;", ", ", "&amp;INDEX('Form Responses'!$I$1:$Q$200,5,$A274)&amp;", ")),ISNUMBER(SEARCH(", "&amp;$B274&amp;", ", ", "&amp;INDEX('Form Responses'!$R$1:$R$200,5)&amp;", "))),1,""))</f>
        <v/>
      </c>
      <c r="H274">
        <f>IF(Wizards!$A$6="","",IF(OR(ISNUMBER(SEARCH(", "&amp;$B274&amp;", ", ", "&amp;INDEX('Form Responses'!$I$1:$Q$200,6,$A274)&amp;", ")),ISNUMBER(SEARCH(", "&amp;$B274&amp;", ", ", "&amp;INDEX('Form Responses'!$R$1:$R$200,6)&amp;", "))),1,""))</f>
        <v/>
      </c>
      <c r="I274">
        <f>IF(Wizards!$A$7="","",IF(OR(ISNUMBER(SEARCH(", "&amp;$B274&amp;", ", ", "&amp;INDEX('Form Responses'!$I$1:$Q$200,7,$A274)&amp;", ")),ISNUMBER(SEARCH(", "&amp;$B274&amp;", ", ", "&amp;INDEX('Form Responses'!$R$1:$R$200,7)&amp;", "))),1,""))</f>
        <v/>
      </c>
      <c r="J274">
        <f>IF(Wizards!$A$8="","",IF(OR(ISNUMBER(SEARCH(", "&amp;$B274&amp;", ", ", "&amp;INDEX('Form Responses'!$I$1:$Q$200,8,$A274)&amp;", ")),ISNUMBER(SEARCH(", "&amp;$B274&amp;", ", ", "&amp;INDEX('Form Responses'!$R$1:$R$200,8)&amp;", "))),1,""))</f>
        <v/>
      </c>
      <c r="K274">
        <f>IF(Wizards!$A$9="","",IF(OR(ISNUMBER(SEARCH(", "&amp;$B274&amp;", ", ", "&amp;INDEX('Form Responses'!$I$1:$Q$200,9,$A274)&amp;", ")),ISNUMBER(SEARCH(", "&amp;$B274&amp;", ", ", "&amp;INDEX('Form Responses'!$R$1:$R$200,9)&amp;", "))),1,""))</f>
        <v/>
      </c>
      <c r="L274">
        <f>IF(Wizards!$A$10="","",IF(OR(ISNUMBER(SEARCH(", "&amp;$B274&amp;", ", ", "&amp;INDEX('Form Responses'!$I$1:$Q$200,10,$A274)&amp;", ")),ISNUMBER(SEARCH(", "&amp;$B274&amp;", ", ", "&amp;INDEX('Form Responses'!$R$1:$R$200,10)&amp;", "))),1,""))</f>
        <v/>
      </c>
      <c r="M274">
        <f>IF(Wizards!$A$11="","",IF(OR(ISNUMBER(SEARCH(", "&amp;$B274&amp;", ", ", "&amp;INDEX('Form Responses'!$I$1:$Q$200,11,$A274)&amp;", ")),ISNUMBER(SEARCH(", "&amp;$B274&amp;", ", ", "&amp;INDEX('Form Responses'!$R$1:$R$200,11)&amp;", "))),1,""))</f>
        <v/>
      </c>
      <c r="N274">
        <f>IF(Wizards!$A$12="","",IF(OR(ISNUMBER(SEARCH(", "&amp;$B274&amp;", ", ", "&amp;INDEX('Form Responses'!$I$1:$Q$200,12,$A274)&amp;", ")),ISNUMBER(SEARCH(", "&amp;$B274&amp;", ", ", "&amp;INDEX('Form Responses'!$R$1:$R$200,12)&amp;", "))),1,""))</f>
        <v/>
      </c>
      <c r="O274">
        <f>IF(Wizards!$A$13="","",IF(OR(ISNUMBER(SEARCH(", "&amp;$B274&amp;", ", ", "&amp;INDEX('Form Responses'!$I$1:$Q$200,13,$A274)&amp;", ")),ISNUMBER(SEARCH(", "&amp;$B274&amp;", ", ", "&amp;INDEX('Form Responses'!$R$1:$R$200,13)&amp;", "))),1,""))</f>
        <v/>
      </c>
      <c r="P274">
        <f>IF(Wizards!$A$14="","",IF(OR(ISNUMBER(SEARCH(", "&amp;$B274&amp;", ", ", "&amp;INDEX('Form Responses'!$I$1:$Q$200,14,$A274)&amp;", ")),ISNUMBER(SEARCH(", "&amp;$B274&amp;", ", ", "&amp;INDEX('Form Responses'!$R$1:$R$200,14)&amp;", "))),1,""))</f>
        <v/>
      </c>
      <c r="Q274">
        <f>IF(Wizards!$A$15="","",IF(OR(ISNUMBER(SEARCH(", "&amp;$B274&amp;", ", ", "&amp;INDEX('Form Responses'!$I$1:$Q$200,15,$A274)&amp;", ")),ISNUMBER(SEARCH(", "&amp;$B274&amp;", ", ", "&amp;INDEX('Form Responses'!$R$1:$R$200,15)&amp;", "))),1,""))</f>
        <v/>
      </c>
      <c r="R274">
        <f>IF(Wizards!$A$16="","",IF(OR(ISNUMBER(SEARCH(", "&amp;$B274&amp;", ", ", "&amp;INDEX('Form Responses'!$I$1:$Q$200,16,$A274)&amp;", ")),ISNUMBER(SEARCH(", "&amp;$B274&amp;", ", ", "&amp;INDEX('Form Responses'!$R$1:$R$200,16)&amp;", "))),1,""))</f>
        <v/>
      </c>
      <c r="S274">
        <f>IF(Wizards!$A$17="","",IF(OR(ISNUMBER(SEARCH(", "&amp;$B274&amp;", ", ", "&amp;INDEX('Form Responses'!$I$1:$Q$200,17,$A274)&amp;", ")),ISNUMBER(SEARCH(", "&amp;$B274&amp;", ", ", "&amp;INDEX('Form Responses'!$R$1:$R$200,17)&amp;", "))),1,""))</f>
        <v/>
      </c>
      <c r="T274">
        <f>IF(Wizards!$A$18="","",IF(OR(ISNUMBER(SEARCH(", "&amp;$B274&amp;", ", ", "&amp;INDEX('Form Responses'!$I$1:$Q$200,18,$A274)&amp;", ")),ISNUMBER(SEARCH(", "&amp;$B274&amp;", ", ", "&amp;INDEX('Form Responses'!$R$1:$R$200,18)&amp;", "))),1,""))</f>
        <v/>
      </c>
      <c r="U274">
        <f>IF(Wizards!$A$19="","",IF(OR(ISNUMBER(SEARCH(", "&amp;$B274&amp;", ", ", "&amp;INDEX('Form Responses'!$I$1:$Q$200,19,$A274)&amp;", ")),ISNUMBER(SEARCH(", "&amp;$B274&amp;", ", ", "&amp;INDEX('Form Responses'!$R$1:$R$200,19)&amp;", "))),1,""))</f>
        <v/>
      </c>
      <c r="V274">
        <f>IF(Wizards!$A$20="","",IF(OR(ISNUMBER(SEARCH(", "&amp;$B274&amp;", ", ", "&amp;INDEX('Form Responses'!$I$1:$Q$200,20,$A274)&amp;", ")),ISNUMBER(SEARCH(", "&amp;$B274&amp;", ", ", "&amp;INDEX('Form Responses'!$R$1:$R$200,20)&amp;", "))),1,""))</f>
        <v/>
      </c>
      <c r="W274">
        <f>IF(Wizards!$A$21="","",IF(OR(ISNUMBER(SEARCH(", "&amp;$B274&amp;", ", ", "&amp;INDEX('Form Responses'!$I$1:$Q$200,21,$A274)&amp;", ")),ISNUMBER(SEARCH(", "&amp;$B274&amp;", ", ", "&amp;INDEX('Form Responses'!$R$1:$R$200,21)&amp;", "))),1,""))</f>
        <v/>
      </c>
      <c r="X274">
        <f>IF(Wizards!$A$22="","",IF(OR(ISNUMBER(SEARCH(", "&amp;$B274&amp;", ", ", "&amp;INDEX('Form Responses'!$I$1:$Q$200,22,$A274)&amp;", ")),ISNUMBER(SEARCH(", "&amp;$B274&amp;", ", ", "&amp;INDEX('Form Responses'!$R$1:$R$200,22)&amp;", "))),1,""))</f>
        <v/>
      </c>
      <c r="Y274">
        <f>IF(Wizards!$A$23="","",IF(OR(ISNUMBER(SEARCH(", "&amp;$B274&amp;", ", ", "&amp;INDEX('Form Responses'!$I$1:$Q$200,23,$A274)&amp;", ")),ISNUMBER(SEARCH(", "&amp;$B274&amp;", ", ", "&amp;INDEX('Form Responses'!$R$1:$R$200,23)&amp;", "))),1,""))</f>
        <v/>
      </c>
      <c r="Z274">
        <f>IF(Wizards!$A$24="","",IF(OR(ISNUMBER(SEARCH(", "&amp;$B274&amp;", ", ", "&amp;INDEX('Form Responses'!$I$1:$Q$200,24,$A274)&amp;", ")),ISNUMBER(SEARCH(", "&amp;$B274&amp;", ", ", "&amp;INDEX('Form Responses'!$R$1:$R$200,24)&amp;", "))),1,""))</f>
        <v/>
      </c>
      <c r="AA274">
        <f>IF(Wizards!$A$25="","",IF(OR(ISNUMBER(SEARCH(", "&amp;$B274&amp;", ", ", "&amp;INDEX('Form Responses'!$I$1:$Q$200,25,$A274)&amp;", ")),ISNUMBER(SEARCH(", "&amp;$B274&amp;", ", ", "&amp;INDEX('Form Responses'!$R$1:$R$200,25)&amp;", "))),1,""))</f>
        <v/>
      </c>
      <c r="AB274">
        <f>IF(D274=1,", "&amp;D$1,"")</f>
        <v/>
      </c>
      <c r="AC274">
        <f>IF(E274=1,", "&amp;E$1,"")</f>
        <v/>
      </c>
      <c r="AD274">
        <f>IF(F274=1,", "&amp;F$1,"")</f>
        <v/>
      </c>
      <c r="AE274">
        <f>IF(G274=1,", "&amp;G$1,"")</f>
        <v/>
      </c>
      <c r="AF274">
        <f>IF(H274=1,", "&amp;H$1,"")</f>
        <v/>
      </c>
      <c r="AG274">
        <f>IF(I274=1,", "&amp;I$1,"")</f>
        <v/>
      </c>
      <c r="AH274">
        <f>IF(J274=1,", "&amp;J$1,"")</f>
        <v/>
      </c>
      <c r="AI274">
        <f>IF(K274=1,", "&amp;K$1,"")</f>
        <v/>
      </c>
      <c r="AJ274">
        <f>IF(L274=1,", "&amp;L$1,"")</f>
        <v/>
      </c>
      <c r="AK274">
        <f>IF(M274=1,", "&amp;M$1,"")</f>
        <v/>
      </c>
      <c r="AL274">
        <f>IF(N274=1,", "&amp;N$1,"")</f>
        <v/>
      </c>
      <c r="AM274">
        <f>IF(O274=1,", "&amp;O$1,"")</f>
        <v/>
      </c>
      <c r="AN274">
        <f>IF(P274=1,", "&amp;P$1,"")</f>
        <v/>
      </c>
      <c r="AO274">
        <f>IF(Q274=1,", "&amp;Q$1,"")</f>
        <v/>
      </c>
      <c r="AP274">
        <f>IF(R274=1,", "&amp;R$1,"")</f>
        <v/>
      </c>
      <c r="AQ274">
        <f>IF(S274=1,", "&amp;S$1,"")</f>
        <v/>
      </c>
      <c r="AR274">
        <f>IF(T274=1,", "&amp;T$1,"")</f>
        <v/>
      </c>
      <c r="AS274">
        <f>IF(U274=1,", "&amp;U$1,"")</f>
        <v/>
      </c>
      <c r="AT274">
        <f>IF(V274=1,", "&amp;V$1,"")</f>
        <v/>
      </c>
      <c r="AU274">
        <f>IF(W274=1,", "&amp;W$1,"")</f>
        <v/>
      </c>
      <c r="AV274">
        <f>IF(X274=1,", "&amp;X$1,"")</f>
        <v/>
      </c>
      <c r="AW274">
        <f>IF(Y274=1,", "&amp;Y$1,"")</f>
        <v/>
      </c>
      <c r="AX274">
        <f>IF(Z274=1,", "&amp;Z$1,"")</f>
        <v/>
      </c>
      <c r="AY274">
        <f>IF(AA274=1,", "&amp;AA$1,"")</f>
        <v/>
      </c>
      <c r="AZ274">
        <f>MID($AB274&amp;$AC274&amp;$AD274&amp;$AE274&amp;$AF274&amp;$AG274&amp;$AH274&amp;$AI274&amp;$AJ274&amp;$AK274&amp;$AL274&amp;$AM274&amp;$AN274&amp;$AO274&amp;$AP274&amp;$AQ274&amp;$AR274&amp;$AS274&amp;$AT274&amp;$AU274&amp;$AV274&amp;$AW274&amp;$AX274&amp;$AY274,3,32767)</f>
        <v/>
      </c>
      <c r="BA274">
        <f>COUNT($D274:$AA274)</f>
        <v/>
      </c>
    </row>
    <row r="275">
      <c r="A275" t="n">
        <v>6</v>
      </c>
      <c r="B275" t="inlineStr">
        <is>
          <t>Scatter</t>
        </is>
      </c>
      <c r="C275" t="inlineStr">
        <is>
          <t>Conjuration</t>
        </is>
      </c>
      <c r="D275">
        <f>IF(Wizards!$A$2="","",IF(OR(ISNUMBER(SEARCH(", "&amp;$B275&amp;", ", ", "&amp;INDEX('Form Responses'!$I$1:$Q$200,2,$A275)&amp;", ")),ISNUMBER(SEARCH(", "&amp;$B275&amp;", ", ", "&amp;INDEX('Form Responses'!$R$1:$R$200,2)&amp;", "))),1,""))</f>
        <v/>
      </c>
      <c r="E275">
        <f>IF(Wizards!$A$3="","",IF(OR(ISNUMBER(SEARCH(", "&amp;$B275&amp;", ", ", "&amp;INDEX('Form Responses'!$I$1:$Q$200,3,$A275)&amp;", ")),ISNUMBER(SEARCH(", "&amp;$B275&amp;", ", ", "&amp;INDEX('Form Responses'!$R$1:$R$200,3)&amp;", "))),1,""))</f>
        <v/>
      </c>
      <c r="F275">
        <f>IF(Wizards!$A$4="","",IF(OR(ISNUMBER(SEARCH(", "&amp;$B275&amp;", ", ", "&amp;INDEX('Form Responses'!$I$1:$Q$200,4,$A275)&amp;", ")),ISNUMBER(SEARCH(", "&amp;$B275&amp;", ", ", "&amp;INDEX('Form Responses'!$R$1:$R$200,4)&amp;", "))),1,""))</f>
        <v/>
      </c>
      <c r="G275">
        <f>IF(Wizards!$A$5="","",IF(OR(ISNUMBER(SEARCH(", "&amp;$B275&amp;", ", ", "&amp;INDEX('Form Responses'!$I$1:$Q$200,5,$A275)&amp;", ")),ISNUMBER(SEARCH(", "&amp;$B275&amp;", ", ", "&amp;INDEX('Form Responses'!$R$1:$R$200,5)&amp;", "))),1,""))</f>
        <v/>
      </c>
      <c r="H275">
        <f>IF(Wizards!$A$6="","",IF(OR(ISNUMBER(SEARCH(", "&amp;$B275&amp;", ", ", "&amp;INDEX('Form Responses'!$I$1:$Q$200,6,$A275)&amp;", ")),ISNUMBER(SEARCH(", "&amp;$B275&amp;", ", ", "&amp;INDEX('Form Responses'!$R$1:$R$200,6)&amp;", "))),1,""))</f>
        <v/>
      </c>
      <c r="I275">
        <f>IF(Wizards!$A$7="","",IF(OR(ISNUMBER(SEARCH(", "&amp;$B275&amp;", ", ", "&amp;INDEX('Form Responses'!$I$1:$Q$200,7,$A275)&amp;", ")),ISNUMBER(SEARCH(", "&amp;$B275&amp;", ", ", "&amp;INDEX('Form Responses'!$R$1:$R$200,7)&amp;", "))),1,""))</f>
        <v/>
      </c>
      <c r="J275">
        <f>IF(Wizards!$A$8="","",IF(OR(ISNUMBER(SEARCH(", "&amp;$B275&amp;", ", ", "&amp;INDEX('Form Responses'!$I$1:$Q$200,8,$A275)&amp;", ")),ISNUMBER(SEARCH(", "&amp;$B275&amp;", ", ", "&amp;INDEX('Form Responses'!$R$1:$R$200,8)&amp;", "))),1,""))</f>
        <v/>
      </c>
      <c r="K275">
        <f>IF(Wizards!$A$9="","",IF(OR(ISNUMBER(SEARCH(", "&amp;$B275&amp;", ", ", "&amp;INDEX('Form Responses'!$I$1:$Q$200,9,$A275)&amp;", ")),ISNUMBER(SEARCH(", "&amp;$B275&amp;", ", ", "&amp;INDEX('Form Responses'!$R$1:$R$200,9)&amp;", "))),1,""))</f>
        <v/>
      </c>
      <c r="L275">
        <f>IF(Wizards!$A$10="","",IF(OR(ISNUMBER(SEARCH(", "&amp;$B275&amp;", ", ", "&amp;INDEX('Form Responses'!$I$1:$Q$200,10,$A275)&amp;", ")),ISNUMBER(SEARCH(", "&amp;$B275&amp;", ", ", "&amp;INDEX('Form Responses'!$R$1:$R$200,10)&amp;", "))),1,""))</f>
        <v/>
      </c>
      <c r="M275">
        <f>IF(Wizards!$A$11="","",IF(OR(ISNUMBER(SEARCH(", "&amp;$B275&amp;", ", ", "&amp;INDEX('Form Responses'!$I$1:$Q$200,11,$A275)&amp;", ")),ISNUMBER(SEARCH(", "&amp;$B275&amp;", ", ", "&amp;INDEX('Form Responses'!$R$1:$R$200,11)&amp;", "))),1,""))</f>
        <v/>
      </c>
      <c r="N275">
        <f>IF(Wizards!$A$12="","",IF(OR(ISNUMBER(SEARCH(", "&amp;$B275&amp;", ", ", "&amp;INDEX('Form Responses'!$I$1:$Q$200,12,$A275)&amp;", ")),ISNUMBER(SEARCH(", "&amp;$B275&amp;", ", ", "&amp;INDEX('Form Responses'!$R$1:$R$200,12)&amp;", "))),1,""))</f>
        <v/>
      </c>
      <c r="O275">
        <f>IF(Wizards!$A$13="","",IF(OR(ISNUMBER(SEARCH(", "&amp;$B275&amp;", ", ", "&amp;INDEX('Form Responses'!$I$1:$Q$200,13,$A275)&amp;", ")),ISNUMBER(SEARCH(", "&amp;$B275&amp;", ", ", "&amp;INDEX('Form Responses'!$R$1:$R$200,13)&amp;", "))),1,""))</f>
        <v/>
      </c>
      <c r="P275">
        <f>IF(Wizards!$A$14="","",IF(OR(ISNUMBER(SEARCH(", "&amp;$B275&amp;", ", ", "&amp;INDEX('Form Responses'!$I$1:$Q$200,14,$A275)&amp;", ")),ISNUMBER(SEARCH(", "&amp;$B275&amp;", ", ", "&amp;INDEX('Form Responses'!$R$1:$R$200,14)&amp;", "))),1,""))</f>
        <v/>
      </c>
      <c r="Q275">
        <f>IF(Wizards!$A$15="","",IF(OR(ISNUMBER(SEARCH(", "&amp;$B275&amp;", ", ", "&amp;INDEX('Form Responses'!$I$1:$Q$200,15,$A275)&amp;", ")),ISNUMBER(SEARCH(", "&amp;$B275&amp;", ", ", "&amp;INDEX('Form Responses'!$R$1:$R$200,15)&amp;", "))),1,""))</f>
        <v/>
      </c>
      <c r="R275">
        <f>IF(Wizards!$A$16="","",IF(OR(ISNUMBER(SEARCH(", "&amp;$B275&amp;", ", ", "&amp;INDEX('Form Responses'!$I$1:$Q$200,16,$A275)&amp;", ")),ISNUMBER(SEARCH(", "&amp;$B275&amp;", ", ", "&amp;INDEX('Form Responses'!$R$1:$R$200,16)&amp;", "))),1,""))</f>
        <v/>
      </c>
      <c r="S275">
        <f>IF(Wizards!$A$17="","",IF(OR(ISNUMBER(SEARCH(", "&amp;$B275&amp;", ", ", "&amp;INDEX('Form Responses'!$I$1:$Q$200,17,$A275)&amp;", ")),ISNUMBER(SEARCH(", "&amp;$B275&amp;", ", ", "&amp;INDEX('Form Responses'!$R$1:$R$200,17)&amp;", "))),1,""))</f>
        <v/>
      </c>
      <c r="T275">
        <f>IF(Wizards!$A$18="","",IF(OR(ISNUMBER(SEARCH(", "&amp;$B275&amp;", ", ", "&amp;INDEX('Form Responses'!$I$1:$Q$200,18,$A275)&amp;", ")),ISNUMBER(SEARCH(", "&amp;$B275&amp;", ", ", "&amp;INDEX('Form Responses'!$R$1:$R$200,18)&amp;", "))),1,""))</f>
        <v/>
      </c>
      <c r="U275">
        <f>IF(Wizards!$A$19="","",IF(OR(ISNUMBER(SEARCH(", "&amp;$B275&amp;", ", ", "&amp;INDEX('Form Responses'!$I$1:$Q$200,19,$A275)&amp;", ")),ISNUMBER(SEARCH(", "&amp;$B275&amp;", ", ", "&amp;INDEX('Form Responses'!$R$1:$R$200,19)&amp;", "))),1,""))</f>
        <v/>
      </c>
      <c r="V275">
        <f>IF(Wizards!$A$20="","",IF(OR(ISNUMBER(SEARCH(", "&amp;$B275&amp;", ", ", "&amp;INDEX('Form Responses'!$I$1:$Q$200,20,$A275)&amp;", ")),ISNUMBER(SEARCH(", "&amp;$B275&amp;", ", ", "&amp;INDEX('Form Responses'!$R$1:$R$200,20)&amp;", "))),1,""))</f>
        <v/>
      </c>
      <c r="W275">
        <f>IF(Wizards!$A$21="","",IF(OR(ISNUMBER(SEARCH(", "&amp;$B275&amp;", ", ", "&amp;INDEX('Form Responses'!$I$1:$Q$200,21,$A275)&amp;", ")),ISNUMBER(SEARCH(", "&amp;$B275&amp;", ", ", "&amp;INDEX('Form Responses'!$R$1:$R$200,21)&amp;", "))),1,""))</f>
        <v/>
      </c>
      <c r="X275">
        <f>IF(Wizards!$A$22="","",IF(OR(ISNUMBER(SEARCH(", "&amp;$B275&amp;", ", ", "&amp;INDEX('Form Responses'!$I$1:$Q$200,22,$A275)&amp;", ")),ISNUMBER(SEARCH(", "&amp;$B275&amp;", ", ", "&amp;INDEX('Form Responses'!$R$1:$R$200,22)&amp;", "))),1,""))</f>
        <v/>
      </c>
      <c r="Y275">
        <f>IF(Wizards!$A$23="","",IF(OR(ISNUMBER(SEARCH(", "&amp;$B275&amp;", ", ", "&amp;INDEX('Form Responses'!$I$1:$Q$200,23,$A275)&amp;", ")),ISNUMBER(SEARCH(", "&amp;$B275&amp;", ", ", "&amp;INDEX('Form Responses'!$R$1:$R$200,23)&amp;", "))),1,""))</f>
        <v/>
      </c>
      <c r="Z275">
        <f>IF(Wizards!$A$24="","",IF(OR(ISNUMBER(SEARCH(", "&amp;$B275&amp;", ", ", "&amp;INDEX('Form Responses'!$I$1:$Q$200,24,$A275)&amp;", ")),ISNUMBER(SEARCH(", "&amp;$B275&amp;", ", ", "&amp;INDEX('Form Responses'!$R$1:$R$200,24)&amp;", "))),1,""))</f>
        <v/>
      </c>
      <c r="AA275">
        <f>IF(Wizards!$A$25="","",IF(OR(ISNUMBER(SEARCH(", "&amp;$B275&amp;", ", ", "&amp;INDEX('Form Responses'!$I$1:$Q$200,25,$A275)&amp;", ")),ISNUMBER(SEARCH(", "&amp;$B275&amp;", ", ", "&amp;INDEX('Form Responses'!$R$1:$R$200,25)&amp;", "))),1,""))</f>
        <v/>
      </c>
      <c r="AB275">
        <f>IF(D275=1,", "&amp;D$1,"")</f>
        <v/>
      </c>
      <c r="AC275">
        <f>IF(E275=1,", "&amp;E$1,"")</f>
        <v/>
      </c>
      <c r="AD275">
        <f>IF(F275=1,", "&amp;F$1,"")</f>
        <v/>
      </c>
      <c r="AE275">
        <f>IF(G275=1,", "&amp;G$1,"")</f>
        <v/>
      </c>
      <c r="AF275">
        <f>IF(H275=1,", "&amp;H$1,"")</f>
        <v/>
      </c>
      <c r="AG275">
        <f>IF(I275=1,", "&amp;I$1,"")</f>
        <v/>
      </c>
      <c r="AH275">
        <f>IF(J275=1,", "&amp;J$1,"")</f>
        <v/>
      </c>
      <c r="AI275">
        <f>IF(K275=1,", "&amp;K$1,"")</f>
        <v/>
      </c>
      <c r="AJ275">
        <f>IF(L275=1,", "&amp;L$1,"")</f>
        <v/>
      </c>
      <c r="AK275">
        <f>IF(M275=1,", "&amp;M$1,"")</f>
        <v/>
      </c>
      <c r="AL275">
        <f>IF(N275=1,", "&amp;N$1,"")</f>
        <v/>
      </c>
      <c r="AM275">
        <f>IF(O275=1,", "&amp;O$1,"")</f>
        <v/>
      </c>
      <c r="AN275">
        <f>IF(P275=1,", "&amp;P$1,"")</f>
        <v/>
      </c>
      <c r="AO275">
        <f>IF(Q275=1,", "&amp;Q$1,"")</f>
        <v/>
      </c>
      <c r="AP275">
        <f>IF(R275=1,", "&amp;R$1,"")</f>
        <v/>
      </c>
      <c r="AQ275">
        <f>IF(S275=1,", "&amp;S$1,"")</f>
        <v/>
      </c>
      <c r="AR275">
        <f>IF(T275=1,", "&amp;T$1,"")</f>
        <v/>
      </c>
      <c r="AS275">
        <f>IF(U275=1,", "&amp;U$1,"")</f>
        <v/>
      </c>
      <c r="AT275">
        <f>IF(V275=1,", "&amp;V$1,"")</f>
        <v/>
      </c>
      <c r="AU275">
        <f>IF(W275=1,", "&amp;W$1,"")</f>
        <v/>
      </c>
      <c r="AV275">
        <f>IF(X275=1,", "&amp;X$1,"")</f>
        <v/>
      </c>
      <c r="AW275">
        <f>IF(Y275=1,", "&amp;Y$1,"")</f>
        <v/>
      </c>
      <c r="AX275">
        <f>IF(Z275=1,", "&amp;Z$1,"")</f>
        <v/>
      </c>
      <c r="AY275">
        <f>IF(AA275=1,", "&amp;AA$1,"")</f>
        <v/>
      </c>
      <c r="AZ275">
        <f>MID($AB275&amp;$AC275&amp;$AD275&amp;$AE275&amp;$AF275&amp;$AG275&amp;$AH275&amp;$AI275&amp;$AJ275&amp;$AK275&amp;$AL275&amp;$AM275&amp;$AN275&amp;$AO275&amp;$AP275&amp;$AQ275&amp;$AR275&amp;$AS275&amp;$AT275&amp;$AU275&amp;$AV275&amp;$AW275&amp;$AX275&amp;$AY275,3,32767)</f>
        <v/>
      </c>
      <c r="BA275">
        <f>COUNT($D275:$AA275)</f>
        <v/>
      </c>
    </row>
    <row r="276">
      <c r="A276" t="n">
        <v>6</v>
      </c>
      <c r="B276" t="inlineStr">
        <is>
          <t>Soul Cage</t>
        </is>
      </c>
      <c r="C276" t="inlineStr">
        <is>
          <t>Necromancy</t>
        </is>
      </c>
      <c r="D276">
        <f>IF(Wizards!$A$2="","",IF(OR(ISNUMBER(SEARCH(", "&amp;$B276&amp;", ", ", "&amp;INDEX('Form Responses'!$I$1:$Q$200,2,$A276)&amp;", ")),ISNUMBER(SEARCH(", "&amp;$B276&amp;", ", ", "&amp;INDEX('Form Responses'!$R$1:$R$200,2)&amp;", "))),1,""))</f>
        <v/>
      </c>
      <c r="E276">
        <f>IF(Wizards!$A$3="","",IF(OR(ISNUMBER(SEARCH(", "&amp;$B276&amp;", ", ", "&amp;INDEX('Form Responses'!$I$1:$Q$200,3,$A276)&amp;", ")),ISNUMBER(SEARCH(", "&amp;$B276&amp;", ", ", "&amp;INDEX('Form Responses'!$R$1:$R$200,3)&amp;", "))),1,""))</f>
        <v/>
      </c>
      <c r="F276">
        <f>IF(Wizards!$A$4="","",IF(OR(ISNUMBER(SEARCH(", "&amp;$B276&amp;", ", ", "&amp;INDEX('Form Responses'!$I$1:$Q$200,4,$A276)&amp;", ")),ISNUMBER(SEARCH(", "&amp;$B276&amp;", ", ", "&amp;INDEX('Form Responses'!$R$1:$R$200,4)&amp;", "))),1,""))</f>
        <v/>
      </c>
      <c r="G276">
        <f>IF(Wizards!$A$5="","",IF(OR(ISNUMBER(SEARCH(", "&amp;$B276&amp;", ", ", "&amp;INDEX('Form Responses'!$I$1:$Q$200,5,$A276)&amp;", ")),ISNUMBER(SEARCH(", "&amp;$B276&amp;", ", ", "&amp;INDEX('Form Responses'!$R$1:$R$200,5)&amp;", "))),1,""))</f>
        <v/>
      </c>
      <c r="H276">
        <f>IF(Wizards!$A$6="","",IF(OR(ISNUMBER(SEARCH(", "&amp;$B276&amp;", ", ", "&amp;INDEX('Form Responses'!$I$1:$Q$200,6,$A276)&amp;", ")),ISNUMBER(SEARCH(", "&amp;$B276&amp;", ", ", "&amp;INDEX('Form Responses'!$R$1:$R$200,6)&amp;", "))),1,""))</f>
        <v/>
      </c>
      <c r="I276">
        <f>IF(Wizards!$A$7="","",IF(OR(ISNUMBER(SEARCH(", "&amp;$B276&amp;", ", ", "&amp;INDEX('Form Responses'!$I$1:$Q$200,7,$A276)&amp;", ")),ISNUMBER(SEARCH(", "&amp;$B276&amp;", ", ", "&amp;INDEX('Form Responses'!$R$1:$R$200,7)&amp;", "))),1,""))</f>
        <v/>
      </c>
      <c r="J276">
        <f>IF(Wizards!$A$8="","",IF(OR(ISNUMBER(SEARCH(", "&amp;$B276&amp;", ", ", "&amp;INDEX('Form Responses'!$I$1:$Q$200,8,$A276)&amp;", ")),ISNUMBER(SEARCH(", "&amp;$B276&amp;", ", ", "&amp;INDEX('Form Responses'!$R$1:$R$200,8)&amp;", "))),1,""))</f>
        <v/>
      </c>
      <c r="K276">
        <f>IF(Wizards!$A$9="","",IF(OR(ISNUMBER(SEARCH(", "&amp;$B276&amp;", ", ", "&amp;INDEX('Form Responses'!$I$1:$Q$200,9,$A276)&amp;", ")),ISNUMBER(SEARCH(", "&amp;$B276&amp;", ", ", "&amp;INDEX('Form Responses'!$R$1:$R$200,9)&amp;", "))),1,""))</f>
        <v/>
      </c>
      <c r="L276">
        <f>IF(Wizards!$A$10="","",IF(OR(ISNUMBER(SEARCH(", "&amp;$B276&amp;", ", ", "&amp;INDEX('Form Responses'!$I$1:$Q$200,10,$A276)&amp;", ")),ISNUMBER(SEARCH(", "&amp;$B276&amp;", ", ", "&amp;INDEX('Form Responses'!$R$1:$R$200,10)&amp;", "))),1,""))</f>
        <v/>
      </c>
      <c r="M276">
        <f>IF(Wizards!$A$11="","",IF(OR(ISNUMBER(SEARCH(", "&amp;$B276&amp;", ", ", "&amp;INDEX('Form Responses'!$I$1:$Q$200,11,$A276)&amp;", ")),ISNUMBER(SEARCH(", "&amp;$B276&amp;", ", ", "&amp;INDEX('Form Responses'!$R$1:$R$200,11)&amp;", "))),1,""))</f>
        <v/>
      </c>
      <c r="N276">
        <f>IF(Wizards!$A$12="","",IF(OR(ISNUMBER(SEARCH(", "&amp;$B276&amp;", ", ", "&amp;INDEX('Form Responses'!$I$1:$Q$200,12,$A276)&amp;", ")),ISNUMBER(SEARCH(", "&amp;$B276&amp;", ", ", "&amp;INDEX('Form Responses'!$R$1:$R$200,12)&amp;", "))),1,""))</f>
        <v/>
      </c>
      <c r="O276">
        <f>IF(Wizards!$A$13="","",IF(OR(ISNUMBER(SEARCH(", "&amp;$B276&amp;", ", ", "&amp;INDEX('Form Responses'!$I$1:$Q$200,13,$A276)&amp;", ")),ISNUMBER(SEARCH(", "&amp;$B276&amp;", ", ", "&amp;INDEX('Form Responses'!$R$1:$R$200,13)&amp;", "))),1,""))</f>
        <v/>
      </c>
      <c r="P276">
        <f>IF(Wizards!$A$14="","",IF(OR(ISNUMBER(SEARCH(", "&amp;$B276&amp;", ", ", "&amp;INDEX('Form Responses'!$I$1:$Q$200,14,$A276)&amp;", ")),ISNUMBER(SEARCH(", "&amp;$B276&amp;", ", ", "&amp;INDEX('Form Responses'!$R$1:$R$200,14)&amp;", "))),1,""))</f>
        <v/>
      </c>
      <c r="Q276">
        <f>IF(Wizards!$A$15="","",IF(OR(ISNUMBER(SEARCH(", "&amp;$B276&amp;", ", ", "&amp;INDEX('Form Responses'!$I$1:$Q$200,15,$A276)&amp;", ")),ISNUMBER(SEARCH(", "&amp;$B276&amp;", ", ", "&amp;INDEX('Form Responses'!$R$1:$R$200,15)&amp;", "))),1,""))</f>
        <v/>
      </c>
      <c r="R276">
        <f>IF(Wizards!$A$16="","",IF(OR(ISNUMBER(SEARCH(", "&amp;$B276&amp;", ", ", "&amp;INDEX('Form Responses'!$I$1:$Q$200,16,$A276)&amp;", ")),ISNUMBER(SEARCH(", "&amp;$B276&amp;", ", ", "&amp;INDEX('Form Responses'!$R$1:$R$200,16)&amp;", "))),1,""))</f>
        <v/>
      </c>
      <c r="S276">
        <f>IF(Wizards!$A$17="","",IF(OR(ISNUMBER(SEARCH(", "&amp;$B276&amp;", ", ", "&amp;INDEX('Form Responses'!$I$1:$Q$200,17,$A276)&amp;", ")),ISNUMBER(SEARCH(", "&amp;$B276&amp;", ", ", "&amp;INDEX('Form Responses'!$R$1:$R$200,17)&amp;", "))),1,""))</f>
        <v/>
      </c>
      <c r="T276">
        <f>IF(Wizards!$A$18="","",IF(OR(ISNUMBER(SEARCH(", "&amp;$B276&amp;", ", ", "&amp;INDEX('Form Responses'!$I$1:$Q$200,18,$A276)&amp;", ")),ISNUMBER(SEARCH(", "&amp;$B276&amp;", ", ", "&amp;INDEX('Form Responses'!$R$1:$R$200,18)&amp;", "))),1,""))</f>
        <v/>
      </c>
      <c r="U276">
        <f>IF(Wizards!$A$19="","",IF(OR(ISNUMBER(SEARCH(", "&amp;$B276&amp;", ", ", "&amp;INDEX('Form Responses'!$I$1:$Q$200,19,$A276)&amp;", ")),ISNUMBER(SEARCH(", "&amp;$B276&amp;", ", ", "&amp;INDEX('Form Responses'!$R$1:$R$200,19)&amp;", "))),1,""))</f>
        <v/>
      </c>
      <c r="V276">
        <f>IF(Wizards!$A$20="","",IF(OR(ISNUMBER(SEARCH(", "&amp;$B276&amp;", ", ", "&amp;INDEX('Form Responses'!$I$1:$Q$200,20,$A276)&amp;", ")),ISNUMBER(SEARCH(", "&amp;$B276&amp;", ", ", "&amp;INDEX('Form Responses'!$R$1:$R$200,20)&amp;", "))),1,""))</f>
        <v/>
      </c>
      <c r="W276">
        <f>IF(Wizards!$A$21="","",IF(OR(ISNUMBER(SEARCH(", "&amp;$B276&amp;", ", ", "&amp;INDEX('Form Responses'!$I$1:$Q$200,21,$A276)&amp;", ")),ISNUMBER(SEARCH(", "&amp;$B276&amp;", ", ", "&amp;INDEX('Form Responses'!$R$1:$R$200,21)&amp;", "))),1,""))</f>
        <v/>
      </c>
      <c r="X276">
        <f>IF(Wizards!$A$22="","",IF(OR(ISNUMBER(SEARCH(", "&amp;$B276&amp;", ", ", "&amp;INDEX('Form Responses'!$I$1:$Q$200,22,$A276)&amp;", ")),ISNUMBER(SEARCH(", "&amp;$B276&amp;", ", ", "&amp;INDEX('Form Responses'!$R$1:$R$200,22)&amp;", "))),1,""))</f>
        <v/>
      </c>
      <c r="Y276">
        <f>IF(Wizards!$A$23="","",IF(OR(ISNUMBER(SEARCH(", "&amp;$B276&amp;", ", ", "&amp;INDEX('Form Responses'!$I$1:$Q$200,23,$A276)&amp;", ")),ISNUMBER(SEARCH(", "&amp;$B276&amp;", ", ", "&amp;INDEX('Form Responses'!$R$1:$R$200,23)&amp;", "))),1,""))</f>
        <v/>
      </c>
      <c r="Z276">
        <f>IF(Wizards!$A$24="","",IF(OR(ISNUMBER(SEARCH(", "&amp;$B276&amp;", ", ", "&amp;INDEX('Form Responses'!$I$1:$Q$200,24,$A276)&amp;", ")),ISNUMBER(SEARCH(", "&amp;$B276&amp;", ", ", "&amp;INDEX('Form Responses'!$R$1:$R$200,24)&amp;", "))),1,""))</f>
        <v/>
      </c>
      <c r="AA276">
        <f>IF(Wizards!$A$25="","",IF(OR(ISNUMBER(SEARCH(", "&amp;$B276&amp;", ", ", "&amp;INDEX('Form Responses'!$I$1:$Q$200,25,$A276)&amp;", ")),ISNUMBER(SEARCH(", "&amp;$B276&amp;", ", ", "&amp;INDEX('Form Responses'!$R$1:$R$200,25)&amp;", "))),1,""))</f>
        <v/>
      </c>
      <c r="AB276">
        <f>IF(D276=1,", "&amp;D$1,"")</f>
        <v/>
      </c>
      <c r="AC276">
        <f>IF(E276=1,", "&amp;E$1,"")</f>
        <v/>
      </c>
      <c r="AD276">
        <f>IF(F276=1,", "&amp;F$1,"")</f>
        <v/>
      </c>
      <c r="AE276">
        <f>IF(G276=1,", "&amp;G$1,"")</f>
        <v/>
      </c>
      <c r="AF276">
        <f>IF(H276=1,", "&amp;H$1,"")</f>
        <v/>
      </c>
      <c r="AG276">
        <f>IF(I276=1,", "&amp;I$1,"")</f>
        <v/>
      </c>
      <c r="AH276">
        <f>IF(J276=1,", "&amp;J$1,"")</f>
        <v/>
      </c>
      <c r="AI276">
        <f>IF(K276=1,", "&amp;K$1,"")</f>
        <v/>
      </c>
      <c r="AJ276">
        <f>IF(L276=1,", "&amp;L$1,"")</f>
        <v/>
      </c>
      <c r="AK276">
        <f>IF(M276=1,", "&amp;M$1,"")</f>
        <v/>
      </c>
      <c r="AL276">
        <f>IF(N276=1,", "&amp;N$1,"")</f>
        <v/>
      </c>
      <c r="AM276">
        <f>IF(O276=1,", "&amp;O$1,"")</f>
        <v/>
      </c>
      <c r="AN276">
        <f>IF(P276=1,", "&amp;P$1,"")</f>
        <v/>
      </c>
      <c r="AO276">
        <f>IF(Q276=1,", "&amp;Q$1,"")</f>
        <v/>
      </c>
      <c r="AP276">
        <f>IF(R276=1,", "&amp;R$1,"")</f>
        <v/>
      </c>
      <c r="AQ276">
        <f>IF(S276=1,", "&amp;S$1,"")</f>
        <v/>
      </c>
      <c r="AR276">
        <f>IF(T276=1,", "&amp;T$1,"")</f>
        <v/>
      </c>
      <c r="AS276">
        <f>IF(U276=1,", "&amp;U$1,"")</f>
        <v/>
      </c>
      <c r="AT276">
        <f>IF(V276=1,", "&amp;V$1,"")</f>
        <v/>
      </c>
      <c r="AU276">
        <f>IF(W276=1,", "&amp;W$1,"")</f>
        <v/>
      </c>
      <c r="AV276">
        <f>IF(X276=1,", "&amp;X$1,"")</f>
        <v/>
      </c>
      <c r="AW276">
        <f>IF(Y276=1,", "&amp;Y$1,"")</f>
        <v/>
      </c>
      <c r="AX276">
        <f>IF(Z276=1,", "&amp;Z$1,"")</f>
        <v/>
      </c>
      <c r="AY276">
        <f>IF(AA276=1,", "&amp;AA$1,"")</f>
        <v/>
      </c>
      <c r="AZ276">
        <f>MID($AB276&amp;$AC276&amp;$AD276&amp;$AE276&amp;$AF276&amp;$AG276&amp;$AH276&amp;$AI276&amp;$AJ276&amp;$AK276&amp;$AL276&amp;$AM276&amp;$AN276&amp;$AO276&amp;$AP276&amp;$AQ276&amp;$AR276&amp;$AS276&amp;$AT276&amp;$AU276&amp;$AV276&amp;$AW276&amp;$AX276&amp;$AY276,3,32767)</f>
        <v/>
      </c>
      <c r="BA276">
        <f>COUNT($D276:$AA276)</f>
        <v/>
      </c>
    </row>
    <row r="277">
      <c r="A277" t="n">
        <v>6</v>
      </c>
      <c r="B277" t="inlineStr">
        <is>
          <t>Summon Fiend</t>
        </is>
      </c>
      <c r="C277" t="inlineStr">
        <is>
          <t>Conjuration</t>
        </is>
      </c>
      <c r="D277">
        <f>IF(Wizards!$A$2="","",IF(OR(ISNUMBER(SEARCH(", "&amp;$B277&amp;", ", ", "&amp;INDEX('Form Responses'!$I$1:$Q$200,2,$A277)&amp;", ")),ISNUMBER(SEARCH(", "&amp;$B277&amp;", ", ", "&amp;INDEX('Form Responses'!$R$1:$R$200,2)&amp;", "))),1,""))</f>
        <v/>
      </c>
      <c r="E277">
        <f>IF(Wizards!$A$3="","",IF(OR(ISNUMBER(SEARCH(", "&amp;$B277&amp;", ", ", "&amp;INDEX('Form Responses'!$I$1:$Q$200,3,$A277)&amp;", ")),ISNUMBER(SEARCH(", "&amp;$B277&amp;", ", ", "&amp;INDEX('Form Responses'!$R$1:$R$200,3)&amp;", "))),1,""))</f>
        <v/>
      </c>
      <c r="F277">
        <f>IF(Wizards!$A$4="","",IF(OR(ISNUMBER(SEARCH(", "&amp;$B277&amp;", ", ", "&amp;INDEX('Form Responses'!$I$1:$Q$200,4,$A277)&amp;", ")),ISNUMBER(SEARCH(", "&amp;$B277&amp;", ", ", "&amp;INDEX('Form Responses'!$R$1:$R$200,4)&amp;", "))),1,""))</f>
        <v/>
      </c>
      <c r="G277">
        <f>IF(Wizards!$A$5="","",IF(OR(ISNUMBER(SEARCH(", "&amp;$B277&amp;", ", ", "&amp;INDEX('Form Responses'!$I$1:$Q$200,5,$A277)&amp;", ")),ISNUMBER(SEARCH(", "&amp;$B277&amp;", ", ", "&amp;INDEX('Form Responses'!$R$1:$R$200,5)&amp;", "))),1,""))</f>
        <v/>
      </c>
      <c r="H277">
        <f>IF(Wizards!$A$6="","",IF(OR(ISNUMBER(SEARCH(", "&amp;$B277&amp;", ", ", "&amp;INDEX('Form Responses'!$I$1:$Q$200,6,$A277)&amp;", ")),ISNUMBER(SEARCH(", "&amp;$B277&amp;", ", ", "&amp;INDEX('Form Responses'!$R$1:$R$200,6)&amp;", "))),1,""))</f>
        <v/>
      </c>
      <c r="I277">
        <f>IF(Wizards!$A$7="","",IF(OR(ISNUMBER(SEARCH(", "&amp;$B277&amp;", ", ", "&amp;INDEX('Form Responses'!$I$1:$Q$200,7,$A277)&amp;", ")),ISNUMBER(SEARCH(", "&amp;$B277&amp;", ", ", "&amp;INDEX('Form Responses'!$R$1:$R$200,7)&amp;", "))),1,""))</f>
        <v/>
      </c>
      <c r="J277">
        <f>IF(Wizards!$A$8="","",IF(OR(ISNUMBER(SEARCH(", "&amp;$B277&amp;", ", ", "&amp;INDEX('Form Responses'!$I$1:$Q$200,8,$A277)&amp;", ")),ISNUMBER(SEARCH(", "&amp;$B277&amp;", ", ", "&amp;INDEX('Form Responses'!$R$1:$R$200,8)&amp;", "))),1,""))</f>
        <v/>
      </c>
      <c r="K277">
        <f>IF(Wizards!$A$9="","",IF(OR(ISNUMBER(SEARCH(", "&amp;$B277&amp;", ", ", "&amp;INDEX('Form Responses'!$I$1:$Q$200,9,$A277)&amp;", ")),ISNUMBER(SEARCH(", "&amp;$B277&amp;", ", ", "&amp;INDEX('Form Responses'!$R$1:$R$200,9)&amp;", "))),1,""))</f>
        <v/>
      </c>
      <c r="L277">
        <f>IF(Wizards!$A$10="","",IF(OR(ISNUMBER(SEARCH(", "&amp;$B277&amp;", ", ", "&amp;INDEX('Form Responses'!$I$1:$Q$200,10,$A277)&amp;", ")),ISNUMBER(SEARCH(", "&amp;$B277&amp;", ", ", "&amp;INDEX('Form Responses'!$R$1:$R$200,10)&amp;", "))),1,""))</f>
        <v/>
      </c>
      <c r="M277">
        <f>IF(Wizards!$A$11="","",IF(OR(ISNUMBER(SEARCH(", "&amp;$B277&amp;", ", ", "&amp;INDEX('Form Responses'!$I$1:$Q$200,11,$A277)&amp;", ")),ISNUMBER(SEARCH(", "&amp;$B277&amp;", ", ", "&amp;INDEX('Form Responses'!$R$1:$R$200,11)&amp;", "))),1,""))</f>
        <v/>
      </c>
      <c r="N277">
        <f>IF(Wizards!$A$12="","",IF(OR(ISNUMBER(SEARCH(", "&amp;$B277&amp;", ", ", "&amp;INDEX('Form Responses'!$I$1:$Q$200,12,$A277)&amp;", ")),ISNUMBER(SEARCH(", "&amp;$B277&amp;", ", ", "&amp;INDEX('Form Responses'!$R$1:$R$200,12)&amp;", "))),1,""))</f>
        <v/>
      </c>
      <c r="O277">
        <f>IF(Wizards!$A$13="","",IF(OR(ISNUMBER(SEARCH(", "&amp;$B277&amp;", ", ", "&amp;INDEX('Form Responses'!$I$1:$Q$200,13,$A277)&amp;", ")),ISNUMBER(SEARCH(", "&amp;$B277&amp;", ", ", "&amp;INDEX('Form Responses'!$R$1:$R$200,13)&amp;", "))),1,""))</f>
        <v/>
      </c>
      <c r="P277">
        <f>IF(Wizards!$A$14="","",IF(OR(ISNUMBER(SEARCH(", "&amp;$B277&amp;", ", ", "&amp;INDEX('Form Responses'!$I$1:$Q$200,14,$A277)&amp;", ")),ISNUMBER(SEARCH(", "&amp;$B277&amp;", ", ", "&amp;INDEX('Form Responses'!$R$1:$R$200,14)&amp;", "))),1,""))</f>
        <v/>
      </c>
      <c r="Q277">
        <f>IF(Wizards!$A$15="","",IF(OR(ISNUMBER(SEARCH(", "&amp;$B277&amp;", ", ", "&amp;INDEX('Form Responses'!$I$1:$Q$200,15,$A277)&amp;", ")),ISNUMBER(SEARCH(", "&amp;$B277&amp;", ", ", "&amp;INDEX('Form Responses'!$R$1:$R$200,15)&amp;", "))),1,""))</f>
        <v/>
      </c>
      <c r="R277">
        <f>IF(Wizards!$A$16="","",IF(OR(ISNUMBER(SEARCH(", "&amp;$B277&amp;", ", ", "&amp;INDEX('Form Responses'!$I$1:$Q$200,16,$A277)&amp;", ")),ISNUMBER(SEARCH(", "&amp;$B277&amp;", ", ", "&amp;INDEX('Form Responses'!$R$1:$R$200,16)&amp;", "))),1,""))</f>
        <v/>
      </c>
      <c r="S277">
        <f>IF(Wizards!$A$17="","",IF(OR(ISNUMBER(SEARCH(", "&amp;$B277&amp;", ", ", "&amp;INDEX('Form Responses'!$I$1:$Q$200,17,$A277)&amp;", ")),ISNUMBER(SEARCH(", "&amp;$B277&amp;", ", ", "&amp;INDEX('Form Responses'!$R$1:$R$200,17)&amp;", "))),1,""))</f>
        <v/>
      </c>
      <c r="T277">
        <f>IF(Wizards!$A$18="","",IF(OR(ISNUMBER(SEARCH(", "&amp;$B277&amp;", ", ", "&amp;INDEX('Form Responses'!$I$1:$Q$200,18,$A277)&amp;", ")),ISNUMBER(SEARCH(", "&amp;$B277&amp;", ", ", "&amp;INDEX('Form Responses'!$R$1:$R$200,18)&amp;", "))),1,""))</f>
        <v/>
      </c>
      <c r="U277">
        <f>IF(Wizards!$A$19="","",IF(OR(ISNUMBER(SEARCH(", "&amp;$B277&amp;", ", ", "&amp;INDEX('Form Responses'!$I$1:$Q$200,19,$A277)&amp;", ")),ISNUMBER(SEARCH(", "&amp;$B277&amp;", ", ", "&amp;INDEX('Form Responses'!$R$1:$R$200,19)&amp;", "))),1,""))</f>
        <v/>
      </c>
      <c r="V277">
        <f>IF(Wizards!$A$20="","",IF(OR(ISNUMBER(SEARCH(", "&amp;$B277&amp;", ", ", "&amp;INDEX('Form Responses'!$I$1:$Q$200,20,$A277)&amp;", ")),ISNUMBER(SEARCH(", "&amp;$B277&amp;", ", ", "&amp;INDEX('Form Responses'!$R$1:$R$200,20)&amp;", "))),1,""))</f>
        <v/>
      </c>
      <c r="W277">
        <f>IF(Wizards!$A$21="","",IF(OR(ISNUMBER(SEARCH(", "&amp;$B277&amp;", ", ", "&amp;INDEX('Form Responses'!$I$1:$Q$200,21,$A277)&amp;", ")),ISNUMBER(SEARCH(", "&amp;$B277&amp;", ", ", "&amp;INDEX('Form Responses'!$R$1:$R$200,21)&amp;", "))),1,""))</f>
        <v/>
      </c>
      <c r="X277">
        <f>IF(Wizards!$A$22="","",IF(OR(ISNUMBER(SEARCH(", "&amp;$B277&amp;", ", ", "&amp;INDEX('Form Responses'!$I$1:$Q$200,22,$A277)&amp;", ")),ISNUMBER(SEARCH(", "&amp;$B277&amp;", ", ", "&amp;INDEX('Form Responses'!$R$1:$R$200,22)&amp;", "))),1,""))</f>
        <v/>
      </c>
      <c r="Y277">
        <f>IF(Wizards!$A$23="","",IF(OR(ISNUMBER(SEARCH(", "&amp;$B277&amp;", ", ", "&amp;INDEX('Form Responses'!$I$1:$Q$200,23,$A277)&amp;", ")),ISNUMBER(SEARCH(", "&amp;$B277&amp;", ", ", "&amp;INDEX('Form Responses'!$R$1:$R$200,23)&amp;", "))),1,""))</f>
        <v/>
      </c>
      <c r="Z277">
        <f>IF(Wizards!$A$24="","",IF(OR(ISNUMBER(SEARCH(", "&amp;$B277&amp;", ", ", "&amp;INDEX('Form Responses'!$I$1:$Q$200,24,$A277)&amp;", ")),ISNUMBER(SEARCH(", "&amp;$B277&amp;", ", ", "&amp;INDEX('Form Responses'!$R$1:$R$200,24)&amp;", "))),1,""))</f>
        <v/>
      </c>
      <c r="AA277">
        <f>IF(Wizards!$A$25="","",IF(OR(ISNUMBER(SEARCH(", "&amp;$B277&amp;", ", ", "&amp;INDEX('Form Responses'!$I$1:$Q$200,25,$A277)&amp;", ")),ISNUMBER(SEARCH(", "&amp;$B277&amp;", ", ", "&amp;INDEX('Form Responses'!$R$1:$R$200,25)&amp;", "))),1,""))</f>
        <v/>
      </c>
      <c r="AB277">
        <f>IF(D277=1,", "&amp;D$1,"")</f>
        <v/>
      </c>
      <c r="AC277">
        <f>IF(E277=1,", "&amp;E$1,"")</f>
        <v/>
      </c>
      <c r="AD277">
        <f>IF(F277=1,", "&amp;F$1,"")</f>
        <v/>
      </c>
      <c r="AE277">
        <f>IF(G277=1,", "&amp;G$1,"")</f>
        <v/>
      </c>
      <c r="AF277">
        <f>IF(H277=1,", "&amp;H$1,"")</f>
        <v/>
      </c>
      <c r="AG277">
        <f>IF(I277=1,", "&amp;I$1,"")</f>
        <v/>
      </c>
      <c r="AH277">
        <f>IF(J277=1,", "&amp;J$1,"")</f>
        <v/>
      </c>
      <c r="AI277">
        <f>IF(K277=1,", "&amp;K$1,"")</f>
        <v/>
      </c>
      <c r="AJ277">
        <f>IF(L277=1,", "&amp;L$1,"")</f>
        <v/>
      </c>
      <c r="AK277">
        <f>IF(M277=1,", "&amp;M$1,"")</f>
        <v/>
      </c>
      <c r="AL277">
        <f>IF(N277=1,", "&amp;N$1,"")</f>
        <v/>
      </c>
      <c r="AM277">
        <f>IF(O277=1,", "&amp;O$1,"")</f>
        <v/>
      </c>
      <c r="AN277">
        <f>IF(P277=1,", "&amp;P$1,"")</f>
        <v/>
      </c>
      <c r="AO277">
        <f>IF(Q277=1,", "&amp;Q$1,"")</f>
        <v/>
      </c>
      <c r="AP277">
        <f>IF(R277=1,", "&amp;R$1,"")</f>
        <v/>
      </c>
      <c r="AQ277">
        <f>IF(S277=1,", "&amp;S$1,"")</f>
        <v/>
      </c>
      <c r="AR277">
        <f>IF(T277=1,", "&amp;T$1,"")</f>
        <v/>
      </c>
      <c r="AS277">
        <f>IF(U277=1,", "&amp;U$1,"")</f>
        <v/>
      </c>
      <c r="AT277">
        <f>IF(V277=1,", "&amp;V$1,"")</f>
        <v/>
      </c>
      <c r="AU277">
        <f>IF(W277=1,", "&amp;W$1,"")</f>
        <v/>
      </c>
      <c r="AV277">
        <f>IF(X277=1,", "&amp;X$1,"")</f>
        <v/>
      </c>
      <c r="AW277">
        <f>IF(Y277=1,", "&amp;Y$1,"")</f>
        <v/>
      </c>
      <c r="AX277">
        <f>IF(Z277=1,", "&amp;Z$1,"")</f>
        <v/>
      </c>
      <c r="AY277">
        <f>IF(AA277=1,", "&amp;AA$1,"")</f>
        <v/>
      </c>
      <c r="AZ277">
        <f>MID($AB277&amp;$AC277&amp;$AD277&amp;$AE277&amp;$AF277&amp;$AG277&amp;$AH277&amp;$AI277&amp;$AJ277&amp;$AK277&amp;$AL277&amp;$AM277&amp;$AN277&amp;$AO277&amp;$AP277&amp;$AQ277&amp;$AR277&amp;$AS277&amp;$AT277&amp;$AU277&amp;$AV277&amp;$AW277&amp;$AX277&amp;$AY277,3,32767)</f>
        <v/>
      </c>
      <c r="BA277">
        <f>COUNT($D277:$AA277)</f>
        <v/>
      </c>
    </row>
    <row r="278">
      <c r="A278" t="n">
        <v>6</v>
      </c>
      <c r="B278" t="inlineStr">
        <is>
          <t>Sunbeam</t>
        </is>
      </c>
      <c r="C278" t="inlineStr">
        <is>
          <t>Evocation</t>
        </is>
      </c>
      <c r="D278">
        <f>IF(Wizards!$A$2="","",IF(OR(ISNUMBER(SEARCH(", "&amp;$B278&amp;", ", ", "&amp;INDEX('Form Responses'!$I$1:$Q$200,2,$A278)&amp;", ")),ISNUMBER(SEARCH(", "&amp;$B278&amp;", ", ", "&amp;INDEX('Form Responses'!$R$1:$R$200,2)&amp;", "))),1,""))</f>
        <v/>
      </c>
      <c r="E278">
        <f>IF(Wizards!$A$3="","",IF(OR(ISNUMBER(SEARCH(", "&amp;$B278&amp;", ", ", "&amp;INDEX('Form Responses'!$I$1:$Q$200,3,$A278)&amp;", ")),ISNUMBER(SEARCH(", "&amp;$B278&amp;", ", ", "&amp;INDEX('Form Responses'!$R$1:$R$200,3)&amp;", "))),1,""))</f>
        <v/>
      </c>
      <c r="F278">
        <f>IF(Wizards!$A$4="","",IF(OR(ISNUMBER(SEARCH(", "&amp;$B278&amp;", ", ", "&amp;INDEX('Form Responses'!$I$1:$Q$200,4,$A278)&amp;", ")),ISNUMBER(SEARCH(", "&amp;$B278&amp;", ", ", "&amp;INDEX('Form Responses'!$R$1:$R$200,4)&amp;", "))),1,""))</f>
        <v/>
      </c>
      <c r="G278">
        <f>IF(Wizards!$A$5="","",IF(OR(ISNUMBER(SEARCH(", "&amp;$B278&amp;", ", ", "&amp;INDEX('Form Responses'!$I$1:$Q$200,5,$A278)&amp;", ")),ISNUMBER(SEARCH(", "&amp;$B278&amp;", ", ", "&amp;INDEX('Form Responses'!$R$1:$R$200,5)&amp;", "))),1,""))</f>
        <v/>
      </c>
      <c r="H278">
        <f>IF(Wizards!$A$6="","",IF(OR(ISNUMBER(SEARCH(", "&amp;$B278&amp;", ", ", "&amp;INDEX('Form Responses'!$I$1:$Q$200,6,$A278)&amp;", ")),ISNUMBER(SEARCH(", "&amp;$B278&amp;", ", ", "&amp;INDEX('Form Responses'!$R$1:$R$200,6)&amp;", "))),1,""))</f>
        <v/>
      </c>
      <c r="I278">
        <f>IF(Wizards!$A$7="","",IF(OR(ISNUMBER(SEARCH(", "&amp;$B278&amp;", ", ", "&amp;INDEX('Form Responses'!$I$1:$Q$200,7,$A278)&amp;", ")),ISNUMBER(SEARCH(", "&amp;$B278&amp;", ", ", "&amp;INDEX('Form Responses'!$R$1:$R$200,7)&amp;", "))),1,""))</f>
        <v/>
      </c>
      <c r="J278">
        <f>IF(Wizards!$A$8="","",IF(OR(ISNUMBER(SEARCH(", "&amp;$B278&amp;", ", ", "&amp;INDEX('Form Responses'!$I$1:$Q$200,8,$A278)&amp;", ")),ISNUMBER(SEARCH(", "&amp;$B278&amp;", ", ", "&amp;INDEX('Form Responses'!$R$1:$R$200,8)&amp;", "))),1,""))</f>
        <v/>
      </c>
      <c r="K278">
        <f>IF(Wizards!$A$9="","",IF(OR(ISNUMBER(SEARCH(", "&amp;$B278&amp;", ", ", "&amp;INDEX('Form Responses'!$I$1:$Q$200,9,$A278)&amp;", ")),ISNUMBER(SEARCH(", "&amp;$B278&amp;", ", ", "&amp;INDEX('Form Responses'!$R$1:$R$200,9)&amp;", "))),1,""))</f>
        <v/>
      </c>
      <c r="L278">
        <f>IF(Wizards!$A$10="","",IF(OR(ISNUMBER(SEARCH(", "&amp;$B278&amp;", ", ", "&amp;INDEX('Form Responses'!$I$1:$Q$200,10,$A278)&amp;", ")),ISNUMBER(SEARCH(", "&amp;$B278&amp;", ", ", "&amp;INDEX('Form Responses'!$R$1:$R$200,10)&amp;", "))),1,""))</f>
        <v/>
      </c>
      <c r="M278">
        <f>IF(Wizards!$A$11="","",IF(OR(ISNUMBER(SEARCH(", "&amp;$B278&amp;", ", ", "&amp;INDEX('Form Responses'!$I$1:$Q$200,11,$A278)&amp;", ")),ISNUMBER(SEARCH(", "&amp;$B278&amp;", ", ", "&amp;INDEX('Form Responses'!$R$1:$R$200,11)&amp;", "))),1,""))</f>
        <v/>
      </c>
      <c r="N278">
        <f>IF(Wizards!$A$12="","",IF(OR(ISNUMBER(SEARCH(", "&amp;$B278&amp;", ", ", "&amp;INDEX('Form Responses'!$I$1:$Q$200,12,$A278)&amp;", ")),ISNUMBER(SEARCH(", "&amp;$B278&amp;", ", ", "&amp;INDEX('Form Responses'!$R$1:$R$200,12)&amp;", "))),1,""))</f>
        <v/>
      </c>
      <c r="O278">
        <f>IF(Wizards!$A$13="","",IF(OR(ISNUMBER(SEARCH(", "&amp;$B278&amp;", ", ", "&amp;INDEX('Form Responses'!$I$1:$Q$200,13,$A278)&amp;", ")),ISNUMBER(SEARCH(", "&amp;$B278&amp;", ", ", "&amp;INDEX('Form Responses'!$R$1:$R$200,13)&amp;", "))),1,""))</f>
        <v/>
      </c>
      <c r="P278">
        <f>IF(Wizards!$A$14="","",IF(OR(ISNUMBER(SEARCH(", "&amp;$B278&amp;", ", ", "&amp;INDEX('Form Responses'!$I$1:$Q$200,14,$A278)&amp;", ")),ISNUMBER(SEARCH(", "&amp;$B278&amp;", ", ", "&amp;INDEX('Form Responses'!$R$1:$R$200,14)&amp;", "))),1,""))</f>
        <v/>
      </c>
      <c r="Q278">
        <f>IF(Wizards!$A$15="","",IF(OR(ISNUMBER(SEARCH(", "&amp;$B278&amp;", ", ", "&amp;INDEX('Form Responses'!$I$1:$Q$200,15,$A278)&amp;", ")),ISNUMBER(SEARCH(", "&amp;$B278&amp;", ", ", "&amp;INDEX('Form Responses'!$R$1:$R$200,15)&amp;", "))),1,""))</f>
        <v/>
      </c>
      <c r="R278">
        <f>IF(Wizards!$A$16="","",IF(OR(ISNUMBER(SEARCH(", "&amp;$B278&amp;", ", ", "&amp;INDEX('Form Responses'!$I$1:$Q$200,16,$A278)&amp;", ")),ISNUMBER(SEARCH(", "&amp;$B278&amp;", ", ", "&amp;INDEX('Form Responses'!$R$1:$R$200,16)&amp;", "))),1,""))</f>
        <v/>
      </c>
      <c r="S278">
        <f>IF(Wizards!$A$17="","",IF(OR(ISNUMBER(SEARCH(", "&amp;$B278&amp;", ", ", "&amp;INDEX('Form Responses'!$I$1:$Q$200,17,$A278)&amp;", ")),ISNUMBER(SEARCH(", "&amp;$B278&amp;", ", ", "&amp;INDEX('Form Responses'!$R$1:$R$200,17)&amp;", "))),1,""))</f>
        <v/>
      </c>
      <c r="T278">
        <f>IF(Wizards!$A$18="","",IF(OR(ISNUMBER(SEARCH(", "&amp;$B278&amp;", ", ", "&amp;INDEX('Form Responses'!$I$1:$Q$200,18,$A278)&amp;", ")),ISNUMBER(SEARCH(", "&amp;$B278&amp;", ", ", "&amp;INDEX('Form Responses'!$R$1:$R$200,18)&amp;", "))),1,""))</f>
        <v/>
      </c>
      <c r="U278">
        <f>IF(Wizards!$A$19="","",IF(OR(ISNUMBER(SEARCH(", "&amp;$B278&amp;", ", ", "&amp;INDEX('Form Responses'!$I$1:$Q$200,19,$A278)&amp;", ")),ISNUMBER(SEARCH(", "&amp;$B278&amp;", ", ", "&amp;INDEX('Form Responses'!$R$1:$R$200,19)&amp;", "))),1,""))</f>
        <v/>
      </c>
      <c r="V278">
        <f>IF(Wizards!$A$20="","",IF(OR(ISNUMBER(SEARCH(", "&amp;$B278&amp;", ", ", "&amp;INDEX('Form Responses'!$I$1:$Q$200,20,$A278)&amp;", ")),ISNUMBER(SEARCH(", "&amp;$B278&amp;", ", ", "&amp;INDEX('Form Responses'!$R$1:$R$200,20)&amp;", "))),1,""))</f>
        <v/>
      </c>
      <c r="W278">
        <f>IF(Wizards!$A$21="","",IF(OR(ISNUMBER(SEARCH(", "&amp;$B278&amp;", ", ", "&amp;INDEX('Form Responses'!$I$1:$Q$200,21,$A278)&amp;", ")),ISNUMBER(SEARCH(", "&amp;$B278&amp;", ", ", "&amp;INDEX('Form Responses'!$R$1:$R$200,21)&amp;", "))),1,""))</f>
        <v/>
      </c>
      <c r="X278">
        <f>IF(Wizards!$A$22="","",IF(OR(ISNUMBER(SEARCH(", "&amp;$B278&amp;", ", ", "&amp;INDEX('Form Responses'!$I$1:$Q$200,22,$A278)&amp;", ")),ISNUMBER(SEARCH(", "&amp;$B278&amp;", ", ", "&amp;INDEX('Form Responses'!$R$1:$R$200,22)&amp;", "))),1,""))</f>
        <v/>
      </c>
      <c r="Y278">
        <f>IF(Wizards!$A$23="","",IF(OR(ISNUMBER(SEARCH(", "&amp;$B278&amp;", ", ", "&amp;INDEX('Form Responses'!$I$1:$Q$200,23,$A278)&amp;", ")),ISNUMBER(SEARCH(", "&amp;$B278&amp;", ", ", "&amp;INDEX('Form Responses'!$R$1:$R$200,23)&amp;", "))),1,""))</f>
        <v/>
      </c>
      <c r="Z278">
        <f>IF(Wizards!$A$24="","",IF(OR(ISNUMBER(SEARCH(", "&amp;$B278&amp;", ", ", "&amp;INDEX('Form Responses'!$I$1:$Q$200,24,$A278)&amp;", ")),ISNUMBER(SEARCH(", "&amp;$B278&amp;", ", ", "&amp;INDEX('Form Responses'!$R$1:$R$200,24)&amp;", "))),1,""))</f>
        <v/>
      </c>
      <c r="AA278">
        <f>IF(Wizards!$A$25="","",IF(OR(ISNUMBER(SEARCH(", "&amp;$B278&amp;", ", ", "&amp;INDEX('Form Responses'!$I$1:$Q$200,25,$A278)&amp;", ")),ISNUMBER(SEARCH(", "&amp;$B278&amp;", ", ", "&amp;INDEX('Form Responses'!$R$1:$R$200,25)&amp;", "))),1,""))</f>
        <v/>
      </c>
      <c r="AB278">
        <f>IF(D278=1,", "&amp;D$1,"")</f>
        <v/>
      </c>
      <c r="AC278">
        <f>IF(E278=1,", "&amp;E$1,"")</f>
        <v/>
      </c>
      <c r="AD278">
        <f>IF(F278=1,", "&amp;F$1,"")</f>
        <v/>
      </c>
      <c r="AE278">
        <f>IF(G278=1,", "&amp;G$1,"")</f>
        <v/>
      </c>
      <c r="AF278">
        <f>IF(H278=1,", "&amp;H$1,"")</f>
        <v/>
      </c>
      <c r="AG278">
        <f>IF(I278=1,", "&amp;I$1,"")</f>
        <v/>
      </c>
      <c r="AH278">
        <f>IF(J278=1,", "&amp;J$1,"")</f>
        <v/>
      </c>
      <c r="AI278">
        <f>IF(K278=1,", "&amp;K$1,"")</f>
        <v/>
      </c>
      <c r="AJ278">
        <f>IF(L278=1,", "&amp;L$1,"")</f>
        <v/>
      </c>
      <c r="AK278">
        <f>IF(M278=1,", "&amp;M$1,"")</f>
        <v/>
      </c>
      <c r="AL278">
        <f>IF(N278=1,", "&amp;N$1,"")</f>
        <v/>
      </c>
      <c r="AM278">
        <f>IF(O278=1,", "&amp;O$1,"")</f>
        <v/>
      </c>
      <c r="AN278">
        <f>IF(P278=1,", "&amp;P$1,"")</f>
        <v/>
      </c>
      <c r="AO278">
        <f>IF(Q278=1,", "&amp;Q$1,"")</f>
        <v/>
      </c>
      <c r="AP278">
        <f>IF(R278=1,", "&amp;R$1,"")</f>
        <v/>
      </c>
      <c r="AQ278">
        <f>IF(S278=1,", "&amp;S$1,"")</f>
        <v/>
      </c>
      <c r="AR278">
        <f>IF(T278=1,", "&amp;T$1,"")</f>
        <v/>
      </c>
      <c r="AS278">
        <f>IF(U278=1,", "&amp;U$1,"")</f>
        <v/>
      </c>
      <c r="AT278">
        <f>IF(V278=1,", "&amp;V$1,"")</f>
        <v/>
      </c>
      <c r="AU278">
        <f>IF(W278=1,", "&amp;W$1,"")</f>
        <v/>
      </c>
      <c r="AV278">
        <f>IF(X278=1,", "&amp;X$1,"")</f>
        <v/>
      </c>
      <c r="AW278">
        <f>IF(Y278=1,", "&amp;Y$1,"")</f>
        <v/>
      </c>
      <c r="AX278">
        <f>IF(Z278=1,", "&amp;Z$1,"")</f>
        <v/>
      </c>
      <c r="AY278">
        <f>IF(AA278=1,", "&amp;AA$1,"")</f>
        <v/>
      </c>
      <c r="AZ278">
        <f>MID($AB278&amp;$AC278&amp;$AD278&amp;$AE278&amp;$AF278&amp;$AG278&amp;$AH278&amp;$AI278&amp;$AJ278&amp;$AK278&amp;$AL278&amp;$AM278&amp;$AN278&amp;$AO278&amp;$AP278&amp;$AQ278&amp;$AR278&amp;$AS278&amp;$AT278&amp;$AU278&amp;$AV278&amp;$AW278&amp;$AX278&amp;$AY278,3,32767)</f>
        <v/>
      </c>
      <c r="BA278">
        <f>COUNT($D278:$AA278)</f>
        <v/>
      </c>
    </row>
    <row r="279">
      <c r="A279" t="n">
        <v>6</v>
      </c>
      <c r="B279" t="inlineStr">
        <is>
          <t>Tasha's Bubbling Cauldron</t>
        </is>
      </c>
      <c r="C279" t="inlineStr">
        <is>
          <t>Conjuration</t>
        </is>
      </c>
      <c r="D279">
        <f>IF(Wizards!$A$2="","",IF(OR(ISNUMBER(SEARCH(", "&amp;$B279&amp;", ", ", "&amp;INDEX('Form Responses'!$I$1:$Q$200,2,$A279)&amp;", ")),ISNUMBER(SEARCH(", "&amp;$B279&amp;", ", ", "&amp;INDEX('Form Responses'!$R$1:$R$200,2)&amp;", "))),1,""))</f>
        <v/>
      </c>
      <c r="E279">
        <f>IF(Wizards!$A$3="","",IF(OR(ISNUMBER(SEARCH(", "&amp;$B279&amp;", ", ", "&amp;INDEX('Form Responses'!$I$1:$Q$200,3,$A279)&amp;", ")),ISNUMBER(SEARCH(", "&amp;$B279&amp;", ", ", "&amp;INDEX('Form Responses'!$R$1:$R$200,3)&amp;", "))),1,""))</f>
        <v/>
      </c>
      <c r="F279">
        <f>IF(Wizards!$A$4="","",IF(OR(ISNUMBER(SEARCH(", "&amp;$B279&amp;", ", ", "&amp;INDEX('Form Responses'!$I$1:$Q$200,4,$A279)&amp;", ")),ISNUMBER(SEARCH(", "&amp;$B279&amp;", ", ", "&amp;INDEX('Form Responses'!$R$1:$R$200,4)&amp;", "))),1,""))</f>
        <v/>
      </c>
      <c r="G279">
        <f>IF(Wizards!$A$5="","",IF(OR(ISNUMBER(SEARCH(", "&amp;$B279&amp;", ", ", "&amp;INDEX('Form Responses'!$I$1:$Q$200,5,$A279)&amp;", ")),ISNUMBER(SEARCH(", "&amp;$B279&amp;", ", ", "&amp;INDEX('Form Responses'!$R$1:$R$200,5)&amp;", "))),1,""))</f>
        <v/>
      </c>
      <c r="H279">
        <f>IF(Wizards!$A$6="","",IF(OR(ISNUMBER(SEARCH(", "&amp;$B279&amp;", ", ", "&amp;INDEX('Form Responses'!$I$1:$Q$200,6,$A279)&amp;", ")),ISNUMBER(SEARCH(", "&amp;$B279&amp;", ", ", "&amp;INDEX('Form Responses'!$R$1:$R$200,6)&amp;", "))),1,""))</f>
        <v/>
      </c>
      <c r="I279">
        <f>IF(Wizards!$A$7="","",IF(OR(ISNUMBER(SEARCH(", "&amp;$B279&amp;", ", ", "&amp;INDEX('Form Responses'!$I$1:$Q$200,7,$A279)&amp;", ")),ISNUMBER(SEARCH(", "&amp;$B279&amp;", ", ", "&amp;INDEX('Form Responses'!$R$1:$R$200,7)&amp;", "))),1,""))</f>
        <v/>
      </c>
      <c r="J279">
        <f>IF(Wizards!$A$8="","",IF(OR(ISNUMBER(SEARCH(", "&amp;$B279&amp;", ", ", "&amp;INDEX('Form Responses'!$I$1:$Q$200,8,$A279)&amp;", ")),ISNUMBER(SEARCH(", "&amp;$B279&amp;", ", ", "&amp;INDEX('Form Responses'!$R$1:$R$200,8)&amp;", "))),1,""))</f>
        <v/>
      </c>
      <c r="K279">
        <f>IF(Wizards!$A$9="","",IF(OR(ISNUMBER(SEARCH(", "&amp;$B279&amp;", ", ", "&amp;INDEX('Form Responses'!$I$1:$Q$200,9,$A279)&amp;", ")),ISNUMBER(SEARCH(", "&amp;$B279&amp;", ", ", "&amp;INDEX('Form Responses'!$R$1:$R$200,9)&amp;", "))),1,""))</f>
        <v/>
      </c>
      <c r="L279">
        <f>IF(Wizards!$A$10="","",IF(OR(ISNUMBER(SEARCH(", "&amp;$B279&amp;", ", ", "&amp;INDEX('Form Responses'!$I$1:$Q$200,10,$A279)&amp;", ")),ISNUMBER(SEARCH(", "&amp;$B279&amp;", ", ", "&amp;INDEX('Form Responses'!$R$1:$R$200,10)&amp;", "))),1,""))</f>
        <v/>
      </c>
      <c r="M279">
        <f>IF(Wizards!$A$11="","",IF(OR(ISNUMBER(SEARCH(", "&amp;$B279&amp;", ", ", "&amp;INDEX('Form Responses'!$I$1:$Q$200,11,$A279)&amp;", ")),ISNUMBER(SEARCH(", "&amp;$B279&amp;", ", ", "&amp;INDEX('Form Responses'!$R$1:$R$200,11)&amp;", "))),1,""))</f>
        <v/>
      </c>
      <c r="N279">
        <f>IF(Wizards!$A$12="","",IF(OR(ISNUMBER(SEARCH(", "&amp;$B279&amp;", ", ", "&amp;INDEX('Form Responses'!$I$1:$Q$200,12,$A279)&amp;", ")),ISNUMBER(SEARCH(", "&amp;$B279&amp;", ", ", "&amp;INDEX('Form Responses'!$R$1:$R$200,12)&amp;", "))),1,""))</f>
        <v/>
      </c>
      <c r="O279">
        <f>IF(Wizards!$A$13="","",IF(OR(ISNUMBER(SEARCH(", "&amp;$B279&amp;", ", ", "&amp;INDEX('Form Responses'!$I$1:$Q$200,13,$A279)&amp;", ")),ISNUMBER(SEARCH(", "&amp;$B279&amp;", ", ", "&amp;INDEX('Form Responses'!$R$1:$R$200,13)&amp;", "))),1,""))</f>
        <v/>
      </c>
      <c r="P279">
        <f>IF(Wizards!$A$14="","",IF(OR(ISNUMBER(SEARCH(", "&amp;$B279&amp;", ", ", "&amp;INDEX('Form Responses'!$I$1:$Q$200,14,$A279)&amp;", ")),ISNUMBER(SEARCH(", "&amp;$B279&amp;", ", ", "&amp;INDEX('Form Responses'!$R$1:$R$200,14)&amp;", "))),1,""))</f>
        <v/>
      </c>
      <c r="Q279">
        <f>IF(Wizards!$A$15="","",IF(OR(ISNUMBER(SEARCH(", "&amp;$B279&amp;", ", ", "&amp;INDEX('Form Responses'!$I$1:$Q$200,15,$A279)&amp;", ")),ISNUMBER(SEARCH(", "&amp;$B279&amp;", ", ", "&amp;INDEX('Form Responses'!$R$1:$R$200,15)&amp;", "))),1,""))</f>
        <v/>
      </c>
      <c r="R279">
        <f>IF(Wizards!$A$16="","",IF(OR(ISNUMBER(SEARCH(", "&amp;$B279&amp;", ", ", "&amp;INDEX('Form Responses'!$I$1:$Q$200,16,$A279)&amp;", ")),ISNUMBER(SEARCH(", "&amp;$B279&amp;", ", ", "&amp;INDEX('Form Responses'!$R$1:$R$200,16)&amp;", "))),1,""))</f>
        <v/>
      </c>
      <c r="S279">
        <f>IF(Wizards!$A$17="","",IF(OR(ISNUMBER(SEARCH(", "&amp;$B279&amp;", ", ", "&amp;INDEX('Form Responses'!$I$1:$Q$200,17,$A279)&amp;", ")),ISNUMBER(SEARCH(", "&amp;$B279&amp;", ", ", "&amp;INDEX('Form Responses'!$R$1:$R$200,17)&amp;", "))),1,""))</f>
        <v/>
      </c>
      <c r="T279">
        <f>IF(Wizards!$A$18="","",IF(OR(ISNUMBER(SEARCH(", "&amp;$B279&amp;", ", ", "&amp;INDEX('Form Responses'!$I$1:$Q$200,18,$A279)&amp;", ")),ISNUMBER(SEARCH(", "&amp;$B279&amp;", ", ", "&amp;INDEX('Form Responses'!$R$1:$R$200,18)&amp;", "))),1,""))</f>
        <v/>
      </c>
      <c r="U279">
        <f>IF(Wizards!$A$19="","",IF(OR(ISNUMBER(SEARCH(", "&amp;$B279&amp;", ", ", "&amp;INDEX('Form Responses'!$I$1:$Q$200,19,$A279)&amp;", ")),ISNUMBER(SEARCH(", "&amp;$B279&amp;", ", ", "&amp;INDEX('Form Responses'!$R$1:$R$200,19)&amp;", "))),1,""))</f>
        <v/>
      </c>
      <c r="V279">
        <f>IF(Wizards!$A$20="","",IF(OR(ISNUMBER(SEARCH(", "&amp;$B279&amp;", ", ", "&amp;INDEX('Form Responses'!$I$1:$Q$200,20,$A279)&amp;", ")),ISNUMBER(SEARCH(", "&amp;$B279&amp;", ", ", "&amp;INDEX('Form Responses'!$R$1:$R$200,20)&amp;", "))),1,""))</f>
        <v/>
      </c>
      <c r="W279">
        <f>IF(Wizards!$A$21="","",IF(OR(ISNUMBER(SEARCH(", "&amp;$B279&amp;", ", ", "&amp;INDEX('Form Responses'!$I$1:$Q$200,21,$A279)&amp;", ")),ISNUMBER(SEARCH(", "&amp;$B279&amp;", ", ", "&amp;INDEX('Form Responses'!$R$1:$R$200,21)&amp;", "))),1,""))</f>
        <v/>
      </c>
      <c r="X279">
        <f>IF(Wizards!$A$22="","",IF(OR(ISNUMBER(SEARCH(", "&amp;$B279&amp;", ", ", "&amp;INDEX('Form Responses'!$I$1:$Q$200,22,$A279)&amp;", ")),ISNUMBER(SEARCH(", "&amp;$B279&amp;", ", ", "&amp;INDEX('Form Responses'!$R$1:$R$200,22)&amp;", "))),1,""))</f>
        <v/>
      </c>
      <c r="Y279">
        <f>IF(Wizards!$A$23="","",IF(OR(ISNUMBER(SEARCH(", "&amp;$B279&amp;", ", ", "&amp;INDEX('Form Responses'!$I$1:$Q$200,23,$A279)&amp;", ")),ISNUMBER(SEARCH(", "&amp;$B279&amp;", ", ", "&amp;INDEX('Form Responses'!$R$1:$R$200,23)&amp;", "))),1,""))</f>
        <v/>
      </c>
      <c r="Z279">
        <f>IF(Wizards!$A$24="","",IF(OR(ISNUMBER(SEARCH(", "&amp;$B279&amp;", ", ", "&amp;INDEX('Form Responses'!$I$1:$Q$200,24,$A279)&amp;", ")),ISNUMBER(SEARCH(", "&amp;$B279&amp;", ", ", "&amp;INDEX('Form Responses'!$R$1:$R$200,24)&amp;", "))),1,""))</f>
        <v/>
      </c>
      <c r="AA279">
        <f>IF(Wizards!$A$25="","",IF(OR(ISNUMBER(SEARCH(", "&amp;$B279&amp;", ", ", "&amp;INDEX('Form Responses'!$I$1:$Q$200,25,$A279)&amp;", ")),ISNUMBER(SEARCH(", "&amp;$B279&amp;", ", ", "&amp;INDEX('Form Responses'!$R$1:$R$200,25)&amp;", "))),1,""))</f>
        <v/>
      </c>
      <c r="AB279">
        <f>IF(D279=1,", "&amp;D$1,"")</f>
        <v/>
      </c>
      <c r="AC279">
        <f>IF(E279=1,", "&amp;E$1,"")</f>
        <v/>
      </c>
      <c r="AD279">
        <f>IF(F279=1,", "&amp;F$1,"")</f>
        <v/>
      </c>
      <c r="AE279">
        <f>IF(G279=1,", "&amp;G$1,"")</f>
        <v/>
      </c>
      <c r="AF279">
        <f>IF(H279=1,", "&amp;H$1,"")</f>
        <v/>
      </c>
      <c r="AG279">
        <f>IF(I279=1,", "&amp;I$1,"")</f>
        <v/>
      </c>
      <c r="AH279">
        <f>IF(J279=1,", "&amp;J$1,"")</f>
        <v/>
      </c>
      <c r="AI279">
        <f>IF(K279=1,", "&amp;K$1,"")</f>
        <v/>
      </c>
      <c r="AJ279">
        <f>IF(L279=1,", "&amp;L$1,"")</f>
        <v/>
      </c>
      <c r="AK279">
        <f>IF(M279=1,", "&amp;M$1,"")</f>
        <v/>
      </c>
      <c r="AL279">
        <f>IF(N279=1,", "&amp;N$1,"")</f>
        <v/>
      </c>
      <c r="AM279">
        <f>IF(O279=1,", "&amp;O$1,"")</f>
        <v/>
      </c>
      <c r="AN279">
        <f>IF(P279=1,", "&amp;P$1,"")</f>
        <v/>
      </c>
      <c r="AO279">
        <f>IF(Q279=1,", "&amp;Q$1,"")</f>
        <v/>
      </c>
      <c r="AP279">
        <f>IF(R279=1,", "&amp;R$1,"")</f>
        <v/>
      </c>
      <c r="AQ279">
        <f>IF(S279=1,", "&amp;S$1,"")</f>
        <v/>
      </c>
      <c r="AR279">
        <f>IF(T279=1,", "&amp;T$1,"")</f>
        <v/>
      </c>
      <c r="AS279">
        <f>IF(U279=1,", "&amp;U$1,"")</f>
        <v/>
      </c>
      <c r="AT279">
        <f>IF(V279=1,", "&amp;V$1,"")</f>
        <v/>
      </c>
      <c r="AU279">
        <f>IF(W279=1,", "&amp;W$1,"")</f>
        <v/>
      </c>
      <c r="AV279">
        <f>IF(X279=1,", "&amp;X$1,"")</f>
        <v/>
      </c>
      <c r="AW279">
        <f>IF(Y279=1,", "&amp;Y$1,"")</f>
        <v/>
      </c>
      <c r="AX279">
        <f>IF(Z279=1,", "&amp;Z$1,"")</f>
        <v/>
      </c>
      <c r="AY279">
        <f>IF(AA279=1,", "&amp;AA$1,"")</f>
        <v/>
      </c>
      <c r="AZ279">
        <f>MID($AB279&amp;$AC279&amp;$AD279&amp;$AE279&amp;$AF279&amp;$AG279&amp;$AH279&amp;$AI279&amp;$AJ279&amp;$AK279&amp;$AL279&amp;$AM279&amp;$AN279&amp;$AO279&amp;$AP279&amp;$AQ279&amp;$AR279&amp;$AS279&amp;$AT279&amp;$AU279&amp;$AV279&amp;$AW279&amp;$AX279&amp;$AY279,3,32767)</f>
        <v/>
      </c>
      <c r="BA279">
        <f>COUNT($D279:$AA279)</f>
        <v/>
      </c>
    </row>
    <row r="280">
      <c r="A280" t="n">
        <v>6</v>
      </c>
      <c r="B280" t="inlineStr">
        <is>
          <t>Tasha's Otherworldly Guise</t>
        </is>
      </c>
      <c r="C280" t="inlineStr">
        <is>
          <t>Transmutation</t>
        </is>
      </c>
      <c r="D280">
        <f>IF(Wizards!$A$2="","",IF(OR(ISNUMBER(SEARCH(", "&amp;$B280&amp;", ", ", "&amp;INDEX('Form Responses'!$I$1:$Q$200,2,$A280)&amp;", ")),ISNUMBER(SEARCH(", "&amp;$B280&amp;", ", ", "&amp;INDEX('Form Responses'!$R$1:$R$200,2)&amp;", "))),1,""))</f>
        <v/>
      </c>
      <c r="E280">
        <f>IF(Wizards!$A$3="","",IF(OR(ISNUMBER(SEARCH(", "&amp;$B280&amp;", ", ", "&amp;INDEX('Form Responses'!$I$1:$Q$200,3,$A280)&amp;", ")),ISNUMBER(SEARCH(", "&amp;$B280&amp;", ", ", "&amp;INDEX('Form Responses'!$R$1:$R$200,3)&amp;", "))),1,""))</f>
        <v/>
      </c>
      <c r="F280">
        <f>IF(Wizards!$A$4="","",IF(OR(ISNUMBER(SEARCH(", "&amp;$B280&amp;", ", ", "&amp;INDEX('Form Responses'!$I$1:$Q$200,4,$A280)&amp;", ")),ISNUMBER(SEARCH(", "&amp;$B280&amp;", ", ", "&amp;INDEX('Form Responses'!$R$1:$R$200,4)&amp;", "))),1,""))</f>
        <v/>
      </c>
      <c r="G280">
        <f>IF(Wizards!$A$5="","",IF(OR(ISNUMBER(SEARCH(", "&amp;$B280&amp;", ", ", "&amp;INDEX('Form Responses'!$I$1:$Q$200,5,$A280)&amp;", ")),ISNUMBER(SEARCH(", "&amp;$B280&amp;", ", ", "&amp;INDEX('Form Responses'!$R$1:$R$200,5)&amp;", "))),1,""))</f>
        <v/>
      </c>
      <c r="H280">
        <f>IF(Wizards!$A$6="","",IF(OR(ISNUMBER(SEARCH(", "&amp;$B280&amp;", ", ", "&amp;INDEX('Form Responses'!$I$1:$Q$200,6,$A280)&amp;", ")),ISNUMBER(SEARCH(", "&amp;$B280&amp;", ", ", "&amp;INDEX('Form Responses'!$R$1:$R$200,6)&amp;", "))),1,""))</f>
        <v/>
      </c>
      <c r="I280">
        <f>IF(Wizards!$A$7="","",IF(OR(ISNUMBER(SEARCH(", "&amp;$B280&amp;", ", ", "&amp;INDEX('Form Responses'!$I$1:$Q$200,7,$A280)&amp;", ")),ISNUMBER(SEARCH(", "&amp;$B280&amp;", ", ", "&amp;INDEX('Form Responses'!$R$1:$R$200,7)&amp;", "))),1,""))</f>
        <v/>
      </c>
      <c r="J280">
        <f>IF(Wizards!$A$8="","",IF(OR(ISNUMBER(SEARCH(", "&amp;$B280&amp;", ", ", "&amp;INDEX('Form Responses'!$I$1:$Q$200,8,$A280)&amp;", ")),ISNUMBER(SEARCH(", "&amp;$B280&amp;", ", ", "&amp;INDEX('Form Responses'!$R$1:$R$200,8)&amp;", "))),1,""))</f>
        <v/>
      </c>
      <c r="K280">
        <f>IF(Wizards!$A$9="","",IF(OR(ISNUMBER(SEARCH(", "&amp;$B280&amp;", ", ", "&amp;INDEX('Form Responses'!$I$1:$Q$200,9,$A280)&amp;", ")),ISNUMBER(SEARCH(", "&amp;$B280&amp;", ", ", "&amp;INDEX('Form Responses'!$R$1:$R$200,9)&amp;", "))),1,""))</f>
        <v/>
      </c>
      <c r="L280">
        <f>IF(Wizards!$A$10="","",IF(OR(ISNUMBER(SEARCH(", "&amp;$B280&amp;", ", ", "&amp;INDEX('Form Responses'!$I$1:$Q$200,10,$A280)&amp;", ")),ISNUMBER(SEARCH(", "&amp;$B280&amp;", ", ", "&amp;INDEX('Form Responses'!$R$1:$R$200,10)&amp;", "))),1,""))</f>
        <v/>
      </c>
      <c r="M280">
        <f>IF(Wizards!$A$11="","",IF(OR(ISNUMBER(SEARCH(", "&amp;$B280&amp;", ", ", "&amp;INDEX('Form Responses'!$I$1:$Q$200,11,$A280)&amp;", ")),ISNUMBER(SEARCH(", "&amp;$B280&amp;", ", ", "&amp;INDEX('Form Responses'!$R$1:$R$200,11)&amp;", "))),1,""))</f>
        <v/>
      </c>
      <c r="N280">
        <f>IF(Wizards!$A$12="","",IF(OR(ISNUMBER(SEARCH(", "&amp;$B280&amp;", ", ", "&amp;INDEX('Form Responses'!$I$1:$Q$200,12,$A280)&amp;", ")),ISNUMBER(SEARCH(", "&amp;$B280&amp;", ", ", "&amp;INDEX('Form Responses'!$R$1:$R$200,12)&amp;", "))),1,""))</f>
        <v/>
      </c>
      <c r="O280">
        <f>IF(Wizards!$A$13="","",IF(OR(ISNUMBER(SEARCH(", "&amp;$B280&amp;", ", ", "&amp;INDEX('Form Responses'!$I$1:$Q$200,13,$A280)&amp;", ")),ISNUMBER(SEARCH(", "&amp;$B280&amp;", ", ", "&amp;INDEX('Form Responses'!$R$1:$R$200,13)&amp;", "))),1,""))</f>
        <v/>
      </c>
      <c r="P280">
        <f>IF(Wizards!$A$14="","",IF(OR(ISNUMBER(SEARCH(", "&amp;$B280&amp;", ", ", "&amp;INDEX('Form Responses'!$I$1:$Q$200,14,$A280)&amp;", ")),ISNUMBER(SEARCH(", "&amp;$B280&amp;", ", ", "&amp;INDEX('Form Responses'!$R$1:$R$200,14)&amp;", "))),1,""))</f>
        <v/>
      </c>
      <c r="Q280">
        <f>IF(Wizards!$A$15="","",IF(OR(ISNUMBER(SEARCH(", "&amp;$B280&amp;", ", ", "&amp;INDEX('Form Responses'!$I$1:$Q$200,15,$A280)&amp;", ")),ISNUMBER(SEARCH(", "&amp;$B280&amp;", ", ", "&amp;INDEX('Form Responses'!$R$1:$R$200,15)&amp;", "))),1,""))</f>
        <v/>
      </c>
      <c r="R280">
        <f>IF(Wizards!$A$16="","",IF(OR(ISNUMBER(SEARCH(", "&amp;$B280&amp;", ", ", "&amp;INDEX('Form Responses'!$I$1:$Q$200,16,$A280)&amp;", ")),ISNUMBER(SEARCH(", "&amp;$B280&amp;", ", ", "&amp;INDEX('Form Responses'!$R$1:$R$200,16)&amp;", "))),1,""))</f>
        <v/>
      </c>
      <c r="S280">
        <f>IF(Wizards!$A$17="","",IF(OR(ISNUMBER(SEARCH(", "&amp;$B280&amp;", ", ", "&amp;INDEX('Form Responses'!$I$1:$Q$200,17,$A280)&amp;", ")),ISNUMBER(SEARCH(", "&amp;$B280&amp;", ", ", "&amp;INDEX('Form Responses'!$R$1:$R$200,17)&amp;", "))),1,""))</f>
        <v/>
      </c>
      <c r="T280">
        <f>IF(Wizards!$A$18="","",IF(OR(ISNUMBER(SEARCH(", "&amp;$B280&amp;", ", ", "&amp;INDEX('Form Responses'!$I$1:$Q$200,18,$A280)&amp;", ")),ISNUMBER(SEARCH(", "&amp;$B280&amp;", ", ", "&amp;INDEX('Form Responses'!$R$1:$R$200,18)&amp;", "))),1,""))</f>
        <v/>
      </c>
      <c r="U280">
        <f>IF(Wizards!$A$19="","",IF(OR(ISNUMBER(SEARCH(", "&amp;$B280&amp;", ", ", "&amp;INDEX('Form Responses'!$I$1:$Q$200,19,$A280)&amp;", ")),ISNUMBER(SEARCH(", "&amp;$B280&amp;", ", ", "&amp;INDEX('Form Responses'!$R$1:$R$200,19)&amp;", "))),1,""))</f>
        <v/>
      </c>
      <c r="V280">
        <f>IF(Wizards!$A$20="","",IF(OR(ISNUMBER(SEARCH(", "&amp;$B280&amp;", ", ", "&amp;INDEX('Form Responses'!$I$1:$Q$200,20,$A280)&amp;", ")),ISNUMBER(SEARCH(", "&amp;$B280&amp;", ", ", "&amp;INDEX('Form Responses'!$R$1:$R$200,20)&amp;", "))),1,""))</f>
        <v/>
      </c>
      <c r="W280">
        <f>IF(Wizards!$A$21="","",IF(OR(ISNUMBER(SEARCH(", "&amp;$B280&amp;", ", ", "&amp;INDEX('Form Responses'!$I$1:$Q$200,21,$A280)&amp;", ")),ISNUMBER(SEARCH(", "&amp;$B280&amp;", ", ", "&amp;INDEX('Form Responses'!$R$1:$R$200,21)&amp;", "))),1,""))</f>
        <v/>
      </c>
      <c r="X280">
        <f>IF(Wizards!$A$22="","",IF(OR(ISNUMBER(SEARCH(", "&amp;$B280&amp;", ", ", "&amp;INDEX('Form Responses'!$I$1:$Q$200,22,$A280)&amp;", ")),ISNUMBER(SEARCH(", "&amp;$B280&amp;", ", ", "&amp;INDEX('Form Responses'!$R$1:$R$200,22)&amp;", "))),1,""))</f>
        <v/>
      </c>
      <c r="Y280">
        <f>IF(Wizards!$A$23="","",IF(OR(ISNUMBER(SEARCH(", "&amp;$B280&amp;", ", ", "&amp;INDEX('Form Responses'!$I$1:$Q$200,23,$A280)&amp;", ")),ISNUMBER(SEARCH(", "&amp;$B280&amp;", ", ", "&amp;INDEX('Form Responses'!$R$1:$R$200,23)&amp;", "))),1,""))</f>
        <v/>
      </c>
      <c r="Z280">
        <f>IF(Wizards!$A$24="","",IF(OR(ISNUMBER(SEARCH(", "&amp;$B280&amp;", ", ", "&amp;INDEX('Form Responses'!$I$1:$Q$200,24,$A280)&amp;", ")),ISNUMBER(SEARCH(", "&amp;$B280&amp;", ", ", "&amp;INDEX('Form Responses'!$R$1:$R$200,24)&amp;", "))),1,""))</f>
        <v/>
      </c>
      <c r="AA280">
        <f>IF(Wizards!$A$25="","",IF(OR(ISNUMBER(SEARCH(", "&amp;$B280&amp;", ", ", "&amp;INDEX('Form Responses'!$I$1:$Q$200,25,$A280)&amp;", ")),ISNUMBER(SEARCH(", "&amp;$B280&amp;", ", ", "&amp;INDEX('Form Responses'!$R$1:$R$200,25)&amp;", "))),1,""))</f>
        <v/>
      </c>
      <c r="AB280">
        <f>IF(D280=1,", "&amp;D$1,"")</f>
        <v/>
      </c>
      <c r="AC280">
        <f>IF(E280=1,", "&amp;E$1,"")</f>
        <v/>
      </c>
      <c r="AD280">
        <f>IF(F280=1,", "&amp;F$1,"")</f>
        <v/>
      </c>
      <c r="AE280">
        <f>IF(G280=1,", "&amp;G$1,"")</f>
        <v/>
      </c>
      <c r="AF280">
        <f>IF(H280=1,", "&amp;H$1,"")</f>
        <v/>
      </c>
      <c r="AG280">
        <f>IF(I280=1,", "&amp;I$1,"")</f>
        <v/>
      </c>
      <c r="AH280">
        <f>IF(J280=1,", "&amp;J$1,"")</f>
        <v/>
      </c>
      <c r="AI280">
        <f>IF(K280=1,", "&amp;K$1,"")</f>
        <v/>
      </c>
      <c r="AJ280">
        <f>IF(L280=1,", "&amp;L$1,"")</f>
        <v/>
      </c>
      <c r="AK280">
        <f>IF(M280=1,", "&amp;M$1,"")</f>
        <v/>
      </c>
      <c r="AL280">
        <f>IF(N280=1,", "&amp;N$1,"")</f>
        <v/>
      </c>
      <c r="AM280">
        <f>IF(O280=1,", "&amp;O$1,"")</f>
        <v/>
      </c>
      <c r="AN280">
        <f>IF(P280=1,", "&amp;P$1,"")</f>
        <v/>
      </c>
      <c r="AO280">
        <f>IF(Q280=1,", "&amp;Q$1,"")</f>
        <v/>
      </c>
      <c r="AP280">
        <f>IF(R280=1,", "&amp;R$1,"")</f>
        <v/>
      </c>
      <c r="AQ280">
        <f>IF(S280=1,", "&amp;S$1,"")</f>
        <v/>
      </c>
      <c r="AR280">
        <f>IF(T280=1,", "&amp;T$1,"")</f>
        <v/>
      </c>
      <c r="AS280">
        <f>IF(U280=1,", "&amp;U$1,"")</f>
        <v/>
      </c>
      <c r="AT280">
        <f>IF(V280=1,", "&amp;V$1,"")</f>
        <v/>
      </c>
      <c r="AU280">
        <f>IF(W280=1,", "&amp;W$1,"")</f>
        <v/>
      </c>
      <c r="AV280">
        <f>IF(X280=1,", "&amp;X$1,"")</f>
        <v/>
      </c>
      <c r="AW280">
        <f>IF(Y280=1,", "&amp;Y$1,"")</f>
        <v/>
      </c>
      <c r="AX280">
        <f>IF(Z280=1,", "&amp;Z$1,"")</f>
        <v/>
      </c>
      <c r="AY280">
        <f>IF(AA280=1,", "&amp;AA$1,"")</f>
        <v/>
      </c>
      <c r="AZ280">
        <f>MID($AB280&amp;$AC280&amp;$AD280&amp;$AE280&amp;$AF280&amp;$AG280&amp;$AH280&amp;$AI280&amp;$AJ280&amp;$AK280&amp;$AL280&amp;$AM280&amp;$AN280&amp;$AO280&amp;$AP280&amp;$AQ280&amp;$AR280&amp;$AS280&amp;$AT280&amp;$AU280&amp;$AV280&amp;$AW280&amp;$AX280&amp;$AY280,3,32767)</f>
        <v/>
      </c>
      <c r="BA280">
        <f>COUNT($D280:$AA280)</f>
        <v/>
      </c>
    </row>
    <row r="281">
      <c r="A281" t="n">
        <v>6</v>
      </c>
      <c r="B281" t="inlineStr">
        <is>
          <t>Tenser's Transformation</t>
        </is>
      </c>
      <c r="C281" t="inlineStr">
        <is>
          <t>Transmutation</t>
        </is>
      </c>
      <c r="D281">
        <f>IF(Wizards!$A$2="","",IF(OR(ISNUMBER(SEARCH(", "&amp;$B281&amp;", ", ", "&amp;INDEX('Form Responses'!$I$1:$Q$200,2,$A281)&amp;", ")),ISNUMBER(SEARCH(", "&amp;$B281&amp;", ", ", "&amp;INDEX('Form Responses'!$R$1:$R$200,2)&amp;", "))),1,""))</f>
        <v/>
      </c>
      <c r="E281">
        <f>IF(Wizards!$A$3="","",IF(OR(ISNUMBER(SEARCH(", "&amp;$B281&amp;", ", ", "&amp;INDEX('Form Responses'!$I$1:$Q$200,3,$A281)&amp;", ")),ISNUMBER(SEARCH(", "&amp;$B281&amp;", ", ", "&amp;INDEX('Form Responses'!$R$1:$R$200,3)&amp;", "))),1,""))</f>
        <v/>
      </c>
      <c r="F281">
        <f>IF(Wizards!$A$4="","",IF(OR(ISNUMBER(SEARCH(", "&amp;$B281&amp;", ", ", "&amp;INDEX('Form Responses'!$I$1:$Q$200,4,$A281)&amp;", ")),ISNUMBER(SEARCH(", "&amp;$B281&amp;", ", ", "&amp;INDEX('Form Responses'!$R$1:$R$200,4)&amp;", "))),1,""))</f>
        <v/>
      </c>
      <c r="G281">
        <f>IF(Wizards!$A$5="","",IF(OR(ISNUMBER(SEARCH(", "&amp;$B281&amp;", ", ", "&amp;INDEX('Form Responses'!$I$1:$Q$200,5,$A281)&amp;", ")),ISNUMBER(SEARCH(", "&amp;$B281&amp;", ", ", "&amp;INDEX('Form Responses'!$R$1:$R$200,5)&amp;", "))),1,""))</f>
        <v/>
      </c>
      <c r="H281">
        <f>IF(Wizards!$A$6="","",IF(OR(ISNUMBER(SEARCH(", "&amp;$B281&amp;", ", ", "&amp;INDEX('Form Responses'!$I$1:$Q$200,6,$A281)&amp;", ")),ISNUMBER(SEARCH(", "&amp;$B281&amp;", ", ", "&amp;INDEX('Form Responses'!$R$1:$R$200,6)&amp;", "))),1,""))</f>
        <v/>
      </c>
      <c r="I281">
        <f>IF(Wizards!$A$7="","",IF(OR(ISNUMBER(SEARCH(", "&amp;$B281&amp;", ", ", "&amp;INDEX('Form Responses'!$I$1:$Q$200,7,$A281)&amp;", ")),ISNUMBER(SEARCH(", "&amp;$B281&amp;", ", ", "&amp;INDEX('Form Responses'!$R$1:$R$200,7)&amp;", "))),1,""))</f>
        <v/>
      </c>
      <c r="J281">
        <f>IF(Wizards!$A$8="","",IF(OR(ISNUMBER(SEARCH(", "&amp;$B281&amp;", ", ", "&amp;INDEX('Form Responses'!$I$1:$Q$200,8,$A281)&amp;", ")),ISNUMBER(SEARCH(", "&amp;$B281&amp;", ", ", "&amp;INDEX('Form Responses'!$R$1:$R$200,8)&amp;", "))),1,""))</f>
        <v/>
      </c>
      <c r="K281">
        <f>IF(Wizards!$A$9="","",IF(OR(ISNUMBER(SEARCH(", "&amp;$B281&amp;", ", ", "&amp;INDEX('Form Responses'!$I$1:$Q$200,9,$A281)&amp;", ")),ISNUMBER(SEARCH(", "&amp;$B281&amp;", ", ", "&amp;INDEX('Form Responses'!$R$1:$R$200,9)&amp;", "))),1,""))</f>
        <v/>
      </c>
      <c r="L281">
        <f>IF(Wizards!$A$10="","",IF(OR(ISNUMBER(SEARCH(", "&amp;$B281&amp;", ", ", "&amp;INDEX('Form Responses'!$I$1:$Q$200,10,$A281)&amp;", ")),ISNUMBER(SEARCH(", "&amp;$B281&amp;", ", ", "&amp;INDEX('Form Responses'!$R$1:$R$200,10)&amp;", "))),1,""))</f>
        <v/>
      </c>
      <c r="M281">
        <f>IF(Wizards!$A$11="","",IF(OR(ISNUMBER(SEARCH(", "&amp;$B281&amp;", ", ", "&amp;INDEX('Form Responses'!$I$1:$Q$200,11,$A281)&amp;", ")),ISNUMBER(SEARCH(", "&amp;$B281&amp;", ", ", "&amp;INDEX('Form Responses'!$R$1:$R$200,11)&amp;", "))),1,""))</f>
        <v/>
      </c>
      <c r="N281">
        <f>IF(Wizards!$A$12="","",IF(OR(ISNUMBER(SEARCH(", "&amp;$B281&amp;", ", ", "&amp;INDEX('Form Responses'!$I$1:$Q$200,12,$A281)&amp;", ")),ISNUMBER(SEARCH(", "&amp;$B281&amp;", ", ", "&amp;INDEX('Form Responses'!$R$1:$R$200,12)&amp;", "))),1,""))</f>
        <v/>
      </c>
      <c r="O281">
        <f>IF(Wizards!$A$13="","",IF(OR(ISNUMBER(SEARCH(", "&amp;$B281&amp;", ", ", "&amp;INDEX('Form Responses'!$I$1:$Q$200,13,$A281)&amp;", ")),ISNUMBER(SEARCH(", "&amp;$B281&amp;", ", ", "&amp;INDEX('Form Responses'!$R$1:$R$200,13)&amp;", "))),1,""))</f>
        <v/>
      </c>
      <c r="P281">
        <f>IF(Wizards!$A$14="","",IF(OR(ISNUMBER(SEARCH(", "&amp;$B281&amp;", ", ", "&amp;INDEX('Form Responses'!$I$1:$Q$200,14,$A281)&amp;", ")),ISNUMBER(SEARCH(", "&amp;$B281&amp;", ", ", "&amp;INDEX('Form Responses'!$R$1:$R$200,14)&amp;", "))),1,""))</f>
        <v/>
      </c>
      <c r="Q281">
        <f>IF(Wizards!$A$15="","",IF(OR(ISNUMBER(SEARCH(", "&amp;$B281&amp;", ", ", "&amp;INDEX('Form Responses'!$I$1:$Q$200,15,$A281)&amp;", ")),ISNUMBER(SEARCH(", "&amp;$B281&amp;", ", ", "&amp;INDEX('Form Responses'!$R$1:$R$200,15)&amp;", "))),1,""))</f>
        <v/>
      </c>
      <c r="R281">
        <f>IF(Wizards!$A$16="","",IF(OR(ISNUMBER(SEARCH(", "&amp;$B281&amp;", ", ", "&amp;INDEX('Form Responses'!$I$1:$Q$200,16,$A281)&amp;", ")),ISNUMBER(SEARCH(", "&amp;$B281&amp;", ", ", "&amp;INDEX('Form Responses'!$R$1:$R$200,16)&amp;", "))),1,""))</f>
        <v/>
      </c>
      <c r="S281">
        <f>IF(Wizards!$A$17="","",IF(OR(ISNUMBER(SEARCH(", "&amp;$B281&amp;", ", ", "&amp;INDEX('Form Responses'!$I$1:$Q$200,17,$A281)&amp;", ")),ISNUMBER(SEARCH(", "&amp;$B281&amp;", ", ", "&amp;INDEX('Form Responses'!$R$1:$R$200,17)&amp;", "))),1,""))</f>
        <v/>
      </c>
      <c r="T281">
        <f>IF(Wizards!$A$18="","",IF(OR(ISNUMBER(SEARCH(", "&amp;$B281&amp;", ", ", "&amp;INDEX('Form Responses'!$I$1:$Q$200,18,$A281)&amp;", ")),ISNUMBER(SEARCH(", "&amp;$B281&amp;", ", ", "&amp;INDEX('Form Responses'!$R$1:$R$200,18)&amp;", "))),1,""))</f>
        <v/>
      </c>
      <c r="U281">
        <f>IF(Wizards!$A$19="","",IF(OR(ISNUMBER(SEARCH(", "&amp;$B281&amp;", ", ", "&amp;INDEX('Form Responses'!$I$1:$Q$200,19,$A281)&amp;", ")),ISNUMBER(SEARCH(", "&amp;$B281&amp;", ", ", "&amp;INDEX('Form Responses'!$R$1:$R$200,19)&amp;", "))),1,""))</f>
        <v/>
      </c>
      <c r="V281">
        <f>IF(Wizards!$A$20="","",IF(OR(ISNUMBER(SEARCH(", "&amp;$B281&amp;", ", ", "&amp;INDEX('Form Responses'!$I$1:$Q$200,20,$A281)&amp;", ")),ISNUMBER(SEARCH(", "&amp;$B281&amp;", ", ", "&amp;INDEX('Form Responses'!$R$1:$R$200,20)&amp;", "))),1,""))</f>
        <v/>
      </c>
      <c r="W281">
        <f>IF(Wizards!$A$21="","",IF(OR(ISNUMBER(SEARCH(", "&amp;$B281&amp;", ", ", "&amp;INDEX('Form Responses'!$I$1:$Q$200,21,$A281)&amp;", ")),ISNUMBER(SEARCH(", "&amp;$B281&amp;", ", ", "&amp;INDEX('Form Responses'!$R$1:$R$200,21)&amp;", "))),1,""))</f>
        <v/>
      </c>
      <c r="X281">
        <f>IF(Wizards!$A$22="","",IF(OR(ISNUMBER(SEARCH(", "&amp;$B281&amp;", ", ", "&amp;INDEX('Form Responses'!$I$1:$Q$200,22,$A281)&amp;", ")),ISNUMBER(SEARCH(", "&amp;$B281&amp;", ", ", "&amp;INDEX('Form Responses'!$R$1:$R$200,22)&amp;", "))),1,""))</f>
        <v/>
      </c>
      <c r="Y281">
        <f>IF(Wizards!$A$23="","",IF(OR(ISNUMBER(SEARCH(", "&amp;$B281&amp;", ", ", "&amp;INDEX('Form Responses'!$I$1:$Q$200,23,$A281)&amp;", ")),ISNUMBER(SEARCH(", "&amp;$B281&amp;", ", ", "&amp;INDEX('Form Responses'!$R$1:$R$200,23)&amp;", "))),1,""))</f>
        <v/>
      </c>
      <c r="Z281">
        <f>IF(Wizards!$A$24="","",IF(OR(ISNUMBER(SEARCH(", "&amp;$B281&amp;", ", ", "&amp;INDEX('Form Responses'!$I$1:$Q$200,24,$A281)&amp;", ")),ISNUMBER(SEARCH(", "&amp;$B281&amp;", ", ", "&amp;INDEX('Form Responses'!$R$1:$R$200,24)&amp;", "))),1,""))</f>
        <v/>
      </c>
      <c r="AA281">
        <f>IF(Wizards!$A$25="","",IF(OR(ISNUMBER(SEARCH(", "&amp;$B281&amp;", ", ", "&amp;INDEX('Form Responses'!$I$1:$Q$200,25,$A281)&amp;", ")),ISNUMBER(SEARCH(", "&amp;$B281&amp;", ", ", "&amp;INDEX('Form Responses'!$R$1:$R$200,25)&amp;", "))),1,""))</f>
        <v/>
      </c>
      <c r="AB281">
        <f>IF(D281=1,", "&amp;D$1,"")</f>
        <v/>
      </c>
      <c r="AC281">
        <f>IF(E281=1,", "&amp;E$1,"")</f>
        <v/>
      </c>
      <c r="AD281">
        <f>IF(F281=1,", "&amp;F$1,"")</f>
        <v/>
      </c>
      <c r="AE281">
        <f>IF(G281=1,", "&amp;G$1,"")</f>
        <v/>
      </c>
      <c r="AF281">
        <f>IF(H281=1,", "&amp;H$1,"")</f>
        <v/>
      </c>
      <c r="AG281">
        <f>IF(I281=1,", "&amp;I$1,"")</f>
        <v/>
      </c>
      <c r="AH281">
        <f>IF(J281=1,", "&amp;J$1,"")</f>
        <v/>
      </c>
      <c r="AI281">
        <f>IF(K281=1,", "&amp;K$1,"")</f>
        <v/>
      </c>
      <c r="AJ281">
        <f>IF(L281=1,", "&amp;L$1,"")</f>
        <v/>
      </c>
      <c r="AK281">
        <f>IF(M281=1,", "&amp;M$1,"")</f>
        <v/>
      </c>
      <c r="AL281">
        <f>IF(N281=1,", "&amp;N$1,"")</f>
        <v/>
      </c>
      <c r="AM281">
        <f>IF(O281=1,", "&amp;O$1,"")</f>
        <v/>
      </c>
      <c r="AN281">
        <f>IF(P281=1,", "&amp;P$1,"")</f>
        <v/>
      </c>
      <c r="AO281">
        <f>IF(Q281=1,", "&amp;Q$1,"")</f>
        <v/>
      </c>
      <c r="AP281">
        <f>IF(R281=1,", "&amp;R$1,"")</f>
        <v/>
      </c>
      <c r="AQ281">
        <f>IF(S281=1,", "&amp;S$1,"")</f>
        <v/>
      </c>
      <c r="AR281">
        <f>IF(T281=1,", "&amp;T$1,"")</f>
        <v/>
      </c>
      <c r="AS281">
        <f>IF(U281=1,", "&amp;U$1,"")</f>
        <v/>
      </c>
      <c r="AT281">
        <f>IF(V281=1,", "&amp;V$1,"")</f>
        <v/>
      </c>
      <c r="AU281">
        <f>IF(W281=1,", "&amp;W$1,"")</f>
        <v/>
      </c>
      <c r="AV281">
        <f>IF(X281=1,", "&amp;X$1,"")</f>
        <v/>
      </c>
      <c r="AW281">
        <f>IF(Y281=1,", "&amp;Y$1,"")</f>
        <v/>
      </c>
      <c r="AX281">
        <f>IF(Z281=1,", "&amp;Z$1,"")</f>
        <v/>
      </c>
      <c r="AY281">
        <f>IF(AA281=1,", "&amp;AA$1,"")</f>
        <v/>
      </c>
      <c r="AZ281">
        <f>MID($AB281&amp;$AC281&amp;$AD281&amp;$AE281&amp;$AF281&amp;$AG281&amp;$AH281&amp;$AI281&amp;$AJ281&amp;$AK281&amp;$AL281&amp;$AM281&amp;$AN281&amp;$AO281&amp;$AP281&amp;$AQ281&amp;$AR281&amp;$AS281&amp;$AT281&amp;$AU281&amp;$AV281&amp;$AW281&amp;$AX281&amp;$AY281,3,32767)</f>
        <v/>
      </c>
      <c r="BA281">
        <f>COUNT($D281:$AA281)</f>
        <v/>
      </c>
    </row>
    <row r="282">
      <c r="A282" t="n">
        <v>6</v>
      </c>
      <c r="B282" t="inlineStr">
        <is>
          <t>True Seeing</t>
        </is>
      </c>
      <c r="C282" t="inlineStr">
        <is>
          <t>Divination</t>
        </is>
      </c>
      <c r="D282">
        <f>IF(Wizards!$A$2="","",IF(OR(ISNUMBER(SEARCH(", "&amp;$B282&amp;", ", ", "&amp;INDEX('Form Responses'!$I$1:$Q$200,2,$A282)&amp;", ")),ISNUMBER(SEARCH(", "&amp;$B282&amp;", ", ", "&amp;INDEX('Form Responses'!$R$1:$R$200,2)&amp;", "))),1,""))</f>
        <v/>
      </c>
      <c r="E282">
        <f>IF(Wizards!$A$3="","",IF(OR(ISNUMBER(SEARCH(", "&amp;$B282&amp;", ", ", "&amp;INDEX('Form Responses'!$I$1:$Q$200,3,$A282)&amp;", ")),ISNUMBER(SEARCH(", "&amp;$B282&amp;", ", ", "&amp;INDEX('Form Responses'!$R$1:$R$200,3)&amp;", "))),1,""))</f>
        <v/>
      </c>
      <c r="F282">
        <f>IF(Wizards!$A$4="","",IF(OR(ISNUMBER(SEARCH(", "&amp;$B282&amp;", ", ", "&amp;INDEX('Form Responses'!$I$1:$Q$200,4,$A282)&amp;", ")),ISNUMBER(SEARCH(", "&amp;$B282&amp;", ", ", "&amp;INDEX('Form Responses'!$R$1:$R$200,4)&amp;", "))),1,""))</f>
        <v/>
      </c>
      <c r="G282">
        <f>IF(Wizards!$A$5="","",IF(OR(ISNUMBER(SEARCH(", "&amp;$B282&amp;", ", ", "&amp;INDEX('Form Responses'!$I$1:$Q$200,5,$A282)&amp;", ")),ISNUMBER(SEARCH(", "&amp;$B282&amp;", ", ", "&amp;INDEX('Form Responses'!$R$1:$R$200,5)&amp;", "))),1,""))</f>
        <v/>
      </c>
      <c r="H282">
        <f>IF(Wizards!$A$6="","",IF(OR(ISNUMBER(SEARCH(", "&amp;$B282&amp;", ", ", "&amp;INDEX('Form Responses'!$I$1:$Q$200,6,$A282)&amp;", ")),ISNUMBER(SEARCH(", "&amp;$B282&amp;", ", ", "&amp;INDEX('Form Responses'!$R$1:$R$200,6)&amp;", "))),1,""))</f>
        <v/>
      </c>
      <c r="I282">
        <f>IF(Wizards!$A$7="","",IF(OR(ISNUMBER(SEARCH(", "&amp;$B282&amp;", ", ", "&amp;INDEX('Form Responses'!$I$1:$Q$200,7,$A282)&amp;", ")),ISNUMBER(SEARCH(", "&amp;$B282&amp;", ", ", "&amp;INDEX('Form Responses'!$R$1:$R$200,7)&amp;", "))),1,""))</f>
        <v/>
      </c>
      <c r="J282">
        <f>IF(Wizards!$A$8="","",IF(OR(ISNUMBER(SEARCH(", "&amp;$B282&amp;", ", ", "&amp;INDEX('Form Responses'!$I$1:$Q$200,8,$A282)&amp;", ")),ISNUMBER(SEARCH(", "&amp;$B282&amp;", ", ", "&amp;INDEX('Form Responses'!$R$1:$R$200,8)&amp;", "))),1,""))</f>
        <v/>
      </c>
      <c r="K282">
        <f>IF(Wizards!$A$9="","",IF(OR(ISNUMBER(SEARCH(", "&amp;$B282&amp;", ", ", "&amp;INDEX('Form Responses'!$I$1:$Q$200,9,$A282)&amp;", ")),ISNUMBER(SEARCH(", "&amp;$B282&amp;", ", ", "&amp;INDEX('Form Responses'!$R$1:$R$200,9)&amp;", "))),1,""))</f>
        <v/>
      </c>
      <c r="L282">
        <f>IF(Wizards!$A$10="","",IF(OR(ISNUMBER(SEARCH(", "&amp;$B282&amp;", ", ", "&amp;INDEX('Form Responses'!$I$1:$Q$200,10,$A282)&amp;", ")),ISNUMBER(SEARCH(", "&amp;$B282&amp;", ", ", "&amp;INDEX('Form Responses'!$R$1:$R$200,10)&amp;", "))),1,""))</f>
        <v/>
      </c>
      <c r="M282">
        <f>IF(Wizards!$A$11="","",IF(OR(ISNUMBER(SEARCH(", "&amp;$B282&amp;", ", ", "&amp;INDEX('Form Responses'!$I$1:$Q$200,11,$A282)&amp;", ")),ISNUMBER(SEARCH(", "&amp;$B282&amp;", ", ", "&amp;INDEX('Form Responses'!$R$1:$R$200,11)&amp;", "))),1,""))</f>
        <v/>
      </c>
      <c r="N282">
        <f>IF(Wizards!$A$12="","",IF(OR(ISNUMBER(SEARCH(", "&amp;$B282&amp;", ", ", "&amp;INDEX('Form Responses'!$I$1:$Q$200,12,$A282)&amp;", ")),ISNUMBER(SEARCH(", "&amp;$B282&amp;", ", ", "&amp;INDEX('Form Responses'!$R$1:$R$200,12)&amp;", "))),1,""))</f>
        <v/>
      </c>
      <c r="O282">
        <f>IF(Wizards!$A$13="","",IF(OR(ISNUMBER(SEARCH(", "&amp;$B282&amp;", ", ", "&amp;INDEX('Form Responses'!$I$1:$Q$200,13,$A282)&amp;", ")),ISNUMBER(SEARCH(", "&amp;$B282&amp;", ", ", "&amp;INDEX('Form Responses'!$R$1:$R$200,13)&amp;", "))),1,""))</f>
        <v/>
      </c>
      <c r="P282">
        <f>IF(Wizards!$A$14="","",IF(OR(ISNUMBER(SEARCH(", "&amp;$B282&amp;", ", ", "&amp;INDEX('Form Responses'!$I$1:$Q$200,14,$A282)&amp;", ")),ISNUMBER(SEARCH(", "&amp;$B282&amp;", ", ", "&amp;INDEX('Form Responses'!$R$1:$R$200,14)&amp;", "))),1,""))</f>
        <v/>
      </c>
      <c r="Q282">
        <f>IF(Wizards!$A$15="","",IF(OR(ISNUMBER(SEARCH(", "&amp;$B282&amp;", ", ", "&amp;INDEX('Form Responses'!$I$1:$Q$200,15,$A282)&amp;", ")),ISNUMBER(SEARCH(", "&amp;$B282&amp;", ", ", "&amp;INDEX('Form Responses'!$R$1:$R$200,15)&amp;", "))),1,""))</f>
        <v/>
      </c>
      <c r="R282">
        <f>IF(Wizards!$A$16="","",IF(OR(ISNUMBER(SEARCH(", "&amp;$B282&amp;", ", ", "&amp;INDEX('Form Responses'!$I$1:$Q$200,16,$A282)&amp;", ")),ISNUMBER(SEARCH(", "&amp;$B282&amp;", ", ", "&amp;INDEX('Form Responses'!$R$1:$R$200,16)&amp;", "))),1,""))</f>
        <v/>
      </c>
      <c r="S282">
        <f>IF(Wizards!$A$17="","",IF(OR(ISNUMBER(SEARCH(", "&amp;$B282&amp;", ", ", "&amp;INDEX('Form Responses'!$I$1:$Q$200,17,$A282)&amp;", ")),ISNUMBER(SEARCH(", "&amp;$B282&amp;", ", ", "&amp;INDEX('Form Responses'!$R$1:$R$200,17)&amp;", "))),1,""))</f>
        <v/>
      </c>
      <c r="T282">
        <f>IF(Wizards!$A$18="","",IF(OR(ISNUMBER(SEARCH(", "&amp;$B282&amp;", ", ", "&amp;INDEX('Form Responses'!$I$1:$Q$200,18,$A282)&amp;", ")),ISNUMBER(SEARCH(", "&amp;$B282&amp;", ", ", "&amp;INDEX('Form Responses'!$R$1:$R$200,18)&amp;", "))),1,""))</f>
        <v/>
      </c>
      <c r="U282">
        <f>IF(Wizards!$A$19="","",IF(OR(ISNUMBER(SEARCH(", "&amp;$B282&amp;", ", ", "&amp;INDEX('Form Responses'!$I$1:$Q$200,19,$A282)&amp;", ")),ISNUMBER(SEARCH(", "&amp;$B282&amp;", ", ", "&amp;INDEX('Form Responses'!$R$1:$R$200,19)&amp;", "))),1,""))</f>
        <v/>
      </c>
      <c r="V282">
        <f>IF(Wizards!$A$20="","",IF(OR(ISNUMBER(SEARCH(", "&amp;$B282&amp;", ", ", "&amp;INDEX('Form Responses'!$I$1:$Q$200,20,$A282)&amp;", ")),ISNUMBER(SEARCH(", "&amp;$B282&amp;", ", ", "&amp;INDEX('Form Responses'!$R$1:$R$200,20)&amp;", "))),1,""))</f>
        <v/>
      </c>
      <c r="W282">
        <f>IF(Wizards!$A$21="","",IF(OR(ISNUMBER(SEARCH(", "&amp;$B282&amp;", ", ", "&amp;INDEX('Form Responses'!$I$1:$Q$200,21,$A282)&amp;", ")),ISNUMBER(SEARCH(", "&amp;$B282&amp;", ", ", "&amp;INDEX('Form Responses'!$R$1:$R$200,21)&amp;", "))),1,""))</f>
        <v/>
      </c>
      <c r="X282">
        <f>IF(Wizards!$A$22="","",IF(OR(ISNUMBER(SEARCH(", "&amp;$B282&amp;", ", ", "&amp;INDEX('Form Responses'!$I$1:$Q$200,22,$A282)&amp;", ")),ISNUMBER(SEARCH(", "&amp;$B282&amp;", ", ", "&amp;INDEX('Form Responses'!$R$1:$R$200,22)&amp;", "))),1,""))</f>
        <v/>
      </c>
      <c r="Y282">
        <f>IF(Wizards!$A$23="","",IF(OR(ISNUMBER(SEARCH(", "&amp;$B282&amp;", ", ", "&amp;INDEX('Form Responses'!$I$1:$Q$200,23,$A282)&amp;", ")),ISNUMBER(SEARCH(", "&amp;$B282&amp;", ", ", "&amp;INDEX('Form Responses'!$R$1:$R$200,23)&amp;", "))),1,""))</f>
        <v/>
      </c>
      <c r="Z282">
        <f>IF(Wizards!$A$24="","",IF(OR(ISNUMBER(SEARCH(", "&amp;$B282&amp;", ", ", "&amp;INDEX('Form Responses'!$I$1:$Q$200,24,$A282)&amp;", ")),ISNUMBER(SEARCH(", "&amp;$B282&amp;", ", ", "&amp;INDEX('Form Responses'!$R$1:$R$200,24)&amp;", "))),1,""))</f>
        <v/>
      </c>
      <c r="AA282">
        <f>IF(Wizards!$A$25="","",IF(OR(ISNUMBER(SEARCH(", "&amp;$B282&amp;", ", ", "&amp;INDEX('Form Responses'!$I$1:$Q$200,25,$A282)&amp;", ")),ISNUMBER(SEARCH(", "&amp;$B282&amp;", ", ", "&amp;INDEX('Form Responses'!$R$1:$R$200,25)&amp;", "))),1,""))</f>
        <v/>
      </c>
      <c r="AB282">
        <f>IF(D282=1,", "&amp;D$1,"")</f>
        <v/>
      </c>
      <c r="AC282">
        <f>IF(E282=1,", "&amp;E$1,"")</f>
        <v/>
      </c>
      <c r="AD282">
        <f>IF(F282=1,", "&amp;F$1,"")</f>
        <v/>
      </c>
      <c r="AE282">
        <f>IF(G282=1,", "&amp;G$1,"")</f>
        <v/>
      </c>
      <c r="AF282">
        <f>IF(H282=1,", "&amp;H$1,"")</f>
        <v/>
      </c>
      <c r="AG282">
        <f>IF(I282=1,", "&amp;I$1,"")</f>
        <v/>
      </c>
      <c r="AH282">
        <f>IF(J282=1,", "&amp;J$1,"")</f>
        <v/>
      </c>
      <c r="AI282">
        <f>IF(K282=1,", "&amp;K$1,"")</f>
        <v/>
      </c>
      <c r="AJ282">
        <f>IF(L282=1,", "&amp;L$1,"")</f>
        <v/>
      </c>
      <c r="AK282">
        <f>IF(M282=1,", "&amp;M$1,"")</f>
        <v/>
      </c>
      <c r="AL282">
        <f>IF(N282=1,", "&amp;N$1,"")</f>
        <v/>
      </c>
      <c r="AM282">
        <f>IF(O282=1,", "&amp;O$1,"")</f>
        <v/>
      </c>
      <c r="AN282">
        <f>IF(P282=1,", "&amp;P$1,"")</f>
        <v/>
      </c>
      <c r="AO282">
        <f>IF(Q282=1,", "&amp;Q$1,"")</f>
        <v/>
      </c>
      <c r="AP282">
        <f>IF(R282=1,", "&amp;R$1,"")</f>
        <v/>
      </c>
      <c r="AQ282">
        <f>IF(S282=1,", "&amp;S$1,"")</f>
        <v/>
      </c>
      <c r="AR282">
        <f>IF(T282=1,", "&amp;T$1,"")</f>
        <v/>
      </c>
      <c r="AS282">
        <f>IF(U282=1,", "&amp;U$1,"")</f>
        <v/>
      </c>
      <c r="AT282">
        <f>IF(V282=1,", "&amp;V$1,"")</f>
        <v/>
      </c>
      <c r="AU282">
        <f>IF(W282=1,", "&amp;W$1,"")</f>
        <v/>
      </c>
      <c r="AV282">
        <f>IF(X282=1,", "&amp;X$1,"")</f>
        <v/>
      </c>
      <c r="AW282">
        <f>IF(Y282=1,", "&amp;Y$1,"")</f>
        <v/>
      </c>
      <c r="AX282">
        <f>IF(Z282=1,", "&amp;Z$1,"")</f>
        <v/>
      </c>
      <c r="AY282">
        <f>IF(AA282=1,", "&amp;AA$1,"")</f>
        <v/>
      </c>
      <c r="AZ282">
        <f>MID($AB282&amp;$AC282&amp;$AD282&amp;$AE282&amp;$AF282&amp;$AG282&amp;$AH282&amp;$AI282&amp;$AJ282&amp;$AK282&amp;$AL282&amp;$AM282&amp;$AN282&amp;$AO282&amp;$AP282&amp;$AQ282&amp;$AR282&amp;$AS282&amp;$AT282&amp;$AU282&amp;$AV282&amp;$AW282&amp;$AX282&amp;$AY282,3,32767)</f>
        <v/>
      </c>
      <c r="BA282">
        <f>COUNT($D282:$AA282)</f>
        <v/>
      </c>
    </row>
    <row r="283">
      <c r="A283" t="n">
        <v>6</v>
      </c>
      <c r="B283" t="inlineStr">
        <is>
          <t>Wall of Ice</t>
        </is>
      </c>
      <c r="C283" t="inlineStr">
        <is>
          <t>Evocation</t>
        </is>
      </c>
      <c r="D283">
        <f>IF(Wizards!$A$2="","",IF(OR(ISNUMBER(SEARCH(", "&amp;$B283&amp;", ", ", "&amp;INDEX('Form Responses'!$I$1:$Q$200,2,$A283)&amp;", ")),ISNUMBER(SEARCH(", "&amp;$B283&amp;", ", ", "&amp;INDEX('Form Responses'!$R$1:$R$200,2)&amp;", "))),1,""))</f>
        <v/>
      </c>
      <c r="E283">
        <f>IF(Wizards!$A$3="","",IF(OR(ISNUMBER(SEARCH(", "&amp;$B283&amp;", ", ", "&amp;INDEX('Form Responses'!$I$1:$Q$200,3,$A283)&amp;", ")),ISNUMBER(SEARCH(", "&amp;$B283&amp;", ", ", "&amp;INDEX('Form Responses'!$R$1:$R$200,3)&amp;", "))),1,""))</f>
        <v/>
      </c>
      <c r="F283">
        <f>IF(Wizards!$A$4="","",IF(OR(ISNUMBER(SEARCH(", "&amp;$B283&amp;", ", ", "&amp;INDEX('Form Responses'!$I$1:$Q$200,4,$A283)&amp;", ")),ISNUMBER(SEARCH(", "&amp;$B283&amp;", ", ", "&amp;INDEX('Form Responses'!$R$1:$R$200,4)&amp;", "))),1,""))</f>
        <v/>
      </c>
      <c r="G283">
        <f>IF(Wizards!$A$5="","",IF(OR(ISNUMBER(SEARCH(", "&amp;$B283&amp;", ", ", "&amp;INDEX('Form Responses'!$I$1:$Q$200,5,$A283)&amp;", ")),ISNUMBER(SEARCH(", "&amp;$B283&amp;", ", ", "&amp;INDEX('Form Responses'!$R$1:$R$200,5)&amp;", "))),1,""))</f>
        <v/>
      </c>
      <c r="H283">
        <f>IF(Wizards!$A$6="","",IF(OR(ISNUMBER(SEARCH(", "&amp;$B283&amp;", ", ", "&amp;INDEX('Form Responses'!$I$1:$Q$200,6,$A283)&amp;", ")),ISNUMBER(SEARCH(", "&amp;$B283&amp;", ", ", "&amp;INDEX('Form Responses'!$R$1:$R$200,6)&amp;", "))),1,""))</f>
        <v/>
      </c>
      <c r="I283">
        <f>IF(Wizards!$A$7="","",IF(OR(ISNUMBER(SEARCH(", "&amp;$B283&amp;", ", ", "&amp;INDEX('Form Responses'!$I$1:$Q$200,7,$A283)&amp;", ")),ISNUMBER(SEARCH(", "&amp;$B283&amp;", ", ", "&amp;INDEX('Form Responses'!$R$1:$R$200,7)&amp;", "))),1,""))</f>
        <v/>
      </c>
      <c r="J283">
        <f>IF(Wizards!$A$8="","",IF(OR(ISNUMBER(SEARCH(", "&amp;$B283&amp;", ", ", "&amp;INDEX('Form Responses'!$I$1:$Q$200,8,$A283)&amp;", ")),ISNUMBER(SEARCH(", "&amp;$B283&amp;", ", ", "&amp;INDEX('Form Responses'!$R$1:$R$200,8)&amp;", "))),1,""))</f>
        <v/>
      </c>
      <c r="K283">
        <f>IF(Wizards!$A$9="","",IF(OR(ISNUMBER(SEARCH(", "&amp;$B283&amp;", ", ", "&amp;INDEX('Form Responses'!$I$1:$Q$200,9,$A283)&amp;", ")),ISNUMBER(SEARCH(", "&amp;$B283&amp;", ", ", "&amp;INDEX('Form Responses'!$R$1:$R$200,9)&amp;", "))),1,""))</f>
        <v/>
      </c>
      <c r="L283">
        <f>IF(Wizards!$A$10="","",IF(OR(ISNUMBER(SEARCH(", "&amp;$B283&amp;", ", ", "&amp;INDEX('Form Responses'!$I$1:$Q$200,10,$A283)&amp;", ")),ISNUMBER(SEARCH(", "&amp;$B283&amp;", ", ", "&amp;INDEX('Form Responses'!$R$1:$R$200,10)&amp;", "))),1,""))</f>
        <v/>
      </c>
      <c r="M283">
        <f>IF(Wizards!$A$11="","",IF(OR(ISNUMBER(SEARCH(", "&amp;$B283&amp;", ", ", "&amp;INDEX('Form Responses'!$I$1:$Q$200,11,$A283)&amp;", ")),ISNUMBER(SEARCH(", "&amp;$B283&amp;", ", ", "&amp;INDEX('Form Responses'!$R$1:$R$200,11)&amp;", "))),1,""))</f>
        <v/>
      </c>
      <c r="N283">
        <f>IF(Wizards!$A$12="","",IF(OR(ISNUMBER(SEARCH(", "&amp;$B283&amp;", ", ", "&amp;INDEX('Form Responses'!$I$1:$Q$200,12,$A283)&amp;", ")),ISNUMBER(SEARCH(", "&amp;$B283&amp;", ", ", "&amp;INDEX('Form Responses'!$R$1:$R$200,12)&amp;", "))),1,""))</f>
        <v/>
      </c>
      <c r="O283">
        <f>IF(Wizards!$A$13="","",IF(OR(ISNUMBER(SEARCH(", "&amp;$B283&amp;", ", ", "&amp;INDEX('Form Responses'!$I$1:$Q$200,13,$A283)&amp;", ")),ISNUMBER(SEARCH(", "&amp;$B283&amp;", ", ", "&amp;INDEX('Form Responses'!$R$1:$R$200,13)&amp;", "))),1,""))</f>
        <v/>
      </c>
      <c r="P283">
        <f>IF(Wizards!$A$14="","",IF(OR(ISNUMBER(SEARCH(", "&amp;$B283&amp;", ", ", "&amp;INDEX('Form Responses'!$I$1:$Q$200,14,$A283)&amp;", ")),ISNUMBER(SEARCH(", "&amp;$B283&amp;", ", ", "&amp;INDEX('Form Responses'!$R$1:$R$200,14)&amp;", "))),1,""))</f>
        <v/>
      </c>
      <c r="Q283">
        <f>IF(Wizards!$A$15="","",IF(OR(ISNUMBER(SEARCH(", "&amp;$B283&amp;", ", ", "&amp;INDEX('Form Responses'!$I$1:$Q$200,15,$A283)&amp;", ")),ISNUMBER(SEARCH(", "&amp;$B283&amp;", ", ", "&amp;INDEX('Form Responses'!$R$1:$R$200,15)&amp;", "))),1,""))</f>
        <v/>
      </c>
      <c r="R283">
        <f>IF(Wizards!$A$16="","",IF(OR(ISNUMBER(SEARCH(", "&amp;$B283&amp;", ", ", "&amp;INDEX('Form Responses'!$I$1:$Q$200,16,$A283)&amp;", ")),ISNUMBER(SEARCH(", "&amp;$B283&amp;", ", ", "&amp;INDEX('Form Responses'!$R$1:$R$200,16)&amp;", "))),1,""))</f>
        <v/>
      </c>
      <c r="S283">
        <f>IF(Wizards!$A$17="","",IF(OR(ISNUMBER(SEARCH(", "&amp;$B283&amp;", ", ", "&amp;INDEX('Form Responses'!$I$1:$Q$200,17,$A283)&amp;", ")),ISNUMBER(SEARCH(", "&amp;$B283&amp;", ", ", "&amp;INDEX('Form Responses'!$R$1:$R$200,17)&amp;", "))),1,""))</f>
        <v/>
      </c>
      <c r="T283">
        <f>IF(Wizards!$A$18="","",IF(OR(ISNUMBER(SEARCH(", "&amp;$B283&amp;", ", ", "&amp;INDEX('Form Responses'!$I$1:$Q$200,18,$A283)&amp;", ")),ISNUMBER(SEARCH(", "&amp;$B283&amp;", ", ", "&amp;INDEX('Form Responses'!$R$1:$R$200,18)&amp;", "))),1,""))</f>
        <v/>
      </c>
      <c r="U283">
        <f>IF(Wizards!$A$19="","",IF(OR(ISNUMBER(SEARCH(", "&amp;$B283&amp;", ", ", "&amp;INDEX('Form Responses'!$I$1:$Q$200,19,$A283)&amp;", ")),ISNUMBER(SEARCH(", "&amp;$B283&amp;", ", ", "&amp;INDEX('Form Responses'!$R$1:$R$200,19)&amp;", "))),1,""))</f>
        <v/>
      </c>
      <c r="V283">
        <f>IF(Wizards!$A$20="","",IF(OR(ISNUMBER(SEARCH(", "&amp;$B283&amp;", ", ", "&amp;INDEX('Form Responses'!$I$1:$Q$200,20,$A283)&amp;", ")),ISNUMBER(SEARCH(", "&amp;$B283&amp;", ", ", "&amp;INDEX('Form Responses'!$R$1:$R$200,20)&amp;", "))),1,""))</f>
        <v/>
      </c>
      <c r="W283">
        <f>IF(Wizards!$A$21="","",IF(OR(ISNUMBER(SEARCH(", "&amp;$B283&amp;", ", ", "&amp;INDEX('Form Responses'!$I$1:$Q$200,21,$A283)&amp;", ")),ISNUMBER(SEARCH(", "&amp;$B283&amp;", ", ", "&amp;INDEX('Form Responses'!$R$1:$R$200,21)&amp;", "))),1,""))</f>
        <v/>
      </c>
      <c r="X283">
        <f>IF(Wizards!$A$22="","",IF(OR(ISNUMBER(SEARCH(", "&amp;$B283&amp;", ", ", "&amp;INDEX('Form Responses'!$I$1:$Q$200,22,$A283)&amp;", ")),ISNUMBER(SEARCH(", "&amp;$B283&amp;", ", ", "&amp;INDEX('Form Responses'!$R$1:$R$200,22)&amp;", "))),1,""))</f>
        <v/>
      </c>
      <c r="Y283">
        <f>IF(Wizards!$A$23="","",IF(OR(ISNUMBER(SEARCH(", "&amp;$B283&amp;", ", ", "&amp;INDEX('Form Responses'!$I$1:$Q$200,23,$A283)&amp;", ")),ISNUMBER(SEARCH(", "&amp;$B283&amp;", ", ", "&amp;INDEX('Form Responses'!$R$1:$R$200,23)&amp;", "))),1,""))</f>
        <v/>
      </c>
      <c r="Z283">
        <f>IF(Wizards!$A$24="","",IF(OR(ISNUMBER(SEARCH(", "&amp;$B283&amp;", ", ", "&amp;INDEX('Form Responses'!$I$1:$Q$200,24,$A283)&amp;", ")),ISNUMBER(SEARCH(", "&amp;$B283&amp;", ", ", "&amp;INDEX('Form Responses'!$R$1:$R$200,24)&amp;", "))),1,""))</f>
        <v/>
      </c>
      <c r="AA283">
        <f>IF(Wizards!$A$25="","",IF(OR(ISNUMBER(SEARCH(", "&amp;$B283&amp;", ", ", "&amp;INDEX('Form Responses'!$I$1:$Q$200,25,$A283)&amp;", ")),ISNUMBER(SEARCH(", "&amp;$B283&amp;", ", ", "&amp;INDEX('Form Responses'!$R$1:$R$200,25)&amp;", "))),1,""))</f>
        <v/>
      </c>
      <c r="AB283">
        <f>IF(D283=1,", "&amp;D$1,"")</f>
        <v/>
      </c>
      <c r="AC283">
        <f>IF(E283=1,", "&amp;E$1,"")</f>
        <v/>
      </c>
      <c r="AD283">
        <f>IF(F283=1,", "&amp;F$1,"")</f>
        <v/>
      </c>
      <c r="AE283">
        <f>IF(G283=1,", "&amp;G$1,"")</f>
        <v/>
      </c>
      <c r="AF283">
        <f>IF(H283=1,", "&amp;H$1,"")</f>
        <v/>
      </c>
      <c r="AG283">
        <f>IF(I283=1,", "&amp;I$1,"")</f>
        <v/>
      </c>
      <c r="AH283">
        <f>IF(J283=1,", "&amp;J$1,"")</f>
        <v/>
      </c>
      <c r="AI283">
        <f>IF(K283=1,", "&amp;K$1,"")</f>
        <v/>
      </c>
      <c r="AJ283">
        <f>IF(L283=1,", "&amp;L$1,"")</f>
        <v/>
      </c>
      <c r="AK283">
        <f>IF(M283=1,", "&amp;M$1,"")</f>
        <v/>
      </c>
      <c r="AL283">
        <f>IF(N283=1,", "&amp;N$1,"")</f>
        <v/>
      </c>
      <c r="AM283">
        <f>IF(O283=1,", "&amp;O$1,"")</f>
        <v/>
      </c>
      <c r="AN283">
        <f>IF(P283=1,", "&amp;P$1,"")</f>
        <v/>
      </c>
      <c r="AO283">
        <f>IF(Q283=1,", "&amp;Q$1,"")</f>
        <v/>
      </c>
      <c r="AP283">
        <f>IF(R283=1,", "&amp;R$1,"")</f>
        <v/>
      </c>
      <c r="AQ283">
        <f>IF(S283=1,", "&amp;S$1,"")</f>
        <v/>
      </c>
      <c r="AR283">
        <f>IF(T283=1,", "&amp;T$1,"")</f>
        <v/>
      </c>
      <c r="AS283">
        <f>IF(U283=1,", "&amp;U$1,"")</f>
        <v/>
      </c>
      <c r="AT283">
        <f>IF(V283=1,", "&amp;V$1,"")</f>
        <v/>
      </c>
      <c r="AU283">
        <f>IF(W283=1,", "&amp;W$1,"")</f>
        <v/>
      </c>
      <c r="AV283">
        <f>IF(X283=1,", "&amp;X$1,"")</f>
        <v/>
      </c>
      <c r="AW283">
        <f>IF(Y283=1,", "&amp;Y$1,"")</f>
        <v/>
      </c>
      <c r="AX283">
        <f>IF(Z283=1,", "&amp;Z$1,"")</f>
        <v/>
      </c>
      <c r="AY283">
        <f>IF(AA283=1,", "&amp;AA$1,"")</f>
        <v/>
      </c>
      <c r="AZ283">
        <f>MID($AB283&amp;$AC283&amp;$AD283&amp;$AE283&amp;$AF283&amp;$AG283&amp;$AH283&amp;$AI283&amp;$AJ283&amp;$AK283&amp;$AL283&amp;$AM283&amp;$AN283&amp;$AO283&amp;$AP283&amp;$AQ283&amp;$AR283&amp;$AS283&amp;$AT283&amp;$AU283&amp;$AV283&amp;$AW283&amp;$AX283&amp;$AY283,3,32767)</f>
        <v/>
      </c>
      <c r="BA283">
        <f>COUNT($D283:$AA283)</f>
        <v/>
      </c>
    </row>
    <row r="284">
      <c r="A284" t="n">
        <v>7</v>
      </c>
      <c r="B284" t="inlineStr">
        <is>
          <t>Aura of Evasion</t>
        </is>
      </c>
      <c r="C284" t="inlineStr">
        <is>
          <t>Abjuration</t>
        </is>
      </c>
      <c r="D284">
        <f>IF(Wizards!$A$2="","",IF(OR(ISNUMBER(SEARCH(", "&amp;$B284&amp;", ", ", "&amp;INDEX('Form Responses'!$I$1:$Q$200,2,$A284)&amp;", ")),ISNUMBER(SEARCH(", "&amp;$B284&amp;", ", ", "&amp;INDEX('Form Responses'!$R$1:$R$200,2)&amp;", "))),1,""))</f>
        <v/>
      </c>
      <c r="E284">
        <f>IF(Wizards!$A$3="","",IF(OR(ISNUMBER(SEARCH(", "&amp;$B284&amp;", ", ", "&amp;INDEX('Form Responses'!$I$1:$Q$200,3,$A284)&amp;", ")),ISNUMBER(SEARCH(", "&amp;$B284&amp;", ", ", "&amp;INDEX('Form Responses'!$R$1:$R$200,3)&amp;", "))),1,""))</f>
        <v/>
      </c>
      <c r="F284">
        <f>IF(Wizards!$A$4="","",IF(OR(ISNUMBER(SEARCH(", "&amp;$B284&amp;", ", ", "&amp;INDEX('Form Responses'!$I$1:$Q$200,4,$A284)&amp;", ")),ISNUMBER(SEARCH(", "&amp;$B284&amp;", ", ", "&amp;INDEX('Form Responses'!$R$1:$R$200,4)&amp;", "))),1,""))</f>
        <v/>
      </c>
      <c r="G284">
        <f>IF(Wizards!$A$5="","",IF(OR(ISNUMBER(SEARCH(", "&amp;$B284&amp;", ", ", "&amp;INDEX('Form Responses'!$I$1:$Q$200,5,$A284)&amp;", ")),ISNUMBER(SEARCH(", "&amp;$B284&amp;", ", ", "&amp;INDEX('Form Responses'!$R$1:$R$200,5)&amp;", "))),1,""))</f>
        <v/>
      </c>
      <c r="H284">
        <f>IF(Wizards!$A$6="","",IF(OR(ISNUMBER(SEARCH(", "&amp;$B284&amp;", ", ", "&amp;INDEX('Form Responses'!$I$1:$Q$200,6,$A284)&amp;", ")),ISNUMBER(SEARCH(", "&amp;$B284&amp;", ", ", "&amp;INDEX('Form Responses'!$R$1:$R$200,6)&amp;", "))),1,""))</f>
        <v/>
      </c>
      <c r="I284">
        <f>IF(Wizards!$A$7="","",IF(OR(ISNUMBER(SEARCH(", "&amp;$B284&amp;", ", ", "&amp;INDEX('Form Responses'!$I$1:$Q$200,7,$A284)&amp;", ")),ISNUMBER(SEARCH(", "&amp;$B284&amp;", ", ", "&amp;INDEX('Form Responses'!$R$1:$R$200,7)&amp;", "))),1,""))</f>
        <v/>
      </c>
      <c r="J284">
        <f>IF(Wizards!$A$8="","",IF(OR(ISNUMBER(SEARCH(", "&amp;$B284&amp;", ", ", "&amp;INDEX('Form Responses'!$I$1:$Q$200,8,$A284)&amp;", ")),ISNUMBER(SEARCH(", "&amp;$B284&amp;", ", ", "&amp;INDEX('Form Responses'!$R$1:$R$200,8)&amp;", "))),1,""))</f>
        <v/>
      </c>
      <c r="K284">
        <f>IF(Wizards!$A$9="","",IF(OR(ISNUMBER(SEARCH(", "&amp;$B284&amp;", ", ", "&amp;INDEX('Form Responses'!$I$1:$Q$200,9,$A284)&amp;", ")),ISNUMBER(SEARCH(", "&amp;$B284&amp;", ", ", "&amp;INDEX('Form Responses'!$R$1:$R$200,9)&amp;", "))),1,""))</f>
        <v/>
      </c>
      <c r="L284">
        <f>IF(Wizards!$A$10="","",IF(OR(ISNUMBER(SEARCH(", "&amp;$B284&amp;", ", ", "&amp;INDEX('Form Responses'!$I$1:$Q$200,10,$A284)&amp;", ")),ISNUMBER(SEARCH(", "&amp;$B284&amp;", ", ", "&amp;INDEX('Form Responses'!$R$1:$R$200,10)&amp;", "))),1,""))</f>
        <v/>
      </c>
      <c r="M284">
        <f>IF(Wizards!$A$11="","",IF(OR(ISNUMBER(SEARCH(", "&amp;$B284&amp;", ", ", "&amp;INDEX('Form Responses'!$I$1:$Q$200,11,$A284)&amp;", ")),ISNUMBER(SEARCH(", "&amp;$B284&amp;", ", ", "&amp;INDEX('Form Responses'!$R$1:$R$200,11)&amp;", "))),1,""))</f>
        <v/>
      </c>
      <c r="N284">
        <f>IF(Wizards!$A$12="","",IF(OR(ISNUMBER(SEARCH(", "&amp;$B284&amp;", ", ", "&amp;INDEX('Form Responses'!$I$1:$Q$200,12,$A284)&amp;", ")),ISNUMBER(SEARCH(", "&amp;$B284&amp;", ", ", "&amp;INDEX('Form Responses'!$R$1:$R$200,12)&amp;", "))),1,""))</f>
        <v/>
      </c>
      <c r="O284">
        <f>IF(Wizards!$A$13="","",IF(OR(ISNUMBER(SEARCH(", "&amp;$B284&amp;", ", ", "&amp;INDEX('Form Responses'!$I$1:$Q$200,13,$A284)&amp;", ")),ISNUMBER(SEARCH(", "&amp;$B284&amp;", ", ", "&amp;INDEX('Form Responses'!$R$1:$R$200,13)&amp;", "))),1,""))</f>
        <v/>
      </c>
      <c r="P284">
        <f>IF(Wizards!$A$14="","",IF(OR(ISNUMBER(SEARCH(", "&amp;$B284&amp;", ", ", "&amp;INDEX('Form Responses'!$I$1:$Q$200,14,$A284)&amp;", ")),ISNUMBER(SEARCH(", "&amp;$B284&amp;", ", ", "&amp;INDEX('Form Responses'!$R$1:$R$200,14)&amp;", "))),1,""))</f>
        <v/>
      </c>
      <c r="Q284">
        <f>IF(Wizards!$A$15="","",IF(OR(ISNUMBER(SEARCH(", "&amp;$B284&amp;", ", ", "&amp;INDEX('Form Responses'!$I$1:$Q$200,15,$A284)&amp;", ")),ISNUMBER(SEARCH(", "&amp;$B284&amp;", ", ", "&amp;INDEX('Form Responses'!$R$1:$R$200,15)&amp;", "))),1,""))</f>
        <v/>
      </c>
      <c r="R284">
        <f>IF(Wizards!$A$16="","",IF(OR(ISNUMBER(SEARCH(", "&amp;$B284&amp;", ", ", "&amp;INDEX('Form Responses'!$I$1:$Q$200,16,$A284)&amp;", ")),ISNUMBER(SEARCH(", "&amp;$B284&amp;", ", ", "&amp;INDEX('Form Responses'!$R$1:$R$200,16)&amp;", "))),1,""))</f>
        <v/>
      </c>
      <c r="S284">
        <f>IF(Wizards!$A$17="","",IF(OR(ISNUMBER(SEARCH(", "&amp;$B284&amp;", ", ", "&amp;INDEX('Form Responses'!$I$1:$Q$200,17,$A284)&amp;", ")),ISNUMBER(SEARCH(", "&amp;$B284&amp;", ", ", "&amp;INDEX('Form Responses'!$R$1:$R$200,17)&amp;", "))),1,""))</f>
        <v/>
      </c>
      <c r="T284">
        <f>IF(Wizards!$A$18="","",IF(OR(ISNUMBER(SEARCH(", "&amp;$B284&amp;", ", ", "&amp;INDEX('Form Responses'!$I$1:$Q$200,18,$A284)&amp;", ")),ISNUMBER(SEARCH(", "&amp;$B284&amp;", ", ", "&amp;INDEX('Form Responses'!$R$1:$R$200,18)&amp;", "))),1,""))</f>
        <v/>
      </c>
      <c r="U284">
        <f>IF(Wizards!$A$19="","",IF(OR(ISNUMBER(SEARCH(", "&amp;$B284&amp;", ", ", "&amp;INDEX('Form Responses'!$I$1:$Q$200,19,$A284)&amp;", ")),ISNUMBER(SEARCH(", "&amp;$B284&amp;", ", ", "&amp;INDEX('Form Responses'!$R$1:$R$200,19)&amp;", "))),1,""))</f>
        <v/>
      </c>
      <c r="V284">
        <f>IF(Wizards!$A$20="","",IF(OR(ISNUMBER(SEARCH(", "&amp;$B284&amp;", ", ", "&amp;INDEX('Form Responses'!$I$1:$Q$200,20,$A284)&amp;", ")),ISNUMBER(SEARCH(", "&amp;$B284&amp;", ", ", "&amp;INDEX('Form Responses'!$R$1:$R$200,20)&amp;", "))),1,""))</f>
        <v/>
      </c>
      <c r="W284">
        <f>IF(Wizards!$A$21="","",IF(OR(ISNUMBER(SEARCH(", "&amp;$B284&amp;", ", ", "&amp;INDEX('Form Responses'!$I$1:$Q$200,21,$A284)&amp;", ")),ISNUMBER(SEARCH(", "&amp;$B284&amp;", ", ", "&amp;INDEX('Form Responses'!$R$1:$R$200,21)&amp;", "))),1,""))</f>
        <v/>
      </c>
      <c r="X284">
        <f>IF(Wizards!$A$22="","",IF(OR(ISNUMBER(SEARCH(", "&amp;$B284&amp;", ", ", "&amp;INDEX('Form Responses'!$I$1:$Q$200,22,$A284)&amp;", ")),ISNUMBER(SEARCH(", "&amp;$B284&amp;", ", ", "&amp;INDEX('Form Responses'!$R$1:$R$200,22)&amp;", "))),1,""))</f>
        <v/>
      </c>
      <c r="Y284">
        <f>IF(Wizards!$A$23="","",IF(OR(ISNUMBER(SEARCH(", "&amp;$B284&amp;", ", ", "&amp;INDEX('Form Responses'!$I$1:$Q$200,23,$A284)&amp;", ")),ISNUMBER(SEARCH(", "&amp;$B284&amp;", ", ", "&amp;INDEX('Form Responses'!$R$1:$R$200,23)&amp;", "))),1,""))</f>
        <v/>
      </c>
      <c r="Z284">
        <f>IF(Wizards!$A$24="","",IF(OR(ISNUMBER(SEARCH(", "&amp;$B284&amp;", ", ", "&amp;INDEX('Form Responses'!$I$1:$Q$200,24,$A284)&amp;", ")),ISNUMBER(SEARCH(", "&amp;$B284&amp;", ", ", "&amp;INDEX('Form Responses'!$R$1:$R$200,24)&amp;", "))),1,""))</f>
        <v/>
      </c>
      <c r="AA284">
        <f>IF(Wizards!$A$25="","",IF(OR(ISNUMBER(SEARCH(", "&amp;$B284&amp;", ", ", "&amp;INDEX('Form Responses'!$I$1:$Q$200,25,$A284)&amp;", ")),ISNUMBER(SEARCH(", "&amp;$B284&amp;", ", ", "&amp;INDEX('Form Responses'!$R$1:$R$200,25)&amp;", "))),1,""))</f>
        <v/>
      </c>
      <c r="AB284">
        <f>IF(D284=1,", "&amp;D$1,"")</f>
        <v/>
      </c>
      <c r="AC284">
        <f>IF(E284=1,", "&amp;E$1,"")</f>
        <v/>
      </c>
      <c r="AD284">
        <f>IF(F284=1,", "&amp;F$1,"")</f>
        <v/>
      </c>
      <c r="AE284">
        <f>IF(G284=1,", "&amp;G$1,"")</f>
        <v/>
      </c>
      <c r="AF284">
        <f>IF(H284=1,", "&amp;H$1,"")</f>
        <v/>
      </c>
      <c r="AG284">
        <f>IF(I284=1,", "&amp;I$1,"")</f>
        <v/>
      </c>
      <c r="AH284">
        <f>IF(J284=1,", "&amp;J$1,"")</f>
        <v/>
      </c>
      <c r="AI284">
        <f>IF(K284=1,", "&amp;K$1,"")</f>
        <v/>
      </c>
      <c r="AJ284">
        <f>IF(L284=1,", "&amp;L$1,"")</f>
        <v/>
      </c>
      <c r="AK284">
        <f>IF(M284=1,", "&amp;M$1,"")</f>
        <v/>
      </c>
      <c r="AL284">
        <f>IF(N284=1,", "&amp;N$1,"")</f>
        <v/>
      </c>
      <c r="AM284">
        <f>IF(O284=1,", "&amp;O$1,"")</f>
        <v/>
      </c>
      <c r="AN284">
        <f>IF(P284=1,", "&amp;P$1,"")</f>
        <v/>
      </c>
      <c r="AO284">
        <f>IF(Q284=1,", "&amp;Q$1,"")</f>
        <v/>
      </c>
      <c r="AP284">
        <f>IF(R284=1,", "&amp;R$1,"")</f>
        <v/>
      </c>
      <c r="AQ284">
        <f>IF(S284=1,", "&amp;S$1,"")</f>
        <v/>
      </c>
      <c r="AR284">
        <f>IF(T284=1,", "&amp;T$1,"")</f>
        <v/>
      </c>
      <c r="AS284">
        <f>IF(U284=1,", "&amp;U$1,"")</f>
        <v/>
      </c>
      <c r="AT284">
        <f>IF(V284=1,", "&amp;V$1,"")</f>
        <v/>
      </c>
      <c r="AU284">
        <f>IF(W284=1,", "&amp;W$1,"")</f>
        <v/>
      </c>
      <c r="AV284">
        <f>IF(X284=1,", "&amp;X$1,"")</f>
        <v/>
      </c>
      <c r="AW284">
        <f>IF(Y284=1,", "&amp;Y$1,"")</f>
        <v/>
      </c>
      <c r="AX284">
        <f>IF(Z284=1,", "&amp;Z$1,"")</f>
        <v/>
      </c>
      <c r="AY284">
        <f>IF(AA284=1,", "&amp;AA$1,"")</f>
        <v/>
      </c>
      <c r="AZ284">
        <f>MID($AB284&amp;$AC284&amp;$AD284&amp;$AE284&amp;$AF284&amp;$AG284&amp;$AH284&amp;$AI284&amp;$AJ284&amp;$AK284&amp;$AL284&amp;$AM284&amp;$AN284&amp;$AO284&amp;$AP284&amp;$AQ284&amp;$AR284&amp;$AS284&amp;$AT284&amp;$AU284&amp;$AV284&amp;$AW284&amp;$AX284&amp;$AY284,3,32767)</f>
        <v/>
      </c>
      <c r="BA284">
        <f>COUNT($D284:$AA284)</f>
        <v/>
      </c>
    </row>
    <row r="285">
      <c r="A285" t="n">
        <v>7</v>
      </c>
      <c r="B285" t="inlineStr">
        <is>
          <t>Create Magen</t>
        </is>
      </c>
      <c r="C285" t="inlineStr">
        <is>
          <t>Transmutation</t>
        </is>
      </c>
      <c r="D285">
        <f>IF(Wizards!$A$2="","",IF(OR(ISNUMBER(SEARCH(", "&amp;$B285&amp;", ", ", "&amp;INDEX('Form Responses'!$I$1:$Q$200,2,$A285)&amp;", ")),ISNUMBER(SEARCH(", "&amp;$B285&amp;", ", ", "&amp;INDEX('Form Responses'!$R$1:$R$200,2)&amp;", "))),1,""))</f>
        <v/>
      </c>
      <c r="E285">
        <f>IF(Wizards!$A$3="","",IF(OR(ISNUMBER(SEARCH(", "&amp;$B285&amp;", ", ", "&amp;INDEX('Form Responses'!$I$1:$Q$200,3,$A285)&amp;", ")),ISNUMBER(SEARCH(", "&amp;$B285&amp;", ", ", "&amp;INDEX('Form Responses'!$R$1:$R$200,3)&amp;", "))),1,""))</f>
        <v/>
      </c>
      <c r="F285">
        <f>IF(Wizards!$A$4="","",IF(OR(ISNUMBER(SEARCH(", "&amp;$B285&amp;", ", ", "&amp;INDEX('Form Responses'!$I$1:$Q$200,4,$A285)&amp;", ")),ISNUMBER(SEARCH(", "&amp;$B285&amp;", ", ", "&amp;INDEX('Form Responses'!$R$1:$R$200,4)&amp;", "))),1,""))</f>
        <v/>
      </c>
      <c r="G285">
        <f>IF(Wizards!$A$5="","",IF(OR(ISNUMBER(SEARCH(", "&amp;$B285&amp;", ", ", "&amp;INDEX('Form Responses'!$I$1:$Q$200,5,$A285)&amp;", ")),ISNUMBER(SEARCH(", "&amp;$B285&amp;", ", ", "&amp;INDEX('Form Responses'!$R$1:$R$200,5)&amp;", "))),1,""))</f>
        <v/>
      </c>
      <c r="H285">
        <f>IF(Wizards!$A$6="","",IF(OR(ISNUMBER(SEARCH(", "&amp;$B285&amp;", ", ", "&amp;INDEX('Form Responses'!$I$1:$Q$200,6,$A285)&amp;", ")),ISNUMBER(SEARCH(", "&amp;$B285&amp;", ", ", "&amp;INDEX('Form Responses'!$R$1:$R$200,6)&amp;", "))),1,""))</f>
        <v/>
      </c>
      <c r="I285">
        <f>IF(Wizards!$A$7="","",IF(OR(ISNUMBER(SEARCH(", "&amp;$B285&amp;", ", ", "&amp;INDEX('Form Responses'!$I$1:$Q$200,7,$A285)&amp;", ")),ISNUMBER(SEARCH(", "&amp;$B285&amp;", ", ", "&amp;INDEX('Form Responses'!$R$1:$R$200,7)&amp;", "))),1,""))</f>
        <v/>
      </c>
      <c r="J285">
        <f>IF(Wizards!$A$8="","",IF(OR(ISNUMBER(SEARCH(", "&amp;$B285&amp;", ", ", "&amp;INDEX('Form Responses'!$I$1:$Q$200,8,$A285)&amp;", ")),ISNUMBER(SEARCH(", "&amp;$B285&amp;", ", ", "&amp;INDEX('Form Responses'!$R$1:$R$200,8)&amp;", "))),1,""))</f>
        <v/>
      </c>
      <c r="K285">
        <f>IF(Wizards!$A$9="","",IF(OR(ISNUMBER(SEARCH(", "&amp;$B285&amp;", ", ", "&amp;INDEX('Form Responses'!$I$1:$Q$200,9,$A285)&amp;", ")),ISNUMBER(SEARCH(", "&amp;$B285&amp;", ", ", "&amp;INDEX('Form Responses'!$R$1:$R$200,9)&amp;", "))),1,""))</f>
        <v/>
      </c>
      <c r="L285">
        <f>IF(Wizards!$A$10="","",IF(OR(ISNUMBER(SEARCH(", "&amp;$B285&amp;", ", ", "&amp;INDEX('Form Responses'!$I$1:$Q$200,10,$A285)&amp;", ")),ISNUMBER(SEARCH(", "&amp;$B285&amp;", ", ", "&amp;INDEX('Form Responses'!$R$1:$R$200,10)&amp;", "))),1,""))</f>
        <v/>
      </c>
      <c r="M285">
        <f>IF(Wizards!$A$11="","",IF(OR(ISNUMBER(SEARCH(", "&amp;$B285&amp;", ", ", "&amp;INDEX('Form Responses'!$I$1:$Q$200,11,$A285)&amp;", ")),ISNUMBER(SEARCH(", "&amp;$B285&amp;", ", ", "&amp;INDEX('Form Responses'!$R$1:$R$200,11)&amp;", "))),1,""))</f>
        <v/>
      </c>
      <c r="N285">
        <f>IF(Wizards!$A$12="","",IF(OR(ISNUMBER(SEARCH(", "&amp;$B285&amp;", ", ", "&amp;INDEX('Form Responses'!$I$1:$Q$200,12,$A285)&amp;", ")),ISNUMBER(SEARCH(", "&amp;$B285&amp;", ", ", "&amp;INDEX('Form Responses'!$R$1:$R$200,12)&amp;", "))),1,""))</f>
        <v/>
      </c>
      <c r="O285">
        <f>IF(Wizards!$A$13="","",IF(OR(ISNUMBER(SEARCH(", "&amp;$B285&amp;", ", ", "&amp;INDEX('Form Responses'!$I$1:$Q$200,13,$A285)&amp;", ")),ISNUMBER(SEARCH(", "&amp;$B285&amp;", ", ", "&amp;INDEX('Form Responses'!$R$1:$R$200,13)&amp;", "))),1,""))</f>
        <v/>
      </c>
      <c r="P285">
        <f>IF(Wizards!$A$14="","",IF(OR(ISNUMBER(SEARCH(", "&amp;$B285&amp;", ", ", "&amp;INDEX('Form Responses'!$I$1:$Q$200,14,$A285)&amp;", ")),ISNUMBER(SEARCH(", "&amp;$B285&amp;", ", ", "&amp;INDEX('Form Responses'!$R$1:$R$200,14)&amp;", "))),1,""))</f>
        <v/>
      </c>
      <c r="Q285">
        <f>IF(Wizards!$A$15="","",IF(OR(ISNUMBER(SEARCH(", "&amp;$B285&amp;", ", ", "&amp;INDEX('Form Responses'!$I$1:$Q$200,15,$A285)&amp;", ")),ISNUMBER(SEARCH(", "&amp;$B285&amp;", ", ", "&amp;INDEX('Form Responses'!$R$1:$R$200,15)&amp;", "))),1,""))</f>
        <v/>
      </c>
      <c r="R285">
        <f>IF(Wizards!$A$16="","",IF(OR(ISNUMBER(SEARCH(", "&amp;$B285&amp;", ", ", "&amp;INDEX('Form Responses'!$I$1:$Q$200,16,$A285)&amp;", ")),ISNUMBER(SEARCH(", "&amp;$B285&amp;", ", ", "&amp;INDEX('Form Responses'!$R$1:$R$200,16)&amp;", "))),1,""))</f>
        <v/>
      </c>
      <c r="S285">
        <f>IF(Wizards!$A$17="","",IF(OR(ISNUMBER(SEARCH(", "&amp;$B285&amp;", ", ", "&amp;INDEX('Form Responses'!$I$1:$Q$200,17,$A285)&amp;", ")),ISNUMBER(SEARCH(", "&amp;$B285&amp;", ", ", "&amp;INDEX('Form Responses'!$R$1:$R$200,17)&amp;", "))),1,""))</f>
        <v/>
      </c>
      <c r="T285">
        <f>IF(Wizards!$A$18="","",IF(OR(ISNUMBER(SEARCH(", "&amp;$B285&amp;", ", ", "&amp;INDEX('Form Responses'!$I$1:$Q$200,18,$A285)&amp;", ")),ISNUMBER(SEARCH(", "&amp;$B285&amp;", ", ", "&amp;INDEX('Form Responses'!$R$1:$R$200,18)&amp;", "))),1,""))</f>
        <v/>
      </c>
      <c r="U285">
        <f>IF(Wizards!$A$19="","",IF(OR(ISNUMBER(SEARCH(", "&amp;$B285&amp;", ", ", "&amp;INDEX('Form Responses'!$I$1:$Q$200,19,$A285)&amp;", ")),ISNUMBER(SEARCH(", "&amp;$B285&amp;", ", ", "&amp;INDEX('Form Responses'!$R$1:$R$200,19)&amp;", "))),1,""))</f>
        <v/>
      </c>
      <c r="V285">
        <f>IF(Wizards!$A$20="","",IF(OR(ISNUMBER(SEARCH(", "&amp;$B285&amp;", ", ", "&amp;INDEX('Form Responses'!$I$1:$Q$200,20,$A285)&amp;", ")),ISNUMBER(SEARCH(", "&amp;$B285&amp;", ", ", "&amp;INDEX('Form Responses'!$R$1:$R$200,20)&amp;", "))),1,""))</f>
        <v/>
      </c>
      <c r="W285">
        <f>IF(Wizards!$A$21="","",IF(OR(ISNUMBER(SEARCH(", "&amp;$B285&amp;", ", ", "&amp;INDEX('Form Responses'!$I$1:$Q$200,21,$A285)&amp;", ")),ISNUMBER(SEARCH(", "&amp;$B285&amp;", ", ", "&amp;INDEX('Form Responses'!$R$1:$R$200,21)&amp;", "))),1,""))</f>
        <v/>
      </c>
      <c r="X285">
        <f>IF(Wizards!$A$22="","",IF(OR(ISNUMBER(SEARCH(", "&amp;$B285&amp;", ", ", "&amp;INDEX('Form Responses'!$I$1:$Q$200,22,$A285)&amp;", ")),ISNUMBER(SEARCH(", "&amp;$B285&amp;", ", ", "&amp;INDEX('Form Responses'!$R$1:$R$200,22)&amp;", "))),1,""))</f>
        <v/>
      </c>
      <c r="Y285">
        <f>IF(Wizards!$A$23="","",IF(OR(ISNUMBER(SEARCH(", "&amp;$B285&amp;", ", ", "&amp;INDEX('Form Responses'!$I$1:$Q$200,23,$A285)&amp;", ")),ISNUMBER(SEARCH(", "&amp;$B285&amp;", ", ", "&amp;INDEX('Form Responses'!$R$1:$R$200,23)&amp;", "))),1,""))</f>
        <v/>
      </c>
      <c r="Z285">
        <f>IF(Wizards!$A$24="","",IF(OR(ISNUMBER(SEARCH(", "&amp;$B285&amp;", ", ", "&amp;INDEX('Form Responses'!$I$1:$Q$200,24,$A285)&amp;", ")),ISNUMBER(SEARCH(", "&amp;$B285&amp;", ", ", "&amp;INDEX('Form Responses'!$R$1:$R$200,24)&amp;", "))),1,""))</f>
        <v/>
      </c>
      <c r="AA285">
        <f>IF(Wizards!$A$25="","",IF(OR(ISNUMBER(SEARCH(", "&amp;$B285&amp;", ", ", "&amp;INDEX('Form Responses'!$I$1:$Q$200,25,$A285)&amp;", ")),ISNUMBER(SEARCH(", "&amp;$B285&amp;", ", ", "&amp;INDEX('Form Responses'!$R$1:$R$200,25)&amp;", "))),1,""))</f>
        <v/>
      </c>
      <c r="AB285">
        <f>IF(D285=1,", "&amp;D$1,"")</f>
        <v/>
      </c>
      <c r="AC285">
        <f>IF(E285=1,", "&amp;E$1,"")</f>
        <v/>
      </c>
      <c r="AD285">
        <f>IF(F285=1,", "&amp;F$1,"")</f>
        <v/>
      </c>
      <c r="AE285">
        <f>IF(G285=1,", "&amp;G$1,"")</f>
        <v/>
      </c>
      <c r="AF285">
        <f>IF(H285=1,", "&amp;H$1,"")</f>
        <v/>
      </c>
      <c r="AG285">
        <f>IF(I285=1,", "&amp;I$1,"")</f>
        <v/>
      </c>
      <c r="AH285">
        <f>IF(J285=1,", "&amp;J$1,"")</f>
        <v/>
      </c>
      <c r="AI285">
        <f>IF(K285=1,", "&amp;K$1,"")</f>
        <v/>
      </c>
      <c r="AJ285">
        <f>IF(L285=1,", "&amp;L$1,"")</f>
        <v/>
      </c>
      <c r="AK285">
        <f>IF(M285=1,", "&amp;M$1,"")</f>
        <v/>
      </c>
      <c r="AL285">
        <f>IF(N285=1,", "&amp;N$1,"")</f>
        <v/>
      </c>
      <c r="AM285">
        <f>IF(O285=1,", "&amp;O$1,"")</f>
        <v/>
      </c>
      <c r="AN285">
        <f>IF(P285=1,", "&amp;P$1,"")</f>
        <v/>
      </c>
      <c r="AO285">
        <f>IF(Q285=1,", "&amp;Q$1,"")</f>
        <v/>
      </c>
      <c r="AP285">
        <f>IF(R285=1,", "&amp;R$1,"")</f>
        <v/>
      </c>
      <c r="AQ285">
        <f>IF(S285=1,", "&amp;S$1,"")</f>
        <v/>
      </c>
      <c r="AR285">
        <f>IF(T285=1,", "&amp;T$1,"")</f>
        <v/>
      </c>
      <c r="AS285">
        <f>IF(U285=1,", "&amp;U$1,"")</f>
        <v/>
      </c>
      <c r="AT285">
        <f>IF(V285=1,", "&amp;V$1,"")</f>
        <v/>
      </c>
      <c r="AU285">
        <f>IF(W285=1,", "&amp;W$1,"")</f>
        <v/>
      </c>
      <c r="AV285">
        <f>IF(X285=1,", "&amp;X$1,"")</f>
        <v/>
      </c>
      <c r="AW285">
        <f>IF(Y285=1,", "&amp;Y$1,"")</f>
        <v/>
      </c>
      <c r="AX285">
        <f>IF(Z285=1,", "&amp;Z$1,"")</f>
        <v/>
      </c>
      <c r="AY285">
        <f>IF(AA285=1,", "&amp;AA$1,"")</f>
        <v/>
      </c>
      <c r="AZ285">
        <f>MID($AB285&amp;$AC285&amp;$AD285&amp;$AE285&amp;$AF285&amp;$AG285&amp;$AH285&amp;$AI285&amp;$AJ285&amp;$AK285&amp;$AL285&amp;$AM285&amp;$AN285&amp;$AO285&amp;$AP285&amp;$AQ285&amp;$AR285&amp;$AS285&amp;$AT285&amp;$AU285&amp;$AV285&amp;$AW285&amp;$AX285&amp;$AY285,3,32767)</f>
        <v/>
      </c>
      <c r="BA285">
        <f>COUNT($D285:$AA285)</f>
        <v/>
      </c>
    </row>
    <row r="286">
      <c r="A286" t="n">
        <v>7</v>
      </c>
      <c r="B286" t="inlineStr">
        <is>
          <t>Crown of Stars</t>
        </is>
      </c>
      <c r="C286" t="inlineStr">
        <is>
          <t>Evocation</t>
        </is>
      </c>
      <c r="D286">
        <f>IF(Wizards!$A$2="","",IF(OR(ISNUMBER(SEARCH(", "&amp;$B286&amp;", ", ", "&amp;INDEX('Form Responses'!$I$1:$Q$200,2,$A286)&amp;", ")),ISNUMBER(SEARCH(", "&amp;$B286&amp;", ", ", "&amp;INDEX('Form Responses'!$R$1:$R$200,2)&amp;", "))),1,""))</f>
        <v/>
      </c>
      <c r="E286">
        <f>IF(Wizards!$A$3="","",IF(OR(ISNUMBER(SEARCH(", "&amp;$B286&amp;", ", ", "&amp;INDEX('Form Responses'!$I$1:$Q$200,3,$A286)&amp;", ")),ISNUMBER(SEARCH(", "&amp;$B286&amp;", ", ", "&amp;INDEX('Form Responses'!$R$1:$R$200,3)&amp;", "))),1,""))</f>
        <v/>
      </c>
      <c r="F286">
        <f>IF(Wizards!$A$4="","",IF(OR(ISNUMBER(SEARCH(", "&amp;$B286&amp;", ", ", "&amp;INDEX('Form Responses'!$I$1:$Q$200,4,$A286)&amp;", ")),ISNUMBER(SEARCH(", "&amp;$B286&amp;", ", ", "&amp;INDEX('Form Responses'!$R$1:$R$200,4)&amp;", "))),1,""))</f>
        <v/>
      </c>
      <c r="G286">
        <f>IF(Wizards!$A$5="","",IF(OR(ISNUMBER(SEARCH(", "&amp;$B286&amp;", ", ", "&amp;INDEX('Form Responses'!$I$1:$Q$200,5,$A286)&amp;", ")),ISNUMBER(SEARCH(", "&amp;$B286&amp;", ", ", "&amp;INDEX('Form Responses'!$R$1:$R$200,5)&amp;", "))),1,""))</f>
        <v/>
      </c>
      <c r="H286">
        <f>IF(Wizards!$A$6="","",IF(OR(ISNUMBER(SEARCH(", "&amp;$B286&amp;", ", ", "&amp;INDEX('Form Responses'!$I$1:$Q$200,6,$A286)&amp;", ")),ISNUMBER(SEARCH(", "&amp;$B286&amp;", ", ", "&amp;INDEX('Form Responses'!$R$1:$R$200,6)&amp;", "))),1,""))</f>
        <v/>
      </c>
      <c r="I286">
        <f>IF(Wizards!$A$7="","",IF(OR(ISNUMBER(SEARCH(", "&amp;$B286&amp;", ", ", "&amp;INDEX('Form Responses'!$I$1:$Q$200,7,$A286)&amp;", ")),ISNUMBER(SEARCH(", "&amp;$B286&amp;", ", ", "&amp;INDEX('Form Responses'!$R$1:$R$200,7)&amp;", "))),1,""))</f>
        <v/>
      </c>
      <c r="J286">
        <f>IF(Wizards!$A$8="","",IF(OR(ISNUMBER(SEARCH(", "&amp;$B286&amp;", ", ", "&amp;INDEX('Form Responses'!$I$1:$Q$200,8,$A286)&amp;", ")),ISNUMBER(SEARCH(", "&amp;$B286&amp;", ", ", "&amp;INDEX('Form Responses'!$R$1:$R$200,8)&amp;", "))),1,""))</f>
        <v/>
      </c>
      <c r="K286">
        <f>IF(Wizards!$A$9="","",IF(OR(ISNUMBER(SEARCH(", "&amp;$B286&amp;", ", ", "&amp;INDEX('Form Responses'!$I$1:$Q$200,9,$A286)&amp;", ")),ISNUMBER(SEARCH(", "&amp;$B286&amp;", ", ", "&amp;INDEX('Form Responses'!$R$1:$R$200,9)&amp;", "))),1,""))</f>
        <v/>
      </c>
      <c r="L286">
        <f>IF(Wizards!$A$10="","",IF(OR(ISNUMBER(SEARCH(", "&amp;$B286&amp;", ", ", "&amp;INDEX('Form Responses'!$I$1:$Q$200,10,$A286)&amp;", ")),ISNUMBER(SEARCH(", "&amp;$B286&amp;", ", ", "&amp;INDEX('Form Responses'!$R$1:$R$200,10)&amp;", "))),1,""))</f>
        <v/>
      </c>
      <c r="M286">
        <f>IF(Wizards!$A$11="","",IF(OR(ISNUMBER(SEARCH(", "&amp;$B286&amp;", ", ", "&amp;INDEX('Form Responses'!$I$1:$Q$200,11,$A286)&amp;", ")),ISNUMBER(SEARCH(", "&amp;$B286&amp;", ", ", "&amp;INDEX('Form Responses'!$R$1:$R$200,11)&amp;", "))),1,""))</f>
        <v/>
      </c>
      <c r="N286">
        <f>IF(Wizards!$A$12="","",IF(OR(ISNUMBER(SEARCH(", "&amp;$B286&amp;", ", ", "&amp;INDEX('Form Responses'!$I$1:$Q$200,12,$A286)&amp;", ")),ISNUMBER(SEARCH(", "&amp;$B286&amp;", ", ", "&amp;INDEX('Form Responses'!$R$1:$R$200,12)&amp;", "))),1,""))</f>
        <v/>
      </c>
      <c r="O286">
        <f>IF(Wizards!$A$13="","",IF(OR(ISNUMBER(SEARCH(", "&amp;$B286&amp;", ", ", "&amp;INDEX('Form Responses'!$I$1:$Q$200,13,$A286)&amp;", ")),ISNUMBER(SEARCH(", "&amp;$B286&amp;", ", ", "&amp;INDEX('Form Responses'!$R$1:$R$200,13)&amp;", "))),1,""))</f>
        <v/>
      </c>
      <c r="P286">
        <f>IF(Wizards!$A$14="","",IF(OR(ISNUMBER(SEARCH(", "&amp;$B286&amp;", ", ", "&amp;INDEX('Form Responses'!$I$1:$Q$200,14,$A286)&amp;", ")),ISNUMBER(SEARCH(", "&amp;$B286&amp;", ", ", "&amp;INDEX('Form Responses'!$R$1:$R$200,14)&amp;", "))),1,""))</f>
        <v/>
      </c>
      <c r="Q286">
        <f>IF(Wizards!$A$15="","",IF(OR(ISNUMBER(SEARCH(", "&amp;$B286&amp;", ", ", "&amp;INDEX('Form Responses'!$I$1:$Q$200,15,$A286)&amp;", ")),ISNUMBER(SEARCH(", "&amp;$B286&amp;", ", ", "&amp;INDEX('Form Responses'!$R$1:$R$200,15)&amp;", "))),1,""))</f>
        <v/>
      </c>
      <c r="R286">
        <f>IF(Wizards!$A$16="","",IF(OR(ISNUMBER(SEARCH(", "&amp;$B286&amp;", ", ", "&amp;INDEX('Form Responses'!$I$1:$Q$200,16,$A286)&amp;", ")),ISNUMBER(SEARCH(", "&amp;$B286&amp;", ", ", "&amp;INDEX('Form Responses'!$R$1:$R$200,16)&amp;", "))),1,""))</f>
        <v/>
      </c>
      <c r="S286">
        <f>IF(Wizards!$A$17="","",IF(OR(ISNUMBER(SEARCH(", "&amp;$B286&amp;", ", ", "&amp;INDEX('Form Responses'!$I$1:$Q$200,17,$A286)&amp;", ")),ISNUMBER(SEARCH(", "&amp;$B286&amp;", ", ", "&amp;INDEX('Form Responses'!$R$1:$R$200,17)&amp;", "))),1,""))</f>
        <v/>
      </c>
      <c r="T286">
        <f>IF(Wizards!$A$18="","",IF(OR(ISNUMBER(SEARCH(", "&amp;$B286&amp;", ", ", "&amp;INDEX('Form Responses'!$I$1:$Q$200,18,$A286)&amp;", ")),ISNUMBER(SEARCH(", "&amp;$B286&amp;", ", ", "&amp;INDEX('Form Responses'!$R$1:$R$200,18)&amp;", "))),1,""))</f>
        <v/>
      </c>
      <c r="U286">
        <f>IF(Wizards!$A$19="","",IF(OR(ISNUMBER(SEARCH(", "&amp;$B286&amp;", ", ", "&amp;INDEX('Form Responses'!$I$1:$Q$200,19,$A286)&amp;", ")),ISNUMBER(SEARCH(", "&amp;$B286&amp;", ", ", "&amp;INDEX('Form Responses'!$R$1:$R$200,19)&amp;", "))),1,""))</f>
        <v/>
      </c>
      <c r="V286">
        <f>IF(Wizards!$A$20="","",IF(OR(ISNUMBER(SEARCH(", "&amp;$B286&amp;", ", ", "&amp;INDEX('Form Responses'!$I$1:$Q$200,20,$A286)&amp;", ")),ISNUMBER(SEARCH(", "&amp;$B286&amp;", ", ", "&amp;INDEX('Form Responses'!$R$1:$R$200,20)&amp;", "))),1,""))</f>
        <v/>
      </c>
      <c r="W286">
        <f>IF(Wizards!$A$21="","",IF(OR(ISNUMBER(SEARCH(", "&amp;$B286&amp;", ", ", "&amp;INDEX('Form Responses'!$I$1:$Q$200,21,$A286)&amp;", ")),ISNUMBER(SEARCH(", "&amp;$B286&amp;", ", ", "&amp;INDEX('Form Responses'!$R$1:$R$200,21)&amp;", "))),1,""))</f>
        <v/>
      </c>
      <c r="X286">
        <f>IF(Wizards!$A$22="","",IF(OR(ISNUMBER(SEARCH(", "&amp;$B286&amp;", ", ", "&amp;INDEX('Form Responses'!$I$1:$Q$200,22,$A286)&amp;", ")),ISNUMBER(SEARCH(", "&amp;$B286&amp;", ", ", "&amp;INDEX('Form Responses'!$R$1:$R$200,22)&amp;", "))),1,""))</f>
        <v/>
      </c>
      <c r="Y286">
        <f>IF(Wizards!$A$23="","",IF(OR(ISNUMBER(SEARCH(", "&amp;$B286&amp;", ", ", "&amp;INDEX('Form Responses'!$I$1:$Q$200,23,$A286)&amp;", ")),ISNUMBER(SEARCH(", "&amp;$B286&amp;", ", ", "&amp;INDEX('Form Responses'!$R$1:$R$200,23)&amp;", "))),1,""))</f>
        <v/>
      </c>
      <c r="Z286">
        <f>IF(Wizards!$A$24="","",IF(OR(ISNUMBER(SEARCH(", "&amp;$B286&amp;", ", ", "&amp;INDEX('Form Responses'!$I$1:$Q$200,24,$A286)&amp;", ")),ISNUMBER(SEARCH(", "&amp;$B286&amp;", ", ", "&amp;INDEX('Form Responses'!$R$1:$R$200,24)&amp;", "))),1,""))</f>
        <v/>
      </c>
      <c r="AA286">
        <f>IF(Wizards!$A$25="","",IF(OR(ISNUMBER(SEARCH(", "&amp;$B286&amp;", ", ", "&amp;INDEX('Form Responses'!$I$1:$Q$200,25,$A286)&amp;", ")),ISNUMBER(SEARCH(", "&amp;$B286&amp;", ", ", "&amp;INDEX('Form Responses'!$R$1:$R$200,25)&amp;", "))),1,""))</f>
        <v/>
      </c>
      <c r="AB286">
        <f>IF(D286=1,", "&amp;D$1,"")</f>
        <v/>
      </c>
      <c r="AC286">
        <f>IF(E286=1,", "&amp;E$1,"")</f>
        <v/>
      </c>
      <c r="AD286">
        <f>IF(F286=1,", "&amp;F$1,"")</f>
        <v/>
      </c>
      <c r="AE286">
        <f>IF(G286=1,", "&amp;G$1,"")</f>
        <v/>
      </c>
      <c r="AF286">
        <f>IF(H286=1,", "&amp;H$1,"")</f>
        <v/>
      </c>
      <c r="AG286">
        <f>IF(I286=1,", "&amp;I$1,"")</f>
        <v/>
      </c>
      <c r="AH286">
        <f>IF(J286=1,", "&amp;J$1,"")</f>
        <v/>
      </c>
      <c r="AI286">
        <f>IF(K286=1,", "&amp;K$1,"")</f>
        <v/>
      </c>
      <c r="AJ286">
        <f>IF(L286=1,", "&amp;L$1,"")</f>
        <v/>
      </c>
      <c r="AK286">
        <f>IF(M286=1,", "&amp;M$1,"")</f>
        <v/>
      </c>
      <c r="AL286">
        <f>IF(N286=1,", "&amp;N$1,"")</f>
        <v/>
      </c>
      <c r="AM286">
        <f>IF(O286=1,", "&amp;O$1,"")</f>
        <v/>
      </c>
      <c r="AN286">
        <f>IF(P286=1,", "&amp;P$1,"")</f>
        <v/>
      </c>
      <c r="AO286">
        <f>IF(Q286=1,", "&amp;Q$1,"")</f>
        <v/>
      </c>
      <c r="AP286">
        <f>IF(R286=1,", "&amp;R$1,"")</f>
        <v/>
      </c>
      <c r="AQ286">
        <f>IF(S286=1,", "&amp;S$1,"")</f>
        <v/>
      </c>
      <c r="AR286">
        <f>IF(T286=1,", "&amp;T$1,"")</f>
        <v/>
      </c>
      <c r="AS286">
        <f>IF(U286=1,", "&amp;U$1,"")</f>
        <v/>
      </c>
      <c r="AT286">
        <f>IF(V286=1,", "&amp;V$1,"")</f>
        <v/>
      </c>
      <c r="AU286">
        <f>IF(W286=1,", "&amp;W$1,"")</f>
        <v/>
      </c>
      <c r="AV286">
        <f>IF(X286=1,", "&amp;X$1,"")</f>
        <v/>
      </c>
      <c r="AW286">
        <f>IF(Y286=1,", "&amp;Y$1,"")</f>
        <v/>
      </c>
      <c r="AX286">
        <f>IF(Z286=1,", "&amp;Z$1,"")</f>
        <v/>
      </c>
      <c r="AY286">
        <f>IF(AA286=1,", "&amp;AA$1,"")</f>
        <v/>
      </c>
      <c r="AZ286">
        <f>MID($AB286&amp;$AC286&amp;$AD286&amp;$AE286&amp;$AF286&amp;$AG286&amp;$AH286&amp;$AI286&amp;$AJ286&amp;$AK286&amp;$AL286&amp;$AM286&amp;$AN286&amp;$AO286&amp;$AP286&amp;$AQ286&amp;$AR286&amp;$AS286&amp;$AT286&amp;$AU286&amp;$AV286&amp;$AW286&amp;$AX286&amp;$AY286,3,32767)</f>
        <v/>
      </c>
      <c r="BA286">
        <f>COUNT($D286:$AA286)</f>
        <v/>
      </c>
    </row>
    <row r="287">
      <c r="A287" t="n">
        <v>7</v>
      </c>
      <c r="B287" t="inlineStr">
        <is>
          <t>Delayed Blast Fireball</t>
        </is>
      </c>
      <c r="C287" t="inlineStr">
        <is>
          <t>Evocation</t>
        </is>
      </c>
      <c r="D287">
        <f>IF(Wizards!$A$2="","",IF(OR(ISNUMBER(SEARCH(", "&amp;$B287&amp;", ", ", "&amp;INDEX('Form Responses'!$I$1:$Q$200,2,$A287)&amp;", ")),ISNUMBER(SEARCH(", "&amp;$B287&amp;", ", ", "&amp;INDEX('Form Responses'!$R$1:$R$200,2)&amp;", "))),1,""))</f>
        <v/>
      </c>
      <c r="E287">
        <f>IF(Wizards!$A$3="","",IF(OR(ISNUMBER(SEARCH(", "&amp;$B287&amp;", ", ", "&amp;INDEX('Form Responses'!$I$1:$Q$200,3,$A287)&amp;", ")),ISNUMBER(SEARCH(", "&amp;$B287&amp;", ", ", "&amp;INDEX('Form Responses'!$R$1:$R$200,3)&amp;", "))),1,""))</f>
        <v/>
      </c>
      <c r="F287">
        <f>IF(Wizards!$A$4="","",IF(OR(ISNUMBER(SEARCH(", "&amp;$B287&amp;", ", ", "&amp;INDEX('Form Responses'!$I$1:$Q$200,4,$A287)&amp;", ")),ISNUMBER(SEARCH(", "&amp;$B287&amp;", ", ", "&amp;INDEX('Form Responses'!$R$1:$R$200,4)&amp;", "))),1,""))</f>
        <v/>
      </c>
      <c r="G287">
        <f>IF(Wizards!$A$5="","",IF(OR(ISNUMBER(SEARCH(", "&amp;$B287&amp;", ", ", "&amp;INDEX('Form Responses'!$I$1:$Q$200,5,$A287)&amp;", ")),ISNUMBER(SEARCH(", "&amp;$B287&amp;", ", ", "&amp;INDEX('Form Responses'!$R$1:$R$200,5)&amp;", "))),1,""))</f>
        <v/>
      </c>
      <c r="H287">
        <f>IF(Wizards!$A$6="","",IF(OR(ISNUMBER(SEARCH(", "&amp;$B287&amp;", ", ", "&amp;INDEX('Form Responses'!$I$1:$Q$200,6,$A287)&amp;", ")),ISNUMBER(SEARCH(", "&amp;$B287&amp;", ", ", "&amp;INDEX('Form Responses'!$R$1:$R$200,6)&amp;", "))),1,""))</f>
        <v/>
      </c>
      <c r="I287">
        <f>IF(Wizards!$A$7="","",IF(OR(ISNUMBER(SEARCH(", "&amp;$B287&amp;", ", ", "&amp;INDEX('Form Responses'!$I$1:$Q$200,7,$A287)&amp;", ")),ISNUMBER(SEARCH(", "&amp;$B287&amp;", ", ", "&amp;INDEX('Form Responses'!$R$1:$R$200,7)&amp;", "))),1,""))</f>
        <v/>
      </c>
      <c r="J287">
        <f>IF(Wizards!$A$8="","",IF(OR(ISNUMBER(SEARCH(", "&amp;$B287&amp;", ", ", "&amp;INDEX('Form Responses'!$I$1:$Q$200,8,$A287)&amp;", ")),ISNUMBER(SEARCH(", "&amp;$B287&amp;", ", ", "&amp;INDEX('Form Responses'!$R$1:$R$200,8)&amp;", "))),1,""))</f>
        <v/>
      </c>
      <c r="K287">
        <f>IF(Wizards!$A$9="","",IF(OR(ISNUMBER(SEARCH(", "&amp;$B287&amp;", ", ", "&amp;INDEX('Form Responses'!$I$1:$Q$200,9,$A287)&amp;", ")),ISNUMBER(SEARCH(", "&amp;$B287&amp;", ", ", "&amp;INDEX('Form Responses'!$R$1:$R$200,9)&amp;", "))),1,""))</f>
        <v/>
      </c>
      <c r="L287">
        <f>IF(Wizards!$A$10="","",IF(OR(ISNUMBER(SEARCH(", "&amp;$B287&amp;", ", ", "&amp;INDEX('Form Responses'!$I$1:$Q$200,10,$A287)&amp;", ")),ISNUMBER(SEARCH(", "&amp;$B287&amp;", ", ", "&amp;INDEX('Form Responses'!$R$1:$R$200,10)&amp;", "))),1,""))</f>
        <v/>
      </c>
      <c r="M287">
        <f>IF(Wizards!$A$11="","",IF(OR(ISNUMBER(SEARCH(", "&amp;$B287&amp;", ", ", "&amp;INDEX('Form Responses'!$I$1:$Q$200,11,$A287)&amp;", ")),ISNUMBER(SEARCH(", "&amp;$B287&amp;", ", ", "&amp;INDEX('Form Responses'!$R$1:$R$200,11)&amp;", "))),1,""))</f>
        <v/>
      </c>
      <c r="N287">
        <f>IF(Wizards!$A$12="","",IF(OR(ISNUMBER(SEARCH(", "&amp;$B287&amp;", ", ", "&amp;INDEX('Form Responses'!$I$1:$Q$200,12,$A287)&amp;", ")),ISNUMBER(SEARCH(", "&amp;$B287&amp;", ", ", "&amp;INDEX('Form Responses'!$R$1:$R$200,12)&amp;", "))),1,""))</f>
        <v/>
      </c>
      <c r="O287">
        <f>IF(Wizards!$A$13="","",IF(OR(ISNUMBER(SEARCH(", "&amp;$B287&amp;", ", ", "&amp;INDEX('Form Responses'!$I$1:$Q$200,13,$A287)&amp;", ")),ISNUMBER(SEARCH(", "&amp;$B287&amp;", ", ", "&amp;INDEX('Form Responses'!$R$1:$R$200,13)&amp;", "))),1,""))</f>
        <v/>
      </c>
      <c r="P287">
        <f>IF(Wizards!$A$14="","",IF(OR(ISNUMBER(SEARCH(", "&amp;$B287&amp;", ", ", "&amp;INDEX('Form Responses'!$I$1:$Q$200,14,$A287)&amp;", ")),ISNUMBER(SEARCH(", "&amp;$B287&amp;", ", ", "&amp;INDEX('Form Responses'!$R$1:$R$200,14)&amp;", "))),1,""))</f>
        <v/>
      </c>
      <c r="Q287">
        <f>IF(Wizards!$A$15="","",IF(OR(ISNUMBER(SEARCH(", "&amp;$B287&amp;", ", ", "&amp;INDEX('Form Responses'!$I$1:$Q$200,15,$A287)&amp;", ")),ISNUMBER(SEARCH(", "&amp;$B287&amp;", ", ", "&amp;INDEX('Form Responses'!$R$1:$R$200,15)&amp;", "))),1,""))</f>
        <v/>
      </c>
      <c r="R287">
        <f>IF(Wizards!$A$16="","",IF(OR(ISNUMBER(SEARCH(", "&amp;$B287&amp;", ", ", "&amp;INDEX('Form Responses'!$I$1:$Q$200,16,$A287)&amp;", ")),ISNUMBER(SEARCH(", "&amp;$B287&amp;", ", ", "&amp;INDEX('Form Responses'!$R$1:$R$200,16)&amp;", "))),1,""))</f>
        <v/>
      </c>
      <c r="S287">
        <f>IF(Wizards!$A$17="","",IF(OR(ISNUMBER(SEARCH(", "&amp;$B287&amp;", ", ", "&amp;INDEX('Form Responses'!$I$1:$Q$200,17,$A287)&amp;", ")),ISNUMBER(SEARCH(", "&amp;$B287&amp;", ", ", "&amp;INDEX('Form Responses'!$R$1:$R$200,17)&amp;", "))),1,""))</f>
        <v/>
      </c>
      <c r="T287">
        <f>IF(Wizards!$A$18="","",IF(OR(ISNUMBER(SEARCH(", "&amp;$B287&amp;", ", ", "&amp;INDEX('Form Responses'!$I$1:$Q$200,18,$A287)&amp;", ")),ISNUMBER(SEARCH(", "&amp;$B287&amp;", ", ", "&amp;INDEX('Form Responses'!$R$1:$R$200,18)&amp;", "))),1,""))</f>
        <v/>
      </c>
      <c r="U287">
        <f>IF(Wizards!$A$19="","",IF(OR(ISNUMBER(SEARCH(", "&amp;$B287&amp;", ", ", "&amp;INDEX('Form Responses'!$I$1:$Q$200,19,$A287)&amp;", ")),ISNUMBER(SEARCH(", "&amp;$B287&amp;", ", ", "&amp;INDEX('Form Responses'!$R$1:$R$200,19)&amp;", "))),1,""))</f>
        <v/>
      </c>
      <c r="V287">
        <f>IF(Wizards!$A$20="","",IF(OR(ISNUMBER(SEARCH(", "&amp;$B287&amp;", ", ", "&amp;INDEX('Form Responses'!$I$1:$Q$200,20,$A287)&amp;", ")),ISNUMBER(SEARCH(", "&amp;$B287&amp;", ", ", "&amp;INDEX('Form Responses'!$R$1:$R$200,20)&amp;", "))),1,""))</f>
        <v/>
      </c>
      <c r="W287">
        <f>IF(Wizards!$A$21="","",IF(OR(ISNUMBER(SEARCH(", "&amp;$B287&amp;", ", ", "&amp;INDEX('Form Responses'!$I$1:$Q$200,21,$A287)&amp;", ")),ISNUMBER(SEARCH(", "&amp;$B287&amp;", ", ", "&amp;INDEX('Form Responses'!$R$1:$R$200,21)&amp;", "))),1,""))</f>
        <v/>
      </c>
      <c r="X287">
        <f>IF(Wizards!$A$22="","",IF(OR(ISNUMBER(SEARCH(", "&amp;$B287&amp;", ", ", "&amp;INDEX('Form Responses'!$I$1:$Q$200,22,$A287)&amp;", ")),ISNUMBER(SEARCH(", "&amp;$B287&amp;", ", ", "&amp;INDEX('Form Responses'!$R$1:$R$200,22)&amp;", "))),1,""))</f>
        <v/>
      </c>
      <c r="Y287">
        <f>IF(Wizards!$A$23="","",IF(OR(ISNUMBER(SEARCH(", "&amp;$B287&amp;", ", ", "&amp;INDEX('Form Responses'!$I$1:$Q$200,23,$A287)&amp;", ")),ISNUMBER(SEARCH(", "&amp;$B287&amp;", ", ", "&amp;INDEX('Form Responses'!$R$1:$R$200,23)&amp;", "))),1,""))</f>
        <v/>
      </c>
      <c r="Z287">
        <f>IF(Wizards!$A$24="","",IF(OR(ISNUMBER(SEARCH(", "&amp;$B287&amp;", ", ", "&amp;INDEX('Form Responses'!$I$1:$Q$200,24,$A287)&amp;", ")),ISNUMBER(SEARCH(", "&amp;$B287&amp;", ", ", "&amp;INDEX('Form Responses'!$R$1:$R$200,24)&amp;", "))),1,""))</f>
        <v/>
      </c>
      <c r="AA287">
        <f>IF(Wizards!$A$25="","",IF(OR(ISNUMBER(SEARCH(", "&amp;$B287&amp;", ", ", "&amp;INDEX('Form Responses'!$I$1:$Q$200,25,$A287)&amp;", ")),ISNUMBER(SEARCH(", "&amp;$B287&amp;", ", ", "&amp;INDEX('Form Responses'!$R$1:$R$200,25)&amp;", "))),1,""))</f>
        <v/>
      </c>
      <c r="AB287">
        <f>IF(D287=1,", "&amp;D$1,"")</f>
        <v/>
      </c>
      <c r="AC287">
        <f>IF(E287=1,", "&amp;E$1,"")</f>
        <v/>
      </c>
      <c r="AD287">
        <f>IF(F287=1,", "&amp;F$1,"")</f>
        <v/>
      </c>
      <c r="AE287">
        <f>IF(G287=1,", "&amp;G$1,"")</f>
        <v/>
      </c>
      <c r="AF287">
        <f>IF(H287=1,", "&amp;H$1,"")</f>
        <v/>
      </c>
      <c r="AG287">
        <f>IF(I287=1,", "&amp;I$1,"")</f>
        <v/>
      </c>
      <c r="AH287">
        <f>IF(J287=1,", "&amp;J$1,"")</f>
        <v/>
      </c>
      <c r="AI287">
        <f>IF(K287=1,", "&amp;K$1,"")</f>
        <v/>
      </c>
      <c r="AJ287">
        <f>IF(L287=1,", "&amp;L$1,"")</f>
        <v/>
      </c>
      <c r="AK287">
        <f>IF(M287=1,", "&amp;M$1,"")</f>
        <v/>
      </c>
      <c r="AL287">
        <f>IF(N287=1,", "&amp;N$1,"")</f>
        <v/>
      </c>
      <c r="AM287">
        <f>IF(O287=1,", "&amp;O$1,"")</f>
        <v/>
      </c>
      <c r="AN287">
        <f>IF(P287=1,", "&amp;P$1,"")</f>
        <v/>
      </c>
      <c r="AO287">
        <f>IF(Q287=1,", "&amp;Q$1,"")</f>
        <v/>
      </c>
      <c r="AP287">
        <f>IF(R287=1,", "&amp;R$1,"")</f>
        <v/>
      </c>
      <c r="AQ287">
        <f>IF(S287=1,", "&amp;S$1,"")</f>
        <v/>
      </c>
      <c r="AR287">
        <f>IF(T287=1,", "&amp;T$1,"")</f>
        <v/>
      </c>
      <c r="AS287">
        <f>IF(U287=1,", "&amp;U$1,"")</f>
        <v/>
      </c>
      <c r="AT287">
        <f>IF(V287=1,", "&amp;V$1,"")</f>
        <v/>
      </c>
      <c r="AU287">
        <f>IF(W287=1,", "&amp;W$1,"")</f>
        <v/>
      </c>
      <c r="AV287">
        <f>IF(X287=1,", "&amp;X$1,"")</f>
        <v/>
      </c>
      <c r="AW287">
        <f>IF(Y287=1,", "&amp;Y$1,"")</f>
        <v/>
      </c>
      <c r="AX287">
        <f>IF(Z287=1,", "&amp;Z$1,"")</f>
        <v/>
      </c>
      <c r="AY287">
        <f>IF(AA287=1,", "&amp;AA$1,"")</f>
        <v/>
      </c>
      <c r="AZ287">
        <f>MID($AB287&amp;$AC287&amp;$AD287&amp;$AE287&amp;$AF287&amp;$AG287&amp;$AH287&amp;$AI287&amp;$AJ287&amp;$AK287&amp;$AL287&amp;$AM287&amp;$AN287&amp;$AO287&amp;$AP287&amp;$AQ287&amp;$AR287&amp;$AS287&amp;$AT287&amp;$AU287&amp;$AV287&amp;$AW287&amp;$AX287&amp;$AY287,3,32767)</f>
        <v/>
      </c>
      <c r="BA287">
        <f>COUNT($D287:$AA287)</f>
        <v/>
      </c>
    </row>
    <row r="288">
      <c r="A288" t="n">
        <v>7</v>
      </c>
      <c r="B288" t="inlineStr">
        <is>
          <t>Draconic Transformation</t>
        </is>
      </c>
      <c r="C288" t="inlineStr">
        <is>
          <t>Transmutation</t>
        </is>
      </c>
      <c r="D288">
        <f>IF(Wizards!$A$2="","",IF(OR(ISNUMBER(SEARCH(", "&amp;$B288&amp;", ", ", "&amp;INDEX('Form Responses'!$I$1:$Q$200,2,$A288)&amp;", ")),ISNUMBER(SEARCH(", "&amp;$B288&amp;", ", ", "&amp;INDEX('Form Responses'!$R$1:$R$200,2)&amp;", "))),1,""))</f>
        <v/>
      </c>
      <c r="E288">
        <f>IF(Wizards!$A$3="","",IF(OR(ISNUMBER(SEARCH(", "&amp;$B288&amp;", ", ", "&amp;INDEX('Form Responses'!$I$1:$Q$200,3,$A288)&amp;", ")),ISNUMBER(SEARCH(", "&amp;$B288&amp;", ", ", "&amp;INDEX('Form Responses'!$R$1:$R$200,3)&amp;", "))),1,""))</f>
        <v/>
      </c>
      <c r="F288">
        <f>IF(Wizards!$A$4="","",IF(OR(ISNUMBER(SEARCH(", "&amp;$B288&amp;", ", ", "&amp;INDEX('Form Responses'!$I$1:$Q$200,4,$A288)&amp;", ")),ISNUMBER(SEARCH(", "&amp;$B288&amp;", ", ", "&amp;INDEX('Form Responses'!$R$1:$R$200,4)&amp;", "))),1,""))</f>
        <v/>
      </c>
      <c r="G288">
        <f>IF(Wizards!$A$5="","",IF(OR(ISNUMBER(SEARCH(", "&amp;$B288&amp;", ", ", "&amp;INDEX('Form Responses'!$I$1:$Q$200,5,$A288)&amp;", ")),ISNUMBER(SEARCH(", "&amp;$B288&amp;", ", ", "&amp;INDEX('Form Responses'!$R$1:$R$200,5)&amp;", "))),1,""))</f>
        <v/>
      </c>
      <c r="H288">
        <f>IF(Wizards!$A$6="","",IF(OR(ISNUMBER(SEARCH(", "&amp;$B288&amp;", ", ", "&amp;INDEX('Form Responses'!$I$1:$Q$200,6,$A288)&amp;", ")),ISNUMBER(SEARCH(", "&amp;$B288&amp;", ", ", "&amp;INDEX('Form Responses'!$R$1:$R$200,6)&amp;", "))),1,""))</f>
        <v/>
      </c>
      <c r="I288">
        <f>IF(Wizards!$A$7="","",IF(OR(ISNUMBER(SEARCH(", "&amp;$B288&amp;", ", ", "&amp;INDEX('Form Responses'!$I$1:$Q$200,7,$A288)&amp;", ")),ISNUMBER(SEARCH(", "&amp;$B288&amp;", ", ", "&amp;INDEX('Form Responses'!$R$1:$R$200,7)&amp;", "))),1,""))</f>
        <v/>
      </c>
      <c r="J288">
        <f>IF(Wizards!$A$8="","",IF(OR(ISNUMBER(SEARCH(", "&amp;$B288&amp;", ", ", "&amp;INDEX('Form Responses'!$I$1:$Q$200,8,$A288)&amp;", ")),ISNUMBER(SEARCH(", "&amp;$B288&amp;", ", ", "&amp;INDEX('Form Responses'!$R$1:$R$200,8)&amp;", "))),1,""))</f>
        <v/>
      </c>
      <c r="K288">
        <f>IF(Wizards!$A$9="","",IF(OR(ISNUMBER(SEARCH(", "&amp;$B288&amp;", ", ", "&amp;INDEX('Form Responses'!$I$1:$Q$200,9,$A288)&amp;", ")),ISNUMBER(SEARCH(", "&amp;$B288&amp;", ", ", "&amp;INDEX('Form Responses'!$R$1:$R$200,9)&amp;", "))),1,""))</f>
        <v/>
      </c>
      <c r="L288">
        <f>IF(Wizards!$A$10="","",IF(OR(ISNUMBER(SEARCH(", "&amp;$B288&amp;", ", ", "&amp;INDEX('Form Responses'!$I$1:$Q$200,10,$A288)&amp;", ")),ISNUMBER(SEARCH(", "&amp;$B288&amp;", ", ", "&amp;INDEX('Form Responses'!$R$1:$R$200,10)&amp;", "))),1,""))</f>
        <v/>
      </c>
      <c r="M288">
        <f>IF(Wizards!$A$11="","",IF(OR(ISNUMBER(SEARCH(", "&amp;$B288&amp;", ", ", "&amp;INDEX('Form Responses'!$I$1:$Q$200,11,$A288)&amp;", ")),ISNUMBER(SEARCH(", "&amp;$B288&amp;", ", ", "&amp;INDEX('Form Responses'!$R$1:$R$200,11)&amp;", "))),1,""))</f>
        <v/>
      </c>
      <c r="N288">
        <f>IF(Wizards!$A$12="","",IF(OR(ISNUMBER(SEARCH(", "&amp;$B288&amp;", ", ", "&amp;INDEX('Form Responses'!$I$1:$Q$200,12,$A288)&amp;", ")),ISNUMBER(SEARCH(", "&amp;$B288&amp;", ", ", "&amp;INDEX('Form Responses'!$R$1:$R$200,12)&amp;", "))),1,""))</f>
        <v/>
      </c>
      <c r="O288">
        <f>IF(Wizards!$A$13="","",IF(OR(ISNUMBER(SEARCH(", "&amp;$B288&amp;", ", ", "&amp;INDEX('Form Responses'!$I$1:$Q$200,13,$A288)&amp;", ")),ISNUMBER(SEARCH(", "&amp;$B288&amp;", ", ", "&amp;INDEX('Form Responses'!$R$1:$R$200,13)&amp;", "))),1,""))</f>
        <v/>
      </c>
      <c r="P288">
        <f>IF(Wizards!$A$14="","",IF(OR(ISNUMBER(SEARCH(", "&amp;$B288&amp;", ", ", "&amp;INDEX('Form Responses'!$I$1:$Q$200,14,$A288)&amp;", ")),ISNUMBER(SEARCH(", "&amp;$B288&amp;", ", ", "&amp;INDEX('Form Responses'!$R$1:$R$200,14)&amp;", "))),1,""))</f>
        <v/>
      </c>
      <c r="Q288">
        <f>IF(Wizards!$A$15="","",IF(OR(ISNUMBER(SEARCH(", "&amp;$B288&amp;", ", ", "&amp;INDEX('Form Responses'!$I$1:$Q$200,15,$A288)&amp;", ")),ISNUMBER(SEARCH(", "&amp;$B288&amp;", ", ", "&amp;INDEX('Form Responses'!$R$1:$R$200,15)&amp;", "))),1,""))</f>
        <v/>
      </c>
      <c r="R288">
        <f>IF(Wizards!$A$16="","",IF(OR(ISNUMBER(SEARCH(", "&amp;$B288&amp;", ", ", "&amp;INDEX('Form Responses'!$I$1:$Q$200,16,$A288)&amp;", ")),ISNUMBER(SEARCH(", "&amp;$B288&amp;", ", ", "&amp;INDEX('Form Responses'!$R$1:$R$200,16)&amp;", "))),1,""))</f>
        <v/>
      </c>
      <c r="S288">
        <f>IF(Wizards!$A$17="","",IF(OR(ISNUMBER(SEARCH(", "&amp;$B288&amp;", ", ", "&amp;INDEX('Form Responses'!$I$1:$Q$200,17,$A288)&amp;", ")),ISNUMBER(SEARCH(", "&amp;$B288&amp;", ", ", "&amp;INDEX('Form Responses'!$R$1:$R$200,17)&amp;", "))),1,""))</f>
        <v/>
      </c>
      <c r="T288">
        <f>IF(Wizards!$A$18="","",IF(OR(ISNUMBER(SEARCH(", "&amp;$B288&amp;", ", ", "&amp;INDEX('Form Responses'!$I$1:$Q$200,18,$A288)&amp;", ")),ISNUMBER(SEARCH(", "&amp;$B288&amp;", ", ", "&amp;INDEX('Form Responses'!$R$1:$R$200,18)&amp;", "))),1,""))</f>
        <v/>
      </c>
      <c r="U288">
        <f>IF(Wizards!$A$19="","",IF(OR(ISNUMBER(SEARCH(", "&amp;$B288&amp;", ", ", "&amp;INDEX('Form Responses'!$I$1:$Q$200,19,$A288)&amp;", ")),ISNUMBER(SEARCH(", "&amp;$B288&amp;", ", ", "&amp;INDEX('Form Responses'!$R$1:$R$200,19)&amp;", "))),1,""))</f>
        <v/>
      </c>
      <c r="V288">
        <f>IF(Wizards!$A$20="","",IF(OR(ISNUMBER(SEARCH(", "&amp;$B288&amp;", ", ", "&amp;INDEX('Form Responses'!$I$1:$Q$200,20,$A288)&amp;", ")),ISNUMBER(SEARCH(", "&amp;$B288&amp;", ", ", "&amp;INDEX('Form Responses'!$R$1:$R$200,20)&amp;", "))),1,""))</f>
        <v/>
      </c>
      <c r="W288">
        <f>IF(Wizards!$A$21="","",IF(OR(ISNUMBER(SEARCH(", "&amp;$B288&amp;", ", ", "&amp;INDEX('Form Responses'!$I$1:$Q$200,21,$A288)&amp;", ")),ISNUMBER(SEARCH(", "&amp;$B288&amp;", ", ", "&amp;INDEX('Form Responses'!$R$1:$R$200,21)&amp;", "))),1,""))</f>
        <v/>
      </c>
      <c r="X288">
        <f>IF(Wizards!$A$22="","",IF(OR(ISNUMBER(SEARCH(", "&amp;$B288&amp;", ", ", "&amp;INDEX('Form Responses'!$I$1:$Q$200,22,$A288)&amp;", ")),ISNUMBER(SEARCH(", "&amp;$B288&amp;", ", ", "&amp;INDEX('Form Responses'!$R$1:$R$200,22)&amp;", "))),1,""))</f>
        <v/>
      </c>
      <c r="Y288">
        <f>IF(Wizards!$A$23="","",IF(OR(ISNUMBER(SEARCH(", "&amp;$B288&amp;", ", ", "&amp;INDEX('Form Responses'!$I$1:$Q$200,23,$A288)&amp;", ")),ISNUMBER(SEARCH(", "&amp;$B288&amp;", ", ", "&amp;INDEX('Form Responses'!$R$1:$R$200,23)&amp;", "))),1,""))</f>
        <v/>
      </c>
      <c r="Z288">
        <f>IF(Wizards!$A$24="","",IF(OR(ISNUMBER(SEARCH(", "&amp;$B288&amp;", ", ", "&amp;INDEX('Form Responses'!$I$1:$Q$200,24,$A288)&amp;", ")),ISNUMBER(SEARCH(", "&amp;$B288&amp;", ", ", "&amp;INDEX('Form Responses'!$R$1:$R$200,24)&amp;", "))),1,""))</f>
        <v/>
      </c>
      <c r="AA288">
        <f>IF(Wizards!$A$25="","",IF(OR(ISNUMBER(SEARCH(", "&amp;$B288&amp;", ", ", "&amp;INDEX('Form Responses'!$I$1:$Q$200,25,$A288)&amp;", ")),ISNUMBER(SEARCH(", "&amp;$B288&amp;", ", ", "&amp;INDEX('Form Responses'!$R$1:$R$200,25)&amp;", "))),1,""))</f>
        <v/>
      </c>
      <c r="AB288">
        <f>IF(D288=1,", "&amp;D$1,"")</f>
        <v/>
      </c>
      <c r="AC288">
        <f>IF(E288=1,", "&amp;E$1,"")</f>
        <v/>
      </c>
      <c r="AD288">
        <f>IF(F288=1,", "&amp;F$1,"")</f>
        <v/>
      </c>
      <c r="AE288">
        <f>IF(G288=1,", "&amp;G$1,"")</f>
        <v/>
      </c>
      <c r="AF288">
        <f>IF(H288=1,", "&amp;H$1,"")</f>
        <v/>
      </c>
      <c r="AG288">
        <f>IF(I288=1,", "&amp;I$1,"")</f>
        <v/>
      </c>
      <c r="AH288">
        <f>IF(J288=1,", "&amp;J$1,"")</f>
        <v/>
      </c>
      <c r="AI288">
        <f>IF(K288=1,", "&amp;K$1,"")</f>
        <v/>
      </c>
      <c r="AJ288">
        <f>IF(L288=1,", "&amp;L$1,"")</f>
        <v/>
      </c>
      <c r="AK288">
        <f>IF(M288=1,", "&amp;M$1,"")</f>
        <v/>
      </c>
      <c r="AL288">
        <f>IF(N288=1,", "&amp;N$1,"")</f>
        <v/>
      </c>
      <c r="AM288">
        <f>IF(O288=1,", "&amp;O$1,"")</f>
        <v/>
      </c>
      <c r="AN288">
        <f>IF(P288=1,", "&amp;P$1,"")</f>
        <v/>
      </c>
      <c r="AO288">
        <f>IF(Q288=1,", "&amp;Q$1,"")</f>
        <v/>
      </c>
      <c r="AP288">
        <f>IF(R288=1,", "&amp;R$1,"")</f>
        <v/>
      </c>
      <c r="AQ288">
        <f>IF(S288=1,", "&amp;S$1,"")</f>
        <v/>
      </c>
      <c r="AR288">
        <f>IF(T288=1,", "&amp;T$1,"")</f>
        <v/>
      </c>
      <c r="AS288">
        <f>IF(U288=1,", "&amp;U$1,"")</f>
        <v/>
      </c>
      <c r="AT288">
        <f>IF(V288=1,", "&amp;V$1,"")</f>
        <v/>
      </c>
      <c r="AU288">
        <f>IF(W288=1,", "&amp;W$1,"")</f>
        <v/>
      </c>
      <c r="AV288">
        <f>IF(X288=1,", "&amp;X$1,"")</f>
        <v/>
      </c>
      <c r="AW288">
        <f>IF(Y288=1,", "&amp;Y$1,"")</f>
        <v/>
      </c>
      <c r="AX288">
        <f>IF(Z288=1,", "&amp;Z$1,"")</f>
        <v/>
      </c>
      <c r="AY288">
        <f>IF(AA288=1,", "&amp;AA$1,"")</f>
        <v/>
      </c>
      <c r="AZ288">
        <f>MID($AB288&amp;$AC288&amp;$AD288&amp;$AE288&amp;$AF288&amp;$AG288&amp;$AH288&amp;$AI288&amp;$AJ288&amp;$AK288&amp;$AL288&amp;$AM288&amp;$AN288&amp;$AO288&amp;$AP288&amp;$AQ288&amp;$AR288&amp;$AS288&amp;$AT288&amp;$AU288&amp;$AV288&amp;$AW288&amp;$AX288&amp;$AY288,3,32767)</f>
        <v/>
      </c>
      <c r="BA288">
        <f>COUNT($D288:$AA288)</f>
        <v/>
      </c>
    </row>
    <row r="289">
      <c r="A289" t="n">
        <v>7</v>
      </c>
      <c r="B289" t="inlineStr">
        <is>
          <t>Dream of the Blue Veil</t>
        </is>
      </c>
      <c r="C289" t="inlineStr">
        <is>
          <t>Conjuration</t>
        </is>
      </c>
      <c r="D289">
        <f>IF(Wizards!$A$2="","",IF(OR(ISNUMBER(SEARCH(", "&amp;$B289&amp;", ", ", "&amp;INDEX('Form Responses'!$I$1:$Q$200,2,$A289)&amp;", ")),ISNUMBER(SEARCH(", "&amp;$B289&amp;", ", ", "&amp;INDEX('Form Responses'!$R$1:$R$200,2)&amp;", "))),1,""))</f>
        <v/>
      </c>
      <c r="E289">
        <f>IF(Wizards!$A$3="","",IF(OR(ISNUMBER(SEARCH(", "&amp;$B289&amp;", ", ", "&amp;INDEX('Form Responses'!$I$1:$Q$200,3,$A289)&amp;", ")),ISNUMBER(SEARCH(", "&amp;$B289&amp;", ", ", "&amp;INDEX('Form Responses'!$R$1:$R$200,3)&amp;", "))),1,""))</f>
        <v/>
      </c>
      <c r="F289">
        <f>IF(Wizards!$A$4="","",IF(OR(ISNUMBER(SEARCH(", "&amp;$B289&amp;", ", ", "&amp;INDEX('Form Responses'!$I$1:$Q$200,4,$A289)&amp;", ")),ISNUMBER(SEARCH(", "&amp;$B289&amp;", ", ", "&amp;INDEX('Form Responses'!$R$1:$R$200,4)&amp;", "))),1,""))</f>
        <v/>
      </c>
      <c r="G289">
        <f>IF(Wizards!$A$5="","",IF(OR(ISNUMBER(SEARCH(", "&amp;$B289&amp;", ", ", "&amp;INDEX('Form Responses'!$I$1:$Q$200,5,$A289)&amp;", ")),ISNUMBER(SEARCH(", "&amp;$B289&amp;", ", ", "&amp;INDEX('Form Responses'!$R$1:$R$200,5)&amp;", "))),1,""))</f>
        <v/>
      </c>
      <c r="H289">
        <f>IF(Wizards!$A$6="","",IF(OR(ISNUMBER(SEARCH(", "&amp;$B289&amp;", ", ", "&amp;INDEX('Form Responses'!$I$1:$Q$200,6,$A289)&amp;", ")),ISNUMBER(SEARCH(", "&amp;$B289&amp;", ", ", "&amp;INDEX('Form Responses'!$R$1:$R$200,6)&amp;", "))),1,""))</f>
        <v/>
      </c>
      <c r="I289">
        <f>IF(Wizards!$A$7="","",IF(OR(ISNUMBER(SEARCH(", "&amp;$B289&amp;", ", ", "&amp;INDEX('Form Responses'!$I$1:$Q$200,7,$A289)&amp;", ")),ISNUMBER(SEARCH(", "&amp;$B289&amp;", ", ", "&amp;INDEX('Form Responses'!$R$1:$R$200,7)&amp;", "))),1,""))</f>
        <v/>
      </c>
      <c r="J289">
        <f>IF(Wizards!$A$8="","",IF(OR(ISNUMBER(SEARCH(", "&amp;$B289&amp;", ", ", "&amp;INDEX('Form Responses'!$I$1:$Q$200,8,$A289)&amp;", ")),ISNUMBER(SEARCH(", "&amp;$B289&amp;", ", ", "&amp;INDEX('Form Responses'!$R$1:$R$200,8)&amp;", "))),1,""))</f>
        <v/>
      </c>
      <c r="K289">
        <f>IF(Wizards!$A$9="","",IF(OR(ISNUMBER(SEARCH(", "&amp;$B289&amp;", ", ", "&amp;INDEX('Form Responses'!$I$1:$Q$200,9,$A289)&amp;", ")),ISNUMBER(SEARCH(", "&amp;$B289&amp;", ", ", "&amp;INDEX('Form Responses'!$R$1:$R$200,9)&amp;", "))),1,""))</f>
        <v/>
      </c>
      <c r="L289">
        <f>IF(Wizards!$A$10="","",IF(OR(ISNUMBER(SEARCH(", "&amp;$B289&amp;", ", ", "&amp;INDEX('Form Responses'!$I$1:$Q$200,10,$A289)&amp;", ")),ISNUMBER(SEARCH(", "&amp;$B289&amp;", ", ", "&amp;INDEX('Form Responses'!$R$1:$R$200,10)&amp;", "))),1,""))</f>
        <v/>
      </c>
      <c r="M289">
        <f>IF(Wizards!$A$11="","",IF(OR(ISNUMBER(SEARCH(", "&amp;$B289&amp;", ", ", "&amp;INDEX('Form Responses'!$I$1:$Q$200,11,$A289)&amp;", ")),ISNUMBER(SEARCH(", "&amp;$B289&amp;", ", ", "&amp;INDEX('Form Responses'!$R$1:$R$200,11)&amp;", "))),1,""))</f>
        <v/>
      </c>
      <c r="N289">
        <f>IF(Wizards!$A$12="","",IF(OR(ISNUMBER(SEARCH(", "&amp;$B289&amp;", ", ", "&amp;INDEX('Form Responses'!$I$1:$Q$200,12,$A289)&amp;", ")),ISNUMBER(SEARCH(", "&amp;$B289&amp;", ", ", "&amp;INDEX('Form Responses'!$R$1:$R$200,12)&amp;", "))),1,""))</f>
        <v/>
      </c>
      <c r="O289">
        <f>IF(Wizards!$A$13="","",IF(OR(ISNUMBER(SEARCH(", "&amp;$B289&amp;", ", ", "&amp;INDEX('Form Responses'!$I$1:$Q$200,13,$A289)&amp;", ")),ISNUMBER(SEARCH(", "&amp;$B289&amp;", ", ", "&amp;INDEX('Form Responses'!$R$1:$R$200,13)&amp;", "))),1,""))</f>
        <v/>
      </c>
      <c r="P289">
        <f>IF(Wizards!$A$14="","",IF(OR(ISNUMBER(SEARCH(", "&amp;$B289&amp;", ", ", "&amp;INDEX('Form Responses'!$I$1:$Q$200,14,$A289)&amp;", ")),ISNUMBER(SEARCH(", "&amp;$B289&amp;", ", ", "&amp;INDEX('Form Responses'!$R$1:$R$200,14)&amp;", "))),1,""))</f>
        <v/>
      </c>
      <c r="Q289">
        <f>IF(Wizards!$A$15="","",IF(OR(ISNUMBER(SEARCH(", "&amp;$B289&amp;", ", ", "&amp;INDEX('Form Responses'!$I$1:$Q$200,15,$A289)&amp;", ")),ISNUMBER(SEARCH(", "&amp;$B289&amp;", ", ", "&amp;INDEX('Form Responses'!$R$1:$R$200,15)&amp;", "))),1,""))</f>
        <v/>
      </c>
      <c r="R289">
        <f>IF(Wizards!$A$16="","",IF(OR(ISNUMBER(SEARCH(", "&amp;$B289&amp;", ", ", "&amp;INDEX('Form Responses'!$I$1:$Q$200,16,$A289)&amp;", ")),ISNUMBER(SEARCH(", "&amp;$B289&amp;", ", ", "&amp;INDEX('Form Responses'!$R$1:$R$200,16)&amp;", "))),1,""))</f>
        <v/>
      </c>
      <c r="S289">
        <f>IF(Wizards!$A$17="","",IF(OR(ISNUMBER(SEARCH(", "&amp;$B289&amp;", ", ", "&amp;INDEX('Form Responses'!$I$1:$Q$200,17,$A289)&amp;", ")),ISNUMBER(SEARCH(", "&amp;$B289&amp;", ", ", "&amp;INDEX('Form Responses'!$R$1:$R$200,17)&amp;", "))),1,""))</f>
        <v/>
      </c>
      <c r="T289">
        <f>IF(Wizards!$A$18="","",IF(OR(ISNUMBER(SEARCH(", "&amp;$B289&amp;", ", ", "&amp;INDEX('Form Responses'!$I$1:$Q$200,18,$A289)&amp;", ")),ISNUMBER(SEARCH(", "&amp;$B289&amp;", ", ", "&amp;INDEX('Form Responses'!$R$1:$R$200,18)&amp;", "))),1,""))</f>
        <v/>
      </c>
      <c r="U289">
        <f>IF(Wizards!$A$19="","",IF(OR(ISNUMBER(SEARCH(", "&amp;$B289&amp;", ", ", "&amp;INDEX('Form Responses'!$I$1:$Q$200,19,$A289)&amp;", ")),ISNUMBER(SEARCH(", "&amp;$B289&amp;", ", ", "&amp;INDEX('Form Responses'!$R$1:$R$200,19)&amp;", "))),1,""))</f>
        <v/>
      </c>
      <c r="V289">
        <f>IF(Wizards!$A$20="","",IF(OR(ISNUMBER(SEARCH(", "&amp;$B289&amp;", ", ", "&amp;INDEX('Form Responses'!$I$1:$Q$200,20,$A289)&amp;", ")),ISNUMBER(SEARCH(", "&amp;$B289&amp;", ", ", "&amp;INDEX('Form Responses'!$R$1:$R$200,20)&amp;", "))),1,""))</f>
        <v/>
      </c>
      <c r="W289">
        <f>IF(Wizards!$A$21="","",IF(OR(ISNUMBER(SEARCH(", "&amp;$B289&amp;", ", ", "&amp;INDEX('Form Responses'!$I$1:$Q$200,21,$A289)&amp;", ")),ISNUMBER(SEARCH(", "&amp;$B289&amp;", ", ", "&amp;INDEX('Form Responses'!$R$1:$R$200,21)&amp;", "))),1,""))</f>
        <v/>
      </c>
      <c r="X289">
        <f>IF(Wizards!$A$22="","",IF(OR(ISNUMBER(SEARCH(", "&amp;$B289&amp;", ", ", "&amp;INDEX('Form Responses'!$I$1:$Q$200,22,$A289)&amp;", ")),ISNUMBER(SEARCH(", "&amp;$B289&amp;", ", ", "&amp;INDEX('Form Responses'!$R$1:$R$200,22)&amp;", "))),1,""))</f>
        <v/>
      </c>
      <c r="Y289">
        <f>IF(Wizards!$A$23="","",IF(OR(ISNUMBER(SEARCH(", "&amp;$B289&amp;", ", ", "&amp;INDEX('Form Responses'!$I$1:$Q$200,23,$A289)&amp;", ")),ISNUMBER(SEARCH(", "&amp;$B289&amp;", ", ", "&amp;INDEX('Form Responses'!$R$1:$R$200,23)&amp;", "))),1,""))</f>
        <v/>
      </c>
      <c r="Z289">
        <f>IF(Wizards!$A$24="","",IF(OR(ISNUMBER(SEARCH(", "&amp;$B289&amp;", ", ", "&amp;INDEX('Form Responses'!$I$1:$Q$200,24,$A289)&amp;", ")),ISNUMBER(SEARCH(", "&amp;$B289&amp;", ", ", "&amp;INDEX('Form Responses'!$R$1:$R$200,24)&amp;", "))),1,""))</f>
        <v/>
      </c>
      <c r="AA289">
        <f>IF(Wizards!$A$25="","",IF(OR(ISNUMBER(SEARCH(", "&amp;$B289&amp;", ", ", "&amp;INDEX('Form Responses'!$I$1:$Q$200,25,$A289)&amp;", ")),ISNUMBER(SEARCH(", "&amp;$B289&amp;", ", ", "&amp;INDEX('Form Responses'!$R$1:$R$200,25)&amp;", "))),1,""))</f>
        <v/>
      </c>
      <c r="AB289">
        <f>IF(D289=1,", "&amp;D$1,"")</f>
        <v/>
      </c>
      <c r="AC289">
        <f>IF(E289=1,", "&amp;E$1,"")</f>
        <v/>
      </c>
      <c r="AD289">
        <f>IF(F289=1,", "&amp;F$1,"")</f>
        <v/>
      </c>
      <c r="AE289">
        <f>IF(G289=1,", "&amp;G$1,"")</f>
        <v/>
      </c>
      <c r="AF289">
        <f>IF(H289=1,", "&amp;H$1,"")</f>
        <v/>
      </c>
      <c r="AG289">
        <f>IF(I289=1,", "&amp;I$1,"")</f>
        <v/>
      </c>
      <c r="AH289">
        <f>IF(J289=1,", "&amp;J$1,"")</f>
        <v/>
      </c>
      <c r="AI289">
        <f>IF(K289=1,", "&amp;K$1,"")</f>
        <v/>
      </c>
      <c r="AJ289">
        <f>IF(L289=1,", "&amp;L$1,"")</f>
        <v/>
      </c>
      <c r="AK289">
        <f>IF(M289=1,", "&amp;M$1,"")</f>
        <v/>
      </c>
      <c r="AL289">
        <f>IF(N289=1,", "&amp;N$1,"")</f>
        <v/>
      </c>
      <c r="AM289">
        <f>IF(O289=1,", "&amp;O$1,"")</f>
        <v/>
      </c>
      <c r="AN289">
        <f>IF(P289=1,", "&amp;P$1,"")</f>
        <v/>
      </c>
      <c r="AO289">
        <f>IF(Q289=1,", "&amp;Q$1,"")</f>
        <v/>
      </c>
      <c r="AP289">
        <f>IF(R289=1,", "&amp;R$1,"")</f>
        <v/>
      </c>
      <c r="AQ289">
        <f>IF(S289=1,", "&amp;S$1,"")</f>
        <v/>
      </c>
      <c r="AR289">
        <f>IF(T289=1,", "&amp;T$1,"")</f>
        <v/>
      </c>
      <c r="AS289">
        <f>IF(U289=1,", "&amp;U$1,"")</f>
        <v/>
      </c>
      <c r="AT289">
        <f>IF(V289=1,", "&amp;V$1,"")</f>
        <v/>
      </c>
      <c r="AU289">
        <f>IF(W289=1,", "&amp;W$1,"")</f>
        <v/>
      </c>
      <c r="AV289">
        <f>IF(X289=1,", "&amp;X$1,"")</f>
        <v/>
      </c>
      <c r="AW289">
        <f>IF(Y289=1,", "&amp;Y$1,"")</f>
        <v/>
      </c>
      <c r="AX289">
        <f>IF(Z289=1,", "&amp;Z$1,"")</f>
        <v/>
      </c>
      <c r="AY289">
        <f>IF(AA289=1,", "&amp;AA$1,"")</f>
        <v/>
      </c>
      <c r="AZ289">
        <f>MID($AB289&amp;$AC289&amp;$AD289&amp;$AE289&amp;$AF289&amp;$AG289&amp;$AH289&amp;$AI289&amp;$AJ289&amp;$AK289&amp;$AL289&amp;$AM289&amp;$AN289&amp;$AO289&amp;$AP289&amp;$AQ289&amp;$AR289&amp;$AS289&amp;$AT289&amp;$AU289&amp;$AV289&amp;$AW289&amp;$AX289&amp;$AY289,3,32767)</f>
        <v/>
      </c>
      <c r="BA289">
        <f>COUNT($D289:$AA289)</f>
        <v/>
      </c>
    </row>
    <row r="290">
      <c r="A290" t="n">
        <v>7</v>
      </c>
      <c r="B290" t="inlineStr">
        <is>
          <t>Etherealness</t>
        </is>
      </c>
      <c r="C290" t="inlineStr">
        <is>
          <t>Conjuration</t>
        </is>
      </c>
      <c r="D290">
        <f>IF(Wizards!$A$2="","",IF(OR(ISNUMBER(SEARCH(", "&amp;$B290&amp;", ", ", "&amp;INDEX('Form Responses'!$I$1:$Q$200,2,$A290)&amp;", ")),ISNUMBER(SEARCH(", "&amp;$B290&amp;", ", ", "&amp;INDEX('Form Responses'!$R$1:$R$200,2)&amp;", "))),1,""))</f>
        <v/>
      </c>
      <c r="E290">
        <f>IF(Wizards!$A$3="","",IF(OR(ISNUMBER(SEARCH(", "&amp;$B290&amp;", ", ", "&amp;INDEX('Form Responses'!$I$1:$Q$200,3,$A290)&amp;", ")),ISNUMBER(SEARCH(", "&amp;$B290&amp;", ", ", "&amp;INDEX('Form Responses'!$R$1:$R$200,3)&amp;", "))),1,""))</f>
        <v/>
      </c>
      <c r="F290">
        <f>IF(Wizards!$A$4="","",IF(OR(ISNUMBER(SEARCH(", "&amp;$B290&amp;", ", ", "&amp;INDEX('Form Responses'!$I$1:$Q$200,4,$A290)&amp;", ")),ISNUMBER(SEARCH(", "&amp;$B290&amp;", ", ", "&amp;INDEX('Form Responses'!$R$1:$R$200,4)&amp;", "))),1,""))</f>
        <v/>
      </c>
      <c r="G290">
        <f>IF(Wizards!$A$5="","",IF(OR(ISNUMBER(SEARCH(", "&amp;$B290&amp;", ", ", "&amp;INDEX('Form Responses'!$I$1:$Q$200,5,$A290)&amp;", ")),ISNUMBER(SEARCH(", "&amp;$B290&amp;", ", ", "&amp;INDEX('Form Responses'!$R$1:$R$200,5)&amp;", "))),1,""))</f>
        <v/>
      </c>
      <c r="H290">
        <f>IF(Wizards!$A$6="","",IF(OR(ISNUMBER(SEARCH(", "&amp;$B290&amp;", ", ", "&amp;INDEX('Form Responses'!$I$1:$Q$200,6,$A290)&amp;", ")),ISNUMBER(SEARCH(", "&amp;$B290&amp;", ", ", "&amp;INDEX('Form Responses'!$R$1:$R$200,6)&amp;", "))),1,""))</f>
        <v/>
      </c>
      <c r="I290">
        <f>IF(Wizards!$A$7="","",IF(OR(ISNUMBER(SEARCH(", "&amp;$B290&amp;", ", ", "&amp;INDEX('Form Responses'!$I$1:$Q$200,7,$A290)&amp;", ")),ISNUMBER(SEARCH(", "&amp;$B290&amp;", ", ", "&amp;INDEX('Form Responses'!$R$1:$R$200,7)&amp;", "))),1,""))</f>
        <v/>
      </c>
      <c r="J290">
        <f>IF(Wizards!$A$8="","",IF(OR(ISNUMBER(SEARCH(", "&amp;$B290&amp;", ", ", "&amp;INDEX('Form Responses'!$I$1:$Q$200,8,$A290)&amp;", ")),ISNUMBER(SEARCH(", "&amp;$B290&amp;", ", ", "&amp;INDEX('Form Responses'!$R$1:$R$200,8)&amp;", "))),1,""))</f>
        <v/>
      </c>
      <c r="K290">
        <f>IF(Wizards!$A$9="","",IF(OR(ISNUMBER(SEARCH(", "&amp;$B290&amp;", ", ", "&amp;INDEX('Form Responses'!$I$1:$Q$200,9,$A290)&amp;", ")),ISNUMBER(SEARCH(", "&amp;$B290&amp;", ", ", "&amp;INDEX('Form Responses'!$R$1:$R$200,9)&amp;", "))),1,""))</f>
        <v/>
      </c>
      <c r="L290">
        <f>IF(Wizards!$A$10="","",IF(OR(ISNUMBER(SEARCH(", "&amp;$B290&amp;", ", ", "&amp;INDEX('Form Responses'!$I$1:$Q$200,10,$A290)&amp;", ")),ISNUMBER(SEARCH(", "&amp;$B290&amp;", ", ", "&amp;INDEX('Form Responses'!$R$1:$R$200,10)&amp;", "))),1,""))</f>
        <v/>
      </c>
      <c r="M290">
        <f>IF(Wizards!$A$11="","",IF(OR(ISNUMBER(SEARCH(", "&amp;$B290&amp;", ", ", "&amp;INDEX('Form Responses'!$I$1:$Q$200,11,$A290)&amp;", ")),ISNUMBER(SEARCH(", "&amp;$B290&amp;", ", ", "&amp;INDEX('Form Responses'!$R$1:$R$200,11)&amp;", "))),1,""))</f>
        <v/>
      </c>
      <c r="N290">
        <f>IF(Wizards!$A$12="","",IF(OR(ISNUMBER(SEARCH(", "&amp;$B290&amp;", ", ", "&amp;INDEX('Form Responses'!$I$1:$Q$200,12,$A290)&amp;", ")),ISNUMBER(SEARCH(", "&amp;$B290&amp;", ", ", "&amp;INDEX('Form Responses'!$R$1:$R$200,12)&amp;", "))),1,""))</f>
        <v/>
      </c>
      <c r="O290">
        <f>IF(Wizards!$A$13="","",IF(OR(ISNUMBER(SEARCH(", "&amp;$B290&amp;", ", ", "&amp;INDEX('Form Responses'!$I$1:$Q$200,13,$A290)&amp;", ")),ISNUMBER(SEARCH(", "&amp;$B290&amp;", ", ", "&amp;INDEX('Form Responses'!$R$1:$R$200,13)&amp;", "))),1,""))</f>
        <v/>
      </c>
      <c r="P290">
        <f>IF(Wizards!$A$14="","",IF(OR(ISNUMBER(SEARCH(", "&amp;$B290&amp;", ", ", "&amp;INDEX('Form Responses'!$I$1:$Q$200,14,$A290)&amp;", ")),ISNUMBER(SEARCH(", "&amp;$B290&amp;", ", ", "&amp;INDEX('Form Responses'!$R$1:$R$200,14)&amp;", "))),1,""))</f>
        <v/>
      </c>
      <c r="Q290">
        <f>IF(Wizards!$A$15="","",IF(OR(ISNUMBER(SEARCH(", "&amp;$B290&amp;", ", ", "&amp;INDEX('Form Responses'!$I$1:$Q$200,15,$A290)&amp;", ")),ISNUMBER(SEARCH(", "&amp;$B290&amp;", ", ", "&amp;INDEX('Form Responses'!$R$1:$R$200,15)&amp;", "))),1,""))</f>
        <v/>
      </c>
      <c r="R290">
        <f>IF(Wizards!$A$16="","",IF(OR(ISNUMBER(SEARCH(", "&amp;$B290&amp;", ", ", "&amp;INDEX('Form Responses'!$I$1:$Q$200,16,$A290)&amp;", ")),ISNUMBER(SEARCH(", "&amp;$B290&amp;", ", ", "&amp;INDEX('Form Responses'!$R$1:$R$200,16)&amp;", "))),1,""))</f>
        <v/>
      </c>
      <c r="S290">
        <f>IF(Wizards!$A$17="","",IF(OR(ISNUMBER(SEARCH(", "&amp;$B290&amp;", ", ", "&amp;INDEX('Form Responses'!$I$1:$Q$200,17,$A290)&amp;", ")),ISNUMBER(SEARCH(", "&amp;$B290&amp;", ", ", "&amp;INDEX('Form Responses'!$R$1:$R$200,17)&amp;", "))),1,""))</f>
        <v/>
      </c>
      <c r="T290">
        <f>IF(Wizards!$A$18="","",IF(OR(ISNUMBER(SEARCH(", "&amp;$B290&amp;", ", ", "&amp;INDEX('Form Responses'!$I$1:$Q$200,18,$A290)&amp;", ")),ISNUMBER(SEARCH(", "&amp;$B290&amp;", ", ", "&amp;INDEX('Form Responses'!$R$1:$R$200,18)&amp;", "))),1,""))</f>
        <v/>
      </c>
      <c r="U290">
        <f>IF(Wizards!$A$19="","",IF(OR(ISNUMBER(SEARCH(", "&amp;$B290&amp;", ", ", "&amp;INDEX('Form Responses'!$I$1:$Q$200,19,$A290)&amp;", ")),ISNUMBER(SEARCH(", "&amp;$B290&amp;", ", ", "&amp;INDEX('Form Responses'!$R$1:$R$200,19)&amp;", "))),1,""))</f>
        <v/>
      </c>
      <c r="V290">
        <f>IF(Wizards!$A$20="","",IF(OR(ISNUMBER(SEARCH(", "&amp;$B290&amp;", ", ", "&amp;INDEX('Form Responses'!$I$1:$Q$200,20,$A290)&amp;", ")),ISNUMBER(SEARCH(", "&amp;$B290&amp;", ", ", "&amp;INDEX('Form Responses'!$R$1:$R$200,20)&amp;", "))),1,""))</f>
        <v/>
      </c>
      <c r="W290">
        <f>IF(Wizards!$A$21="","",IF(OR(ISNUMBER(SEARCH(", "&amp;$B290&amp;", ", ", "&amp;INDEX('Form Responses'!$I$1:$Q$200,21,$A290)&amp;", ")),ISNUMBER(SEARCH(", "&amp;$B290&amp;", ", ", "&amp;INDEX('Form Responses'!$R$1:$R$200,21)&amp;", "))),1,""))</f>
        <v/>
      </c>
      <c r="X290">
        <f>IF(Wizards!$A$22="","",IF(OR(ISNUMBER(SEARCH(", "&amp;$B290&amp;", ", ", "&amp;INDEX('Form Responses'!$I$1:$Q$200,22,$A290)&amp;", ")),ISNUMBER(SEARCH(", "&amp;$B290&amp;", ", ", "&amp;INDEX('Form Responses'!$R$1:$R$200,22)&amp;", "))),1,""))</f>
        <v/>
      </c>
      <c r="Y290">
        <f>IF(Wizards!$A$23="","",IF(OR(ISNUMBER(SEARCH(", "&amp;$B290&amp;", ", ", "&amp;INDEX('Form Responses'!$I$1:$Q$200,23,$A290)&amp;", ")),ISNUMBER(SEARCH(", "&amp;$B290&amp;", ", ", "&amp;INDEX('Form Responses'!$R$1:$R$200,23)&amp;", "))),1,""))</f>
        <v/>
      </c>
      <c r="Z290">
        <f>IF(Wizards!$A$24="","",IF(OR(ISNUMBER(SEARCH(", "&amp;$B290&amp;", ", ", "&amp;INDEX('Form Responses'!$I$1:$Q$200,24,$A290)&amp;", ")),ISNUMBER(SEARCH(", "&amp;$B290&amp;", ", ", "&amp;INDEX('Form Responses'!$R$1:$R$200,24)&amp;", "))),1,""))</f>
        <v/>
      </c>
      <c r="AA290">
        <f>IF(Wizards!$A$25="","",IF(OR(ISNUMBER(SEARCH(", "&amp;$B290&amp;", ", ", "&amp;INDEX('Form Responses'!$I$1:$Q$200,25,$A290)&amp;", ")),ISNUMBER(SEARCH(", "&amp;$B290&amp;", ", ", "&amp;INDEX('Form Responses'!$R$1:$R$200,25)&amp;", "))),1,""))</f>
        <v/>
      </c>
      <c r="AB290">
        <f>IF(D290=1,", "&amp;D$1,"")</f>
        <v/>
      </c>
      <c r="AC290">
        <f>IF(E290=1,", "&amp;E$1,"")</f>
        <v/>
      </c>
      <c r="AD290">
        <f>IF(F290=1,", "&amp;F$1,"")</f>
        <v/>
      </c>
      <c r="AE290">
        <f>IF(G290=1,", "&amp;G$1,"")</f>
        <v/>
      </c>
      <c r="AF290">
        <f>IF(H290=1,", "&amp;H$1,"")</f>
        <v/>
      </c>
      <c r="AG290">
        <f>IF(I290=1,", "&amp;I$1,"")</f>
        <v/>
      </c>
      <c r="AH290">
        <f>IF(J290=1,", "&amp;J$1,"")</f>
        <v/>
      </c>
      <c r="AI290">
        <f>IF(K290=1,", "&amp;K$1,"")</f>
        <v/>
      </c>
      <c r="AJ290">
        <f>IF(L290=1,", "&amp;L$1,"")</f>
        <v/>
      </c>
      <c r="AK290">
        <f>IF(M290=1,", "&amp;M$1,"")</f>
        <v/>
      </c>
      <c r="AL290">
        <f>IF(N290=1,", "&amp;N$1,"")</f>
        <v/>
      </c>
      <c r="AM290">
        <f>IF(O290=1,", "&amp;O$1,"")</f>
        <v/>
      </c>
      <c r="AN290">
        <f>IF(P290=1,", "&amp;P$1,"")</f>
        <v/>
      </c>
      <c r="AO290">
        <f>IF(Q290=1,", "&amp;Q$1,"")</f>
        <v/>
      </c>
      <c r="AP290">
        <f>IF(R290=1,", "&amp;R$1,"")</f>
        <v/>
      </c>
      <c r="AQ290">
        <f>IF(S290=1,", "&amp;S$1,"")</f>
        <v/>
      </c>
      <c r="AR290">
        <f>IF(T290=1,", "&amp;T$1,"")</f>
        <v/>
      </c>
      <c r="AS290">
        <f>IF(U290=1,", "&amp;U$1,"")</f>
        <v/>
      </c>
      <c r="AT290">
        <f>IF(V290=1,", "&amp;V$1,"")</f>
        <v/>
      </c>
      <c r="AU290">
        <f>IF(W290=1,", "&amp;W$1,"")</f>
        <v/>
      </c>
      <c r="AV290">
        <f>IF(X290=1,", "&amp;X$1,"")</f>
        <v/>
      </c>
      <c r="AW290">
        <f>IF(Y290=1,", "&amp;Y$1,"")</f>
        <v/>
      </c>
      <c r="AX290">
        <f>IF(Z290=1,", "&amp;Z$1,"")</f>
        <v/>
      </c>
      <c r="AY290">
        <f>IF(AA290=1,", "&amp;AA$1,"")</f>
        <v/>
      </c>
      <c r="AZ290">
        <f>MID($AB290&amp;$AC290&amp;$AD290&amp;$AE290&amp;$AF290&amp;$AG290&amp;$AH290&amp;$AI290&amp;$AJ290&amp;$AK290&amp;$AL290&amp;$AM290&amp;$AN290&amp;$AO290&amp;$AP290&amp;$AQ290&amp;$AR290&amp;$AS290&amp;$AT290&amp;$AU290&amp;$AV290&amp;$AW290&amp;$AX290&amp;$AY290,3,32767)</f>
        <v/>
      </c>
      <c r="BA290">
        <f>COUNT($D290:$AA290)</f>
        <v/>
      </c>
    </row>
    <row r="291">
      <c r="A291" t="n">
        <v>7</v>
      </c>
      <c r="B291" t="inlineStr">
        <is>
          <t>Finger of Death</t>
        </is>
      </c>
      <c r="C291" t="inlineStr">
        <is>
          <t>Necromancy</t>
        </is>
      </c>
      <c r="D291">
        <f>IF(Wizards!$A$2="","",IF(OR(ISNUMBER(SEARCH(", "&amp;$B291&amp;", ", ", "&amp;INDEX('Form Responses'!$I$1:$Q$200,2,$A291)&amp;", ")),ISNUMBER(SEARCH(", "&amp;$B291&amp;", ", ", "&amp;INDEX('Form Responses'!$R$1:$R$200,2)&amp;", "))),1,""))</f>
        <v/>
      </c>
      <c r="E291">
        <f>IF(Wizards!$A$3="","",IF(OR(ISNUMBER(SEARCH(", "&amp;$B291&amp;", ", ", "&amp;INDEX('Form Responses'!$I$1:$Q$200,3,$A291)&amp;", ")),ISNUMBER(SEARCH(", "&amp;$B291&amp;", ", ", "&amp;INDEX('Form Responses'!$R$1:$R$200,3)&amp;", "))),1,""))</f>
        <v/>
      </c>
      <c r="F291">
        <f>IF(Wizards!$A$4="","",IF(OR(ISNUMBER(SEARCH(", "&amp;$B291&amp;", ", ", "&amp;INDEX('Form Responses'!$I$1:$Q$200,4,$A291)&amp;", ")),ISNUMBER(SEARCH(", "&amp;$B291&amp;", ", ", "&amp;INDEX('Form Responses'!$R$1:$R$200,4)&amp;", "))),1,""))</f>
        <v/>
      </c>
      <c r="G291">
        <f>IF(Wizards!$A$5="","",IF(OR(ISNUMBER(SEARCH(", "&amp;$B291&amp;", ", ", "&amp;INDEX('Form Responses'!$I$1:$Q$200,5,$A291)&amp;", ")),ISNUMBER(SEARCH(", "&amp;$B291&amp;", ", ", "&amp;INDEX('Form Responses'!$R$1:$R$200,5)&amp;", "))),1,""))</f>
        <v/>
      </c>
      <c r="H291">
        <f>IF(Wizards!$A$6="","",IF(OR(ISNUMBER(SEARCH(", "&amp;$B291&amp;", ", ", "&amp;INDEX('Form Responses'!$I$1:$Q$200,6,$A291)&amp;", ")),ISNUMBER(SEARCH(", "&amp;$B291&amp;", ", ", "&amp;INDEX('Form Responses'!$R$1:$R$200,6)&amp;", "))),1,""))</f>
        <v/>
      </c>
      <c r="I291">
        <f>IF(Wizards!$A$7="","",IF(OR(ISNUMBER(SEARCH(", "&amp;$B291&amp;", ", ", "&amp;INDEX('Form Responses'!$I$1:$Q$200,7,$A291)&amp;", ")),ISNUMBER(SEARCH(", "&amp;$B291&amp;", ", ", "&amp;INDEX('Form Responses'!$R$1:$R$200,7)&amp;", "))),1,""))</f>
        <v/>
      </c>
      <c r="J291">
        <f>IF(Wizards!$A$8="","",IF(OR(ISNUMBER(SEARCH(", "&amp;$B291&amp;", ", ", "&amp;INDEX('Form Responses'!$I$1:$Q$200,8,$A291)&amp;", ")),ISNUMBER(SEARCH(", "&amp;$B291&amp;", ", ", "&amp;INDEX('Form Responses'!$R$1:$R$200,8)&amp;", "))),1,""))</f>
        <v/>
      </c>
      <c r="K291">
        <f>IF(Wizards!$A$9="","",IF(OR(ISNUMBER(SEARCH(", "&amp;$B291&amp;", ", ", "&amp;INDEX('Form Responses'!$I$1:$Q$200,9,$A291)&amp;", ")),ISNUMBER(SEARCH(", "&amp;$B291&amp;", ", ", "&amp;INDEX('Form Responses'!$R$1:$R$200,9)&amp;", "))),1,""))</f>
        <v/>
      </c>
      <c r="L291">
        <f>IF(Wizards!$A$10="","",IF(OR(ISNUMBER(SEARCH(", "&amp;$B291&amp;", ", ", "&amp;INDEX('Form Responses'!$I$1:$Q$200,10,$A291)&amp;", ")),ISNUMBER(SEARCH(", "&amp;$B291&amp;", ", ", "&amp;INDEX('Form Responses'!$R$1:$R$200,10)&amp;", "))),1,""))</f>
        <v/>
      </c>
      <c r="M291">
        <f>IF(Wizards!$A$11="","",IF(OR(ISNUMBER(SEARCH(", "&amp;$B291&amp;", ", ", "&amp;INDEX('Form Responses'!$I$1:$Q$200,11,$A291)&amp;", ")),ISNUMBER(SEARCH(", "&amp;$B291&amp;", ", ", "&amp;INDEX('Form Responses'!$R$1:$R$200,11)&amp;", "))),1,""))</f>
        <v/>
      </c>
      <c r="N291">
        <f>IF(Wizards!$A$12="","",IF(OR(ISNUMBER(SEARCH(", "&amp;$B291&amp;", ", ", "&amp;INDEX('Form Responses'!$I$1:$Q$200,12,$A291)&amp;", ")),ISNUMBER(SEARCH(", "&amp;$B291&amp;", ", ", "&amp;INDEX('Form Responses'!$R$1:$R$200,12)&amp;", "))),1,""))</f>
        <v/>
      </c>
      <c r="O291">
        <f>IF(Wizards!$A$13="","",IF(OR(ISNUMBER(SEARCH(", "&amp;$B291&amp;", ", ", "&amp;INDEX('Form Responses'!$I$1:$Q$200,13,$A291)&amp;", ")),ISNUMBER(SEARCH(", "&amp;$B291&amp;", ", ", "&amp;INDEX('Form Responses'!$R$1:$R$200,13)&amp;", "))),1,""))</f>
        <v/>
      </c>
      <c r="P291">
        <f>IF(Wizards!$A$14="","",IF(OR(ISNUMBER(SEARCH(", "&amp;$B291&amp;", ", ", "&amp;INDEX('Form Responses'!$I$1:$Q$200,14,$A291)&amp;", ")),ISNUMBER(SEARCH(", "&amp;$B291&amp;", ", ", "&amp;INDEX('Form Responses'!$R$1:$R$200,14)&amp;", "))),1,""))</f>
        <v/>
      </c>
      <c r="Q291">
        <f>IF(Wizards!$A$15="","",IF(OR(ISNUMBER(SEARCH(", "&amp;$B291&amp;", ", ", "&amp;INDEX('Form Responses'!$I$1:$Q$200,15,$A291)&amp;", ")),ISNUMBER(SEARCH(", "&amp;$B291&amp;", ", ", "&amp;INDEX('Form Responses'!$R$1:$R$200,15)&amp;", "))),1,""))</f>
        <v/>
      </c>
      <c r="R291">
        <f>IF(Wizards!$A$16="","",IF(OR(ISNUMBER(SEARCH(", "&amp;$B291&amp;", ", ", "&amp;INDEX('Form Responses'!$I$1:$Q$200,16,$A291)&amp;", ")),ISNUMBER(SEARCH(", "&amp;$B291&amp;", ", ", "&amp;INDEX('Form Responses'!$R$1:$R$200,16)&amp;", "))),1,""))</f>
        <v/>
      </c>
      <c r="S291">
        <f>IF(Wizards!$A$17="","",IF(OR(ISNUMBER(SEARCH(", "&amp;$B291&amp;", ", ", "&amp;INDEX('Form Responses'!$I$1:$Q$200,17,$A291)&amp;", ")),ISNUMBER(SEARCH(", "&amp;$B291&amp;", ", ", "&amp;INDEX('Form Responses'!$R$1:$R$200,17)&amp;", "))),1,""))</f>
        <v/>
      </c>
      <c r="T291">
        <f>IF(Wizards!$A$18="","",IF(OR(ISNUMBER(SEARCH(", "&amp;$B291&amp;", ", ", "&amp;INDEX('Form Responses'!$I$1:$Q$200,18,$A291)&amp;", ")),ISNUMBER(SEARCH(", "&amp;$B291&amp;", ", ", "&amp;INDEX('Form Responses'!$R$1:$R$200,18)&amp;", "))),1,""))</f>
        <v/>
      </c>
      <c r="U291">
        <f>IF(Wizards!$A$19="","",IF(OR(ISNUMBER(SEARCH(", "&amp;$B291&amp;", ", ", "&amp;INDEX('Form Responses'!$I$1:$Q$200,19,$A291)&amp;", ")),ISNUMBER(SEARCH(", "&amp;$B291&amp;", ", ", "&amp;INDEX('Form Responses'!$R$1:$R$200,19)&amp;", "))),1,""))</f>
        <v/>
      </c>
      <c r="V291">
        <f>IF(Wizards!$A$20="","",IF(OR(ISNUMBER(SEARCH(", "&amp;$B291&amp;", ", ", "&amp;INDEX('Form Responses'!$I$1:$Q$200,20,$A291)&amp;", ")),ISNUMBER(SEARCH(", "&amp;$B291&amp;", ", ", "&amp;INDEX('Form Responses'!$R$1:$R$200,20)&amp;", "))),1,""))</f>
        <v/>
      </c>
      <c r="W291">
        <f>IF(Wizards!$A$21="","",IF(OR(ISNUMBER(SEARCH(", "&amp;$B291&amp;", ", ", "&amp;INDEX('Form Responses'!$I$1:$Q$200,21,$A291)&amp;", ")),ISNUMBER(SEARCH(", "&amp;$B291&amp;", ", ", "&amp;INDEX('Form Responses'!$R$1:$R$200,21)&amp;", "))),1,""))</f>
        <v/>
      </c>
      <c r="X291">
        <f>IF(Wizards!$A$22="","",IF(OR(ISNUMBER(SEARCH(", "&amp;$B291&amp;", ", ", "&amp;INDEX('Form Responses'!$I$1:$Q$200,22,$A291)&amp;", ")),ISNUMBER(SEARCH(", "&amp;$B291&amp;", ", ", "&amp;INDEX('Form Responses'!$R$1:$R$200,22)&amp;", "))),1,""))</f>
        <v/>
      </c>
      <c r="Y291">
        <f>IF(Wizards!$A$23="","",IF(OR(ISNUMBER(SEARCH(", "&amp;$B291&amp;", ", ", "&amp;INDEX('Form Responses'!$I$1:$Q$200,23,$A291)&amp;", ")),ISNUMBER(SEARCH(", "&amp;$B291&amp;", ", ", "&amp;INDEX('Form Responses'!$R$1:$R$200,23)&amp;", "))),1,""))</f>
        <v/>
      </c>
      <c r="Z291">
        <f>IF(Wizards!$A$24="","",IF(OR(ISNUMBER(SEARCH(", "&amp;$B291&amp;", ", ", "&amp;INDEX('Form Responses'!$I$1:$Q$200,24,$A291)&amp;", ")),ISNUMBER(SEARCH(", "&amp;$B291&amp;", ", ", "&amp;INDEX('Form Responses'!$R$1:$R$200,24)&amp;", "))),1,""))</f>
        <v/>
      </c>
      <c r="AA291">
        <f>IF(Wizards!$A$25="","",IF(OR(ISNUMBER(SEARCH(", "&amp;$B291&amp;", ", ", "&amp;INDEX('Form Responses'!$I$1:$Q$200,25,$A291)&amp;", ")),ISNUMBER(SEARCH(", "&amp;$B291&amp;", ", ", "&amp;INDEX('Form Responses'!$R$1:$R$200,25)&amp;", "))),1,""))</f>
        <v/>
      </c>
      <c r="AB291">
        <f>IF(D291=1,", "&amp;D$1,"")</f>
        <v/>
      </c>
      <c r="AC291">
        <f>IF(E291=1,", "&amp;E$1,"")</f>
        <v/>
      </c>
      <c r="AD291">
        <f>IF(F291=1,", "&amp;F$1,"")</f>
        <v/>
      </c>
      <c r="AE291">
        <f>IF(G291=1,", "&amp;G$1,"")</f>
        <v/>
      </c>
      <c r="AF291">
        <f>IF(H291=1,", "&amp;H$1,"")</f>
        <v/>
      </c>
      <c r="AG291">
        <f>IF(I291=1,", "&amp;I$1,"")</f>
        <v/>
      </c>
      <c r="AH291">
        <f>IF(J291=1,", "&amp;J$1,"")</f>
        <v/>
      </c>
      <c r="AI291">
        <f>IF(K291=1,", "&amp;K$1,"")</f>
        <v/>
      </c>
      <c r="AJ291">
        <f>IF(L291=1,", "&amp;L$1,"")</f>
        <v/>
      </c>
      <c r="AK291">
        <f>IF(M291=1,", "&amp;M$1,"")</f>
        <v/>
      </c>
      <c r="AL291">
        <f>IF(N291=1,", "&amp;N$1,"")</f>
        <v/>
      </c>
      <c r="AM291">
        <f>IF(O291=1,", "&amp;O$1,"")</f>
        <v/>
      </c>
      <c r="AN291">
        <f>IF(P291=1,", "&amp;P$1,"")</f>
        <v/>
      </c>
      <c r="AO291">
        <f>IF(Q291=1,", "&amp;Q$1,"")</f>
        <v/>
      </c>
      <c r="AP291">
        <f>IF(R291=1,", "&amp;R$1,"")</f>
        <v/>
      </c>
      <c r="AQ291">
        <f>IF(S291=1,", "&amp;S$1,"")</f>
        <v/>
      </c>
      <c r="AR291">
        <f>IF(T291=1,", "&amp;T$1,"")</f>
        <v/>
      </c>
      <c r="AS291">
        <f>IF(U291=1,", "&amp;U$1,"")</f>
        <v/>
      </c>
      <c r="AT291">
        <f>IF(V291=1,", "&amp;V$1,"")</f>
        <v/>
      </c>
      <c r="AU291">
        <f>IF(W291=1,", "&amp;W$1,"")</f>
        <v/>
      </c>
      <c r="AV291">
        <f>IF(X291=1,", "&amp;X$1,"")</f>
        <v/>
      </c>
      <c r="AW291">
        <f>IF(Y291=1,", "&amp;Y$1,"")</f>
        <v/>
      </c>
      <c r="AX291">
        <f>IF(Z291=1,", "&amp;Z$1,"")</f>
        <v/>
      </c>
      <c r="AY291">
        <f>IF(AA291=1,", "&amp;AA$1,"")</f>
        <v/>
      </c>
      <c r="AZ291">
        <f>MID($AB291&amp;$AC291&amp;$AD291&amp;$AE291&amp;$AF291&amp;$AG291&amp;$AH291&amp;$AI291&amp;$AJ291&amp;$AK291&amp;$AL291&amp;$AM291&amp;$AN291&amp;$AO291&amp;$AP291&amp;$AQ291&amp;$AR291&amp;$AS291&amp;$AT291&amp;$AU291&amp;$AV291&amp;$AW291&amp;$AX291&amp;$AY291,3,32767)</f>
        <v/>
      </c>
      <c r="BA291">
        <f>COUNT($D291:$AA291)</f>
        <v/>
      </c>
    </row>
    <row r="292">
      <c r="A292" t="n">
        <v>7</v>
      </c>
      <c r="B292" t="inlineStr">
        <is>
          <t>Forcecage</t>
        </is>
      </c>
      <c r="C292" t="inlineStr">
        <is>
          <t>Evocation</t>
        </is>
      </c>
      <c r="D292">
        <f>IF(Wizards!$A$2="","",IF(OR(ISNUMBER(SEARCH(", "&amp;$B292&amp;", ", ", "&amp;INDEX('Form Responses'!$I$1:$Q$200,2,$A292)&amp;", ")),ISNUMBER(SEARCH(", "&amp;$B292&amp;", ", ", "&amp;INDEX('Form Responses'!$R$1:$R$200,2)&amp;", "))),1,""))</f>
        <v/>
      </c>
      <c r="E292">
        <f>IF(Wizards!$A$3="","",IF(OR(ISNUMBER(SEARCH(", "&amp;$B292&amp;", ", ", "&amp;INDEX('Form Responses'!$I$1:$Q$200,3,$A292)&amp;", ")),ISNUMBER(SEARCH(", "&amp;$B292&amp;", ", ", "&amp;INDEX('Form Responses'!$R$1:$R$200,3)&amp;", "))),1,""))</f>
        <v/>
      </c>
      <c r="F292">
        <f>IF(Wizards!$A$4="","",IF(OR(ISNUMBER(SEARCH(", "&amp;$B292&amp;", ", ", "&amp;INDEX('Form Responses'!$I$1:$Q$200,4,$A292)&amp;", ")),ISNUMBER(SEARCH(", "&amp;$B292&amp;", ", ", "&amp;INDEX('Form Responses'!$R$1:$R$200,4)&amp;", "))),1,""))</f>
        <v/>
      </c>
      <c r="G292">
        <f>IF(Wizards!$A$5="","",IF(OR(ISNUMBER(SEARCH(", "&amp;$B292&amp;", ", ", "&amp;INDEX('Form Responses'!$I$1:$Q$200,5,$A292)&amp;", ")),ISNUMBER(SEARCH(", "&amp;$B292&amp;", ", ", "&amp;INDEX('Form Responses'!$R$1:$R$200,5)&amp;", "))),1,""))</f>
        <v/>
      </c>
      <c r="H292">
        <f>IF(Wizards!$A$6="","",IF(OR(ISNUMBER(SEARCH(", "&amp;$B292&amp;", ", ", "&amp;INDEX('Form Responses'!$I$1:$Q$200,6,$A292)&amp;", ")),ISNUMBER(SEARCH(", "&amp;$B292&amp;", ", ", "&amp;INDEX('Form Responses'!$R$1:$R$200,6)&amp;", "))),1,""))</f>
        <v/>
      </c>
      <c r="I292">
        <f>IF(Wizards!$A$7="","",IF(OR(ISNUMBER(SEARCH(", "&amp;$B292&amp;", ", ", "&amp;INDEX('Form Responses'!$I$1:$Q$200,7,$A292)&amp;", ")),ISNUMBER(SEARCH(", "&amp;$B292&amp;", ", ", "&amp;INDEX('Form Responses'!$R$1:$R$200,7)&amp;", "))),1,""))</f>
        <v/>
      </c>
      <c r="J292">
        <f>IF(Wizards!$A$8="","",IF(OR(ISNUMBER(SEARCH(", "&amp;$B292&amp;", ", ", "&amp;INDEX('Form Responses'!$I$1:$Q$200,8,$A292)&amp;", ")),ISNUMBER(SEARCH(", "&amp;$B292&amp;", ", ", "&amp;INDEX('Form Responses'!$R$1:$R$200,8)&amp;", "))),1,""))</f>
        <v/>
      </c>
      <c r="K292">
        <f>IF(Wizards!$A$9="","",IF(OR(ISNUMBER(SEARCH(", "&amp;$B292&amp;", ", ", "&amp;INDEX('Form Responses'!$I$1:$Q$200,9,$A292)&amp;", ")),ISNUMBER(SEARCH(", "&amp;$B292&amp;", ", ", "&amp;INDEX('Form Responses'!$R$1:$R$200,9)&amp;", "))),1,""))</f>
        <v/>
      </c>
      <c r="L292">
        <f>IF(Wizards!$A$10="","",IF(OR(ISNUMBER(SEARCH(", "&amp;$B292&amp;", ", ", "&amp;INDEX('Form Responses'!$I$1:$Q$200,10,$A292)&amp;", ")),ISNUMBER(SEARCH(", "&amp;$B292&amp;", ", ", "&amp;INDEX('Form Responses'!$R$1:$R$200,10)&amp;", "))),1,""))</f>
        <v/>
      </c>
      <c r="M292">
        <f>IF(Wizards!$A$11="","",IF(OR(ISNUMBER(SEARCH(", "&amp;$B292&amp;", ", ", "&amp;INDEX('Form Responses'!$I$1:$Q$200,11,$A292)&amp;", ")),ISNUMBER(SEARCH(", "&amp;$B292&amp;", ", ", "&amp;INDEX('Form Responses'!$R$1:$R$200,11)&amp;", "))),1,""))</f>
        <v/>
      </c>
      <c r="N292">
        <f>IF(Wizards!$A$12="","",IF(OR(ISNUMBER(SEARCH(", "&amp;$B292&amp;", ", ", "&amp;INDEX('Form Responses'!$I$1:$Q$200,12,$A292)&amp;", ")),ISNUMBER(SEARCH(", "&amp;$B292&amp;", ", ", "&amp;INDEX('Form Responses'!$R$1:$R$200,12)&amp;", "))),1,""))</f>
        <v/>
      </c>
      <c r="O292">
        <f>IF(Wizards!$A$13="","",IF(OR(ISNUMBER(SEARCH(", "&amp;$B292&amp;", ", ", "&amp;INDEX('Form Responses'!$I$1:$Q$200,13,$A292)&amp;", ")),ISNUMBER(SEARCH(", "&amp;$B292&amp;", ", ", "&amp;INDEX('Form Responses'!$R$1:$R$200,13)&amp;", "))),1,""))</f>
        <v/>
      </c>
      <c r="P292">
        <f>IF(Wizards!$A$14="","",IF(OR(ISNUMBER(SEARCH(", "&amp;$B292&amp;", ", ", "&amp;INDEX('Form Responses'!$I$1:$Q$200,14,$A292)&amp;", ")),ISNUMBER(SEARCH(", "&amp;$B292&amp;", ", ", "&amp;INDEX('Form Responses'!$R$1:$R$200,14)&amp;", "))),1,""))</f>
        <v/>
      </c>
      <c r="Q292">
        <f>IF(Wizards!$A$15="","",IF(OR(ISNUMBER(SEARCH(", "&amp;$B292&amp;", ", ", "&amp;INDEX('Form Responses'!$I$1:$Q$200,15,$A292)&amp;", ")),ISNUMBER(SEARCH(", "&amp;$B292&amp;", ", ", "&amp;INDEX('Form Responses'!$R$1:$R$200,15)&amp;", "))),1,""))</f>
        <v/>
      </c>
      <c r="R292">
        <f>IF(Wizards!$A$16="","",IF(OR(ISNUMBER(SEARCH(", "&amp;$B292&amp;", ", ", "&amp;INDEX('Form Responses'!$I$1:$Q$200,16,$A292)&amp;", ")),ISNUMBER(SEARCH(", "&amp;$B292&amp;", ", ", "&amp;INDEX('Form Responses'!$R$1:$R$200,16)&amp;", "))),1,""))</f>
        <v/>
      </c>
      <c r="S292">
        <f>IF(Wizards!$A$17="","",IF(OR(ISNUMBER(SEARCH(", "&amp;$B292&amp;", ", ", "&amp;INDEX('Form Responses'!$I$1:$Q$200,17,$A292)&amp;", ")),ISNUMBER(SEARCH(", "&amp;$B292&amp;", ", ", "&amp;INDEX('Form Responses'!$R$1:$R$200,17)&amp;", "))),1,""))</f>
        <v/>
      </c>
      <c r="T292">
        <f>IF(Wizards!$A$18="","",IF(OR(ISNUMBER(SEARCH(", "&amp;$B292&amp;", ", ", "&amp;INDEX('Form Responses'!$I$1:$Q$200,18,$A292)&amp;", ")),ISNUMBER(SEARCH(", "&amp;$B292&amp;", ", ", "&amp;INDEX('Form Responses'!$R$1:$R$200,18)&amp;", "))),1,""))</f>
        <v/>
      </c>
      <c r="U292">
        <f>IF(Wizards!$A$19="","",IF(OR(ISNUMBER(SEARCH(", "&amp;$B292&amp;", ", ", "&amp;INDEX('Form Responses'!$I$1:$Q$200,19,$A292)&amp;", ")),ISNUMBER(SEARCH(", "&amp;$B292&amp;", ", ", "&amp;INDEX('Form Responses'!$R$1:$R$200,19)&amp;", "))),1,""))</f>
        <v/>
      </c>
      <c r="V292">
        <f>IF(Wizards!$A$20="","",IF(OR(ISNUMBER(SEARCH(", "&amp;$B292&amp;", ", ", "&amp;INDEX('Form Responses'!$I$1:$Q$200,20,$A292)&amp;", ")),ISNUMBER(SEARCH(", "&amp;$B292&amp;", ", ", "&amp;INDEX('Form Responses'!$R$1:$R$200,20)&amp;", "))),1,""))</f>
        <v/>
      </c>
      <c r="W292">
        <f>IF(Wizards!$A$21="","",IF(OR(ISNUMBER(SEARCH(", "&amp;$B292&amp;", ", ", "&amp;INDEX('Form Responses'!$I$1:$Q$200,21,$A292)&amp;", ")),ISNUMBER(SEARCH(", "&amp;$B292&amp;", ", ", "&amp;INDEX('Form Responses'!$R$1:$R$200,21)&amp;", "))),1,""))</f>
        <v/>
      </c>
      <c r="X292">
        <f>IF(Wizards!$A$22="","",IF(OR(ISNUMBER(SEARCH(", "&amp;$B292&amp;", ", ", "&amp;INDEX('Form Responses'!$I$1:$Q$200,22,$A292)&amp;", ")),ISNUMBER(SEARCH(", "&amp;$B292&amp;", ", ", "&amp;INDEX('Form Responses'!$R$1:$R$200,22)&amp;", "))),1,""))</f>
        <v/>
      </c>
      <c r="Y292">
        <f>IF(Wizards!$A$23="","",IF(OR(ISNUMBER(SEARCH(", "&amp;$B292&amp;", ", ", "&amp;INDEX('Form Responses'!$I$1:$Q$200,23,$A292)&amp;", ")),ISNUMBER(SEARCH(", "&amp;$B292&amp;", ", ", "&amp;INDEX('Form Responses'!$R$1:$R$200,23)&amp;", "))),1,""))</f>
        <v/>
      </c>
      <c r="Z292">
        <f>IF(Wizards!$A$24="","",IF(OR(ISNUMBER(SEARCH(", "&amp;$B292&amp;", ", ", "&amp;INDEX('Form Responses'!$I$1:$Q$200,24,$A292)&amp;", ")),ISNUMBER(SEARCH(", "&amp;$B292&amp;", ", ", "&amp;INDEX('Form Responses'!$R$1:$R$200,24)&amp;", "))),1,""))</f>
        <v/>
      </c>
      <c r="AA292">
        <f>IF(Wizards!$A$25="","",IF(OR(ISNUMBER(SEARCH(", "&amp;$B292&amp;", ", ", "&amp;INDEX('Form Responses'!$I$1:$Q$200,25,$A292)&amp;", ")),ISNUMBER(SEARCH(", "&amp;$B292&amp;", ", ", "&amp;INDEX('Form Responses'!$R$1:$R$200,25)&amp;", "))),1,""))</f>
        <v/>
      </c>
      <c r="AB292">
        <f>IF(D292=1,", "&amp;D$1,"")</f>
        <v/>
      </c>
      <c r="AC292">
        <f>IF(E292=1,", "&amp;E$1,"")</f>
        <v/>
      </c>
      <c r="AD292">
        <f>IF(F292=1,", "&amp;F$1,"")</f>
        <v/>
      </c>
      <c r="AE292">
        <f>IF(G292=1,", "&amp;G$1,"")</f>
        <v/>
      </c>
      <c r="AF292">
        <f>IF(H292=1,", "&amp;H$1,"")</f>
        <v/>
      </c>
      <c r="AG292">
        <f>IF(I292=1,", "&amp;I$1,"")</f>
        <v/>
      </c>
      <c r="AH292">
        <f>IF(J292=1,", "&amp;J$1,"")</f>
        <v/>
      </c>
      <c r="AI292">
        <f>IF(K292=1,", "&amp;K$1,"")</f>
        <v/>
      </c>
      <c r="AJ292">
        <f>IF(L292=1,", "&amp;L$1,"")</f>
        <v/>
      </c>
      <c r="AK292">
        <f>IF(M292=1,", "&amp;M$1,"")</f>
        <v/>
      </c>
      <c r="AL292">
        <f>IF(N292=1,", "&amp;N$1,"")</f>
        <v/>
      </c>
      <c r="AM292">
        <f>IF(O292=1,", "&amp;O$1,"")</f>
        <v/>
      </c>
      <c r="AN292">
        <f>IF(P292=1,", "&amp;P$1,"")</f>
        <v/>
      </c>
      <c r="AO292">
        <f>IF(Q292=1,", "&amp;Q$1,"")</f>
        <v/>
      </c>
      <c r="AP292">
        <f>IF(R292=1,", "&amp;R$1,"")</f>
        <v/>
      </c>
      <c r="AQ292">
        <f>IF(S292=1,", "&amp;S$1,"")</f>
        <v/>
      </c>
      <c r="AR292">
        <f>IF(T292=1,", "&amp;T$1,"")</f>
        <v/>
      </c>
      <c r="AS292">
        <f>IF(U292=1,", "&amp;U$1,"")</f>
        <v/>
      </c>
      <c r="AT292">
        <f>IF(V292=1,", "&amp;V$1,"")</f>
        <v/>
      </c>
      <c r="AU292">
        <f>IF(W292=1,", "&amp;W$1,"")</f>
        <v/>
      </c>
      <c r="AV292">
        <f>IF(X292=1,", "&amp;X$1,"")</f>
        <v/>
      </c>
      <c r="AW292">
        <f>IF(Y292=1,", "&amp;Y$1,"")</f>
        <v/>
      </c>
      <c r="AX292">
        <f>IF(Z292=1,", "&amp;Z$1,"")</f>
        <v/>
      </c>
      <c r="AY292">
        <f>IF(AA292=1,", "&amp;AA$1,"")</f>
        <v/>
      </c>
      <c r="AZ292">
        <f>MID($AB292&amp;$AC292&amp;$AD292&amp;$AE292&amp;$AF292&amp;$AG292&amp;$AH292&amp;$AI292&amp;$AJ292&amp;$AK292&amp;$AL292&amp;$AM292&amp;$AN292&amp;$AO292&amp;$AP292&amp;$AQ292&amp;$AR292&amp;$AS292&amp;$AT292&amp;$AU292&amp;$AV292&amp;$AW292&amp;$AX292&amp;$AY292,3,32767)</f>
        <v/>
      </c>
      <c r="BA292">
        <f>COUNT($D292:$AA292)</f>
        <v/>
      </c>
    </row>
    <row r="293">
      <c r="A293" t="n">
        <v>7</v>
      </c>
      <c r="B293" t="inlineStr">
        <is>
          <t>Fractured Awareness</t>
        </is>
      </c>
      <c r="C293" t="inlineStr">
        <is>
          <t>Divination</t>
        </is>
      </c>
      <c r="D293">
        <f>IF(Wizards!$A$2="","",IF(OR(ISNUMBER(SEARCH(", "&amp;$B293&amp;", ", ", "&amp;INDEX('Form Responses'!$I$1:$Q$200,2,$A293)&amp;", ")),ISNUMBER(SEARCH(", "&amp;$B293&amp;", ", ", "&amp;INDEX('Form Responses'!$R$1:$R$200,2)&amp;", "))),1,""))</f>
        <v/>
      </c>
      <c r="E293">
        <f>IF(Wizards!$A$3="","",IF(OR(ISNUMBER(SEARCH(", "&amp;$B293&amp;", ", ", "&amp;INDEX('Form Responses'!$I$1:$Q$200,3,$A293)&amp;", ")),ISNUMBER(SEARCH(", "&amp;$B293&amp;", ", ", "&amp;INDEX('Form Responses'!$R$1:$R$200,3)&amp;", "))),1,""))</f>
        <v/>
      </c>
      <c r="F293">
        <f>IF(Wizards!$A$4="","",IF(OR(ISNUMBER(SEARCH(", "&amp;$B293&amp;", ", ", "&amp;INDEX('Form Responses'!$I$1:$Q$200,4,$A293)&amp;", ")),ISNUMBER(SEARCH(", "&amp;$B293&amp;", ", ", "&amp;INDEX('Form Responses'!$R$1:$R$200,4)&amp;", "))),1,""))</f>
        <v/>
      </c>
      <c r="G293">
        <f>IF(Wizards!$A$5="","",IF(OR(ISNUMBER(SEARCH(", "&amp;$B293&amp;", ", ", "&amp;INDEX('Form Responses'!$I$1:$Q$200,5,$A293)&amp;", ")),ISNUMBER(SEARCH(", "&amp;$B293&amp;", ", ", "&amp;INDEX('Form Responses'!$R$1:$R$200,5)&amp;", "))),1,""))</f>
        <v/>
      </c>
      <c r="H293">
        <f>IF(Wizards!$A$6="","",IF(OR(ISNUMBER(SEARCH(", "&amp;$B293&amp;", ", ", "&amp;INDEX('Form Responses'!$I$1:$Q$200,6,$A293)&amp;", ")),ISNUMBER(SEARCH(", "&amp;$B293&amp;", ", ", "&amp;INDEX('Form Responses'!$R$1:$R$200,6)&amp;", "))),1,""))</f>
        <v/>
      </c>
      <c r="I293">
        <f>IF(Wizards!$A$7="","",IF(OR(ISNUMBER(SEARCH(", "&amp;$B293&amp;", ", ", "&amp;INDEX('Form Responses'!$I$1:$Q$200,7,$A293)&amp;", ")),ISNUMBER(SEARCH(", "&amp;$B293&amp;", ", ", "&amp;INDEX('Form Responses'!$R$1:$R$200,7)&amp;", "))),1,""))</f>
        <v/>
      </c>
      <c r="J293">
        <f>IF(Wizards!$A$8="","",IF(OR(ISNUMBER(SEARCH(", "&amp;$B293&amp;", ", ", "&amp;INDEX('Form Responses'!$I$1:$Q$200,8,$A293)&amp;", ")),ISNUMBER(SEARCH(", "&amp;$B293&amp;", ", ", "&amp;INDEX('Form Responses'!$R$1:$R$200,8)&amp;", "))),1,""))</f>
        <v/>
      </c>
      <c r="K293">
        <f>IF(Wizards!$A$9="","",IF(OR(ISNUMBER(SEARCH(", "&amp;$B293&amp;", ", ", "&amp;INDEX('Form Responses'!$I$1:$Q$200,9,$A293)&amp;", ")),ISNUMBER(SEARCH(", "&amp;$B293&amp;", ", ", "&amp;INDEX('Form Responses'!$R$1:$R$200,9)&amp;", "))),1,""))</f>
        <v/>
      </c>
      <c r="L293">
        <f>IF(Wizards!$A$10="","",IF(OR(ISNUMBER(SEARCH(", "&amp;$B293&amp;", ", ", "&amp;INDEX('Form Responses'!$I$1:$Q$200,10,$A293)&amp;", ")),ISNUMBER(SEARCH(", "&amp;$B293&amp;", ", ", "&amp;INDEX('Form Responses'!$R$1:$R$200,10)&amp;", "))),1,""))</f>
        <v/>
      </c>
      <c r="M293">
        <f>IF(Wizards!$A$11="","",IF(OR(ISNUMBER(SEARCH(", "&amp;$B293&amp;", ", ", "&amp;INDEX('Form Responses'!$I$1:$Q$200,11,$A293)&amp;", ")),ISNUMBER(SEARCH(", "&amp;$B293&amp;", ", ", "&amp;INDEX('Form Responses'!$R$1:$R$200,11)&amp;", "))),1,""))</f>
        <v/>
      </c>
      <c r="N293">
        <f>IF(Wizards!$A$12="","",IF(OR(ISNUMBER(SEARCH(", "&amp;$B293&amp;", ", ", "&amp;INDEX('Form Responses'!$I$1:$Q$200,12,$A293)&amp;", ")),ISNUMBER(SEARCH(", "&amp;$B293&amp;", ", ", "&amp;INDEX('Form Responses'!$R$1:$R$200,12)&amp;", "))),1,""))</f>
        <v/>
      </c>
      <c r="O293">
        <f>IF(Wizards!$A$13="","",IF(OR(ISNUMBER(SEARCH(", "&amp;$B293&amp;", ", ", "&amp;INDEX('Form Responses'!$I$1:$Q$200,13,$A293)&amp;", ")),ISNUMBER(SEARCH(", "&amp;$B293&amp;", ", ", "&amp;INDEX('Form Responses'!$R$1:$R$200,13)&amp;", "))),1,""))</f>
        <v/>
      </c>
      <c r="P293">
        <f>IF(Wizards!$A$14="","",IF(OR(ISNUMBER(SEARCH(", "&amp;$B293&amp;", ", ", "&amp;INDEX('Form Responses'!$I$1:$Q$200,14,$A293)&amp;", ")),ISNUMBER(SEARCH(", "&amp;$B293&amp;", ", ", "&amp;INDEX('Form Responses'!$R$1:$R$200,14)&amp;", "))),1,""))</f>
        <v/>
      </c>
      <c r="Q293">
        <f>IF(Wizards!$A$15="","",IF(OR(ISNUMBER(SEARCH(", "&amp;$B293&amp;", ", ", "&amp;INDEX('Form Responses'!$I$1:$Q$200,15,$A293)&amp;", ")),ISNUMBER(SEARCH(", "&amp;$B293&amp;", ", ", "&amp;INDEX('Form Responses'!$R$1:$R$200,15)&amp;", "))),1,""))</f>
        <v/>
      </c>
      <c r="R293">
        <f>IF(Wizards!$A$16="","",IF(OR(ISNUMBER(SEARCH(", "&amp;$B293&amp;", ", ", "&amp;INDEX('Form Responses'!$I$1:$Q$200,16,$A293)&amp;", ")),ISNUMBER(SEARCH(", "&amp;$B293&amp;", ", ", "&amp;INDEX('Form Responses'!$R$1:$R$200,16)&amp;", "))),1,""))</f>
        <v/>
      </c>
      <c r="S293">
        <f>IF(Wizards!$A$17="","",IF(OR(ISNUMBER(SEARCH(", "&amp;$B293&amp;", ", ", "&amp;INDEX('Form Responses'!$I$1:$Q$200,17,$A293)&amp;", ")),ISNUMBER(SEARCH(", "&amp;$B293&amp;", ", ", "&amp;INDEX('Form Responses'!$R$1:$R$200,17)&amp;", "))),1,""))</f>
        <v/>
      </c>
      <c r="T293">
        <f>IF(Wizards!$A$18="","",IF(OR(ISNUMBER(SEARCH(", "&amp;$B293&amp;", ", ", "&amp;INDEX('Form Responses'!$I$1:$Q$200,18,$A293)&amp;", ")),ISNUMBER(SEARCH(", "&amp;$B293&amp;", ", ", "&amp;INDEX('Form Responses'!$R$1:$R$200,18)&amp;", "))),1,""))</f>
        <v/>
      </c>
      <c r="U293">
        <f>IF(Wizards!$A$19="","",IF(OR(ISNUMBER(SEARCH(", "&amp;$B293&amp;", ", ", "&amp;INDEX('Form Responses'!$I$1:$Q$200,19,$A293)&amp;", ")),ISNUMBER(SEARCH(", "&amp;$B293&amp;", ", ", "&amp;INDEX('Form Responses'!$R$1:$R$200,19)&amp;", "))),1,""))</f>
        <v/>
      </c>
      <c r="V293">
        <f>IF(Wizards!$A$20="","",IF(OR(ISNUMBER(SEARCH(", "&amp;$B293&amp;", ", ", "&amp;INDEX('Form Responses'!$I$1:$Q$200,20,$A293)&amp;", ")),ISNUMBER(SEARCH(", "&amp;$B293&amp;", ", ", "&amp;INDEX('Form Responses'!$R$1:$R$200,20)&amp;", "))),1,""))</f>
        <v/>
      </c>
      <c r="W293">
        <f>IF(Wizards!$A$21="","",IF(OR(ISNUMBER(SEARCH(", "&amp;$B293&amp;", ", ", "&amp;INDEX('Form Responses'!$I$1:$Q$200,21,$A293)&amp;", ")),ISNUMBER(SEARCH(", "&amp;$B293&amp;", ", ", "&amp;INDEX('Form Responses'!$R$1:$R$200,21)&amp;", "))),1,""))</f>
        <v/>
      </c>
      <c r="X293">
        <f>IF(Wizards!$A$22="","",IF(OR(ISNUMBER(SEARCH(", "&amp;$B293&amp;", ", ", "&amp;INDEX('Form Responses'!$I$1:$Q$200,22,$A293)&amp;", ")),ISNUMBER(SEARCH(", "&amp;$B293&amp;", ", ", "&amp;INDEX('Form Responses'!$R$1:$R$200,22)&amp;", "))),1,""))</f>
        <v/>
      </c>
      <c r="Y293">
        <f>IF(Wizards!$A$23="","",IF(OR(ISNUMBER(SEARCH(", "&amp;$B293&amp;", ", ", "&amp;INDEX('Form Responses'!$I$1:$Q$200,23,$A293)&amp;", ")),ISNUMBER(SEARCH(", "&amp;$B293&amp;", ", ", "&amp;INDEX('Form Responses'!$R$1:$R$200,23)&amp;", "))),1,""))</f>
        <v/>
      </c>
      <c r="Z293">
        <f>IF(Wizards!$A$24="","",IF(OR(ISNUMBER(SEARCH(", "&amp;$B293&amp;", ", ", "&amp;INDEX('Form Responses'!$I$1:$Q$200,24,$A293)&amp;", ")),ISNUMBER(SEARCH(", "&amp;$B293&amp;", ", ", "&amp;INDEX('Form Responses'!$R$1:$R$200,24)&amp;", "))),1,""))</f>
        <v/>
      </c>
      <c r="AA293">
        <f>IF(Wizards!$A$25="","",IF(OR(ISNUMBER(SEARCH(", "&amp;$B293&amp;", ", ", "&amp;INDEX('Form Responses'!$I$1:$Q$200,25,$A293)&amp;", ")),ISNUMBER(SEARCH(", "&amp;$B293&amp;", ", ", "&amp;INDEX('Form Responses'!$R$1:$R$200,25)&amp;", "))),1,""))</f>
        <v/>
      </c>
      <c r="AB293">
        <f>IF(D293=1,", "&amp;D$1,"")</f>
        <v/>
      </c>
      <c r="AC293">
        <f>IF(E293=1,", "&amp;E$1,"")</f>
        <v/>
      </c>
      <c r="AD293">
        <f>IF(F293=1,", "&amp;F$1,"")</f>
        <v/>
      </c>
      <c r="AE293">
        <f>IF(G293=1,", "&amp;G$1,"")</f>
        <v/>
      </c>
      <c r="AF293">
        <f>IF(H293=1,", "&amp;H$1,"")</f>
        <v/>
      </c>
      <c r="AG293">
        <f>IF(I293=1,", "&amp;I$1,"")</f>
        <v/>
      </c>
      <c r="AH293">
        <f>IF(J293=1,", "&amp;J$1,"")</f>
        <v/>
      </c>
      <c r="AI293">
        <f>IF(K293=1,", "&amp;K$1,"")</f>
        <v/>
      </c>
      <c r="AJ293">
        <f>IF(L293=1,", "&amp;L$1,"")</f>
        <v/>
      </c>
      <c r="AK293">
        <f>IF(M293=1,", "&amp;M$1,"")</f>
        <v/>
      </c>
      <c r="AL293">
        <f>IF(N293=1,", "&amp;N$1,"")</f>
        <v/>
      </c>
      <c r="AM293">
        <f>IF(O293=1,", "&amp;O$1,"")</f>
        <v/>
      </c>
      <c r="AN293">
        <f>IF(P293=1,", "&amp;P$1,"")</f>
        <v/>
      </c>
      <c r="AO293">
        <f>IF(Q293=1,", "&amp;Q$1,"")</f>
        <v/>
      </c>
      <c r="AP293">
        <f>IF(R293=1,", "&amp;R$1,"")</f>
        <v/>
      </c>
      <c r="AQ293">
        <f>IF(S293=1,", "&amp;S$1,"")</f>
        <v/>
      </c>
      <c r="AR293">
        <f>IF(T293=1,", "&amp;T$1,"")</f>
        <v/>
      </c>
      <c r="AS293">
        <f>IF(U293=1,", "&amp;U$1,"")</f>
        <v/>
      </c>
      <c r="AT293">
        <f>IF(V293=1,", "&amp;V$1,"")</f>
        <v/>
      </c>
      <c r="AU293">
        <f>IF(W293=1,", "&amp;W$1,"")</f>
        <v/>
      </c>
      <c r="AV293">
        <f>IF(X293=1,", "&amp;X$1,"")</f>
        <v/>
      </c>
      <c r="AW293">
        <f>IF(Y293=1,", "&amp;Y$1,"")</f>
        <v/>
      </c>
      <c r="AX293">
        <f>IF(Z293=1,", "&amp;Z$1,"")</f>
        <v/>
      </c>
      <c r="AY293">
        <f>IF(AA293=1,", "&amp;AA$1,"")</f>
        <v/>
      </c>
      <c r="AZ293">
        <f>MID($AB293&amp;$AC293&amp;$AD293&amp;$AE293&amp;$AF293&amp;$AG293&amp;$AH293&amp;$AI293&amp;$AJ293&amp;$AK293&amp;$AL293&amp;$AM293&amp;$AN293&amp;$AO293&amp;$AP293&amp;$AQ293&amp;$AR293&amp;$AS293&amp;$AT293&amp;$AU293&amp;$AV293&amp;$AW293&amp;$AX293&amp;$AY293,3,32767)</f>
        <v/>
      </c>
      <c r="BA293">
        <f>COUNT($D293:$AA293)</f>
        <v/>
      </c>
    </row>
    <row r="294">
      <c r="A294" t="n">
        <v>7</v>
      </c>
      <c r="B294" t="inlineStr">
        <is>
          <t>Mirage Arcane</t>
        </is>
      </c>
      <c r="C294" t="inlineStr">
        <is>
          <t>Illusion</t>
        </is>
      </c>
      <c r="D294">
        <f>IF(Wizards!$A$2="","",IF(OR(ISNUMBER(SEARCH(", "&amp;$B294&amp;", ", ", "&amp;INDEX('Form Responses'!$I$1:$Q$200,2,$A294)&amp;", ")),ISNUMBER(SEARCH(", "&amp;$B294&amp;", ", ", "&amp;INDEX('Form Responses'!$R$1:$R$200,2)&amp;", "))),1,""))</f>
        <v/>
      </c>
      <c r="E294">
        <f>IF(Wizards!$A$3="","",IF(OR(ISNUMBER(SEARCH(", "&amp;$B294&amp;", ", ", "&amp;INDEX('Form Responses'!$I$1:$Q$200,3,$A294)&amp;", ")),ISNUMBER(SEARCH(", "&amp;$B294&amp;", ", ", "&amp;INDEX('Form Responses'!$R$1:$R$200,3)&amp;", "))),1,""))</f>
        <v/>
      </c>
      <c r="F294">
        <f>IF(Wizards!$A$4="","",IF(OR(ISNUMBER(SEARCH(", "&amp;$B294&amp;", ", ", "&amp;INDEX('Form Responses'!$I$1:$Q$200,4,$A294)&amp;", ")),ISNUMBER(SEARCH(", "&amp;$B294&amp;", ", ", "&amp;INDEX('Form Responses'!$R$1:$R$200,4)&amp;", "))),1,""))</f>
        <v/>
      </c>
      <c r="G294">
        <f>IF(Wizards!$A$5="","",IF(OR(ISNUMBER(SEARCH(", "&amp;$B294&amp;", ", ", "&amp;INDEX('Form Responses'!$I$1:$Q$200,5,$A294)&amp;", ")),ISNUMBER(SEARCH(", "&amp;$B294&amp;", ", ", "&amp;INDEX('Form Responses'!$R$1:$R$200,5)&amp;", "))),1,""))</f>
        <v/>
      </c>
      <c r="H294">
        <f>IF(Wizards!$A$6="","",IF(OR(ISNUMBER(SEARCH(", "&amp;$B294&amp;", ", ", "&amp;INDEX('Form Responses'!$I$1:$Q$200,6,$A294)&amp;", ")),ISNUMBER(SEARCH(", "&amp;$B294&amp;", ", ", "&amp;INDEX('Form Responses'!$R$1:$R$200,6)&amp;", "))),1,""))</f>
        <v/>
      </c>
      <c r="I294">
        <f>IF(Wizards!$A$7="","",IF(OR(ISNUMBER(SEARCH(", "&amp;$B294&amp;", ", ", "&amp;INDEX('Form Responses'!$I$1:$Q$200,7,$A294)&amp;", ")),ISNUMBER(SEARCH(", "&amp;$B294&amp;", ", ", "&amp;INDEX('Form Responses'!$R$1:$R$200,7)&amp;", "))),1,""))</f>
        <v/>
      </c>
      <c r="J294">
        <f>IF(Wizards!$A$8="","",IF(OR(ISNUMBER(SEARCH(", "&amp;$B294&amp;", ", ", "&amp;INDEX('Form Responses'!$I$1:$Q$200,8,$A294)&amp;", ")),ISNUMBER(SEARCH(", "&amp;$B294&amp;", ", ", "&amp;INDEX('Form Responses'!$R$1:$R$200,8)&amp;", "))),1,""))</f>
        <v/>
      </c>
      <c r="K294">
        <f>IF(Wizards!$A$9="","",IF(OR(ISNUMBER(SEARCH(", "&amp;$B294&amp;", ", ", "&amp;INDEX('Form Responses'!$I$1:$Q$200,9,$A294)&amp;", ")),ISNUMBER(SEARCH(", "&amp;$B294&amp;", ", ", "&amp;INDEX('Form Responses'!$R$1:$R$200,9)&amp;", "))),1,""))</f>
        <v/>
      </c>
      <c r="L294">
        <f>IF(Wizards!$A$10="","",IF(OR(ISNUMBER(SEARCH(", "&amp;$B294&amp;", ", ", "&amp;INDEX('Form Responses'!$I$1:$Q$200,10,$A294)&amp;", ")),ISNUMBER(SEARCH(", "&amp;$B294&amp;", ", ", "&amp;INDEX('Form Responses'!$R$1:$R$200,10)&amp;", "))),1,""))</f>
        <v/>
      </c>
      <c r="M294">
        <f>IF(Wizards!$A$11="","",IF(OR(ISNUMBER(SEARCH(", "&amp;$B294&amp;", ", ", "&amp;INDEX('Form Responses'!$I$1:$Q$200,11,$A294)&amp;", ")),ISNUMBER(SEARCH(", "&amp;$B294&amp;", ", ", "&amp;INDEX('Form Responses'!$R$1:$R$200,11)&amp;", "))),1,""))</f>
        <v/>
      </c>
      <c r="N294">
        <f>IF(Wizards!$A$12="","",IF(OR(ISNUMBER(SEARCH(", "&amp;$B294&amp;", ", ", "&amp;INDEX('Form Responses'!$I$1:$Q$200,12,$A294)&amp;", ")),ISNUMBER(SEARCH(", "&amp;$B294&amp;", ", ", "&amp;INDEX('Form Responses'!$R$1:$R$200,12)&amp;", "))),1,""))</f>
        <v/>
      </c>
      <c r="O294">
        <f>IF(Wizards!$A$13="","",IF(OR(ISNUMBER(SEARCH(", "&amp;$B294&amp;", ", ", "&amp;INDEX('Form Responses'!$I$1:$Q$200,13,$A294)&amp;", ")),ISNUMBER(SEARCH(", "&amp;$B294&amp;", ", ", "&amp;INDEX('Form Responses'!$R$1:$R$200,13)&amp;", "))),1,""))</f>
        <v/>
      </c>
      <c r="P294">
        <f>IF(Wizards!$A$14="","",IF(OR(ISNUMBER(SEARCH(", "&amp;$B294&amp;", ", ", "&amp;INDEX('Form Responses'!$I$1:$Q$200,14,$A294)&amp;", ")),ISNUMBER(SEARCH(", "&amp;$B294&amp;", ", ", "&amp;INDEX('Form Responses'!$R$1:$R$200,14)&amp;", "))),1,""))</f>
        <v/>
      </c>
      <c r="Q294">
        <f>IF(Wizards!$A$15="","",IF(OR(ISNUMBER(SEARCH(", "&amp;$B294&amp;", ", ", "&amp;INDEX('Form Responses'!$I$1:$Q$200,15,$A294)&amp;", ")),ISNUMBER(SEARCH(", "&amp;$B294&amp;", ", ", "&amp;INDEX('Form Responses'!$R$1:$R$200,15)&amp;", "))),1,""))</f>
        <v/>
      </c>
      <c r="R294">
        <f>IF(Wizards!$A$16="","",IF(OR(ISNUMBER(SEARCH(", "&amp;$B294&amp;", ", ", "&amp;INDEX('Form Responses'!$I$1:$Q$200,16,$A294)&amp;", ")),ISNUMBER(SEARCH(", "&amp;$B294&amp;", ", ", "&amp;INDEX('Form Responses'!$R$1:$R$200,16)&amp;", "))),1,""))</f>
        <v/>
      </c>
      <c r="S294">
        <f>IF(Wizards!$A$17="","",IF(OR(ISNUMBER(SEARCH(", "&amp;$B294&amp;", ", ", "&amp;INDEX('Form Responses'!$I$1:$Q$200,17,$A294)&amp;", ")),ISNUMBER(SEARCH(", "&amp;$B294&amp;", ", ", "&amp;INDEX('Form Responses'!$R$1:$R$200,17)&amp;", "))),1,""))</f>
        <v/>
      </c>
      <c r="T294">
        <f>IF(Wizards!$A$18="","",IF(OR(ISNUMBER(SEARCH(", "&amp;$B294&amp;", ", ", "&amp;INDEX('Form Responses'!$I$1:$Q$200,18,$A294)&amp;", ")),ISNUMBER(SEARCH(", "&amp;$B294&amp;", ", ", "&amp;INDEX('Form Responses'!$R$1:$R$200,18)&amp;", "))),1,""))</f>
        <v/>
      </c>
      <c r="U294">
        <f>IF(Wizards!$A$19="","",IF(OR(ISNUMBER(SEARCH(", "&amp;$B294&amp;", ", ", "&amp;INDEX('Form Responses'!$I$1:$Q$200,19,$A294)&amp;", ")),ISNUMBER(SEARCH(", "&amp;$B294&amp;", ", ", "&amp;INDEX('Form Responses'!$R$1:$R$200,19)&amp;", "))),1,""))</f>
        <v/>
      </c>
      <c r="V294">
        <f>IF(Wizards!$A$20="","",IF(OR(ISNUMBER(SEARCH(", "&amp;$B294&amp;", ", ", "&amp;INDEX('Form Responses'!$I$1:$Q$200,20,$A294)&amp;", ")),ISNUMBER(SEARCH(", "&amp;$B294&amp;", ", ", "&amp;INDEX('Form Responses'!$R$1:$R$200,20)&amp;", "))),1,""))</f>
        <v/>
      </c>
      <c r="W294">
        <f>IF(Wizards!$A$21="","",IF(OR(ISNUMBER(SEARCH(", "&amp;$B294&amp;", ", ", "&amp;INDEX('Form Responses'!$I$1:$Q$200,21,$A294)&amp;", ")),ISNUMBER(SEARCH(", "&amp;$B294&amp;", ", ", "&amp;INDEX('Form Responses'!$R$1:$R$200,21)&amp;", "))),1,""))</f>
        <v/>
      </c>
      <c r="X294">
        <f>IF(Wizards!$A$22="","",IF(OR(ISNUMBER(SEARCH(", "&amp;$B294&amp;", ", ", "&amp;INDEX('Form Responses'!$I$1:$Q$200,22,$A294)&amp;", ")),ISNUMBER(SEARCH(", "&amp;$B294&amp;", ", ", "&amp;INDEX('Form Responses'!$R$1:$R$200,22)&amp;", "))),1,""))</f>
        <v/>
      </c>
      <c r="Y294">
        <f>IF(Wizards!$A$23="","",IF(OR(ISNUMBER(SEARCH(", "&amp;$B294&amp;", ", ", "&amp;INDEX('Form Responses'!$I$1:$Q$200,23,$A294)&amp;", ")),ISNUMBER(SEARCH(", "&amp;$B294&amp;", ", ", "&amp;INDEX('Form Responses'!$R$1:$R$200,23)&amp;", "))),1,""))</f>
        <v/>
      </c>
      <c r="Z294">
        <f>IF(Wizards!$A$24="","",IF(OR(ISNUMBER(SEARCH(", "&amp;$B294&amp;", ", ", "&amp;INDEX('Form Responses'!$I$1:$Q$200,24,$A294)&amp;", ")),ISNUMBER(SEARCH(", "&amp;$B294&amp;", ", ", "&amp;INDEX('Form Responses'!$R$1:$R$200,24)&amp;", "))),1,""))</f>
        <v/>
      </c>
      <c r="AA294">
        <f>IF(Wizards!$A$25="","",IF(OR(ISNUMBER(SEARCH(", "&amp;$B294&amp;", ", ", "&amp;INDEX('Form Responses'!$I$1:$Q$200,25,$A294)&amp;", ")),ISNUMBER(SEARCH(", "&amp;$B294&amp;", ", ", "&amp;INDEX('Form Responses'!$R$1:$R$200,25)&amp;", "))),1,""))</f>
        <v/>
      </c>
      <c r="AB294">
        <f>IF(D294=1,", "&amp;D$1,"")</f>
        <v/>
      </c>
      <c r="AC294">
        <f>IF(E294=1,", "&amp;E$1,"")</f>
        <v/>
      </c>
      <c r="AD294">
        <f>IF(F294=1,", "&amp;F$1,"")</f>
        <v/>
      </c>
      <c r="AE294">
        <f>IF(G294=1,", "&amp;G$1,"")</f>
        <v/>
      </c>
      <c r="AF294">
        <f>IF(H294=1,", "&amp;H$1,"")</f>
        <v/>
      </c>
      <c r="AG294">
        <f>IF(I294=1,", "&amp;I$1,"")</f>
        <v/>
      </c>
      <c r="AH294">
        <f>IF(J294=1,", "&amp;J$1,"")</f>
        <v/>
      </c>
      <c r="AI294">
        <f>IF(K294=1,", "&amp;K$1,"")</f>
        <v/>
      </c>
      <c r="AJ294">
        <f>IF(L294=1,", "&amp;L$1,"")</f>
        <v/>
      </c>
      <c r="AK294">
        <f>IF(M294=1,", "&amp;M$1,"")</f>
        <v/>
      </c>
      <c r="AL294">
        <f>IF(N294=1,", "&amp;N$1,"")</f>
        <v/>
      </c>
      <c r="AM294">
        <f>IF(O294=1,", "&amp;O$1,"")</f>
        <v/>
      </c>
      <c r="AN294">
        <f>IF(P294=1,", "&amp;P$1,"")</f>
        <v/>
      </c>
      <c r="AO294">
        <f>IF(Q294=1,", "&amp;Q$1,"")</f>
        <v/>
      </c>
      <c r="AP294">
        <f>IF(R294=1,", "&amp;R$1,"")</f>
        <v/>
      </c>
      <c r="AQ294">
        <f>IF(S294=1,", "&amp;S$1,"")</f>
        <v/>
      </c>
      <c r="AR294">
        <f>IF(T294=1,", "&amp;T$1,"")</f>
        <v/>
      </c>
      <c r="AS294">
        <f>IF(U294=1,", "&amp;U$1,"")</f>
        <v/>
      </c>
      <c r="AT294">
        <f>IF(V294=1,", "&amp;V$1,"")</f>
        <v/>
      </c>
      <c r="AU294">
        <f>IF(W294=1,", "&amp;W$1,"")</f>
        <v/>
      </c>
      <c r="AV294">
        <f>IF(X294=1,", "&amp;X$1,"")</f>
        <v/>
      </c>
      <c r="AW294">
        <f>IF(Y294=1,", "&amp;Y$1,"")</f>
        <v/>
      </c>
      <c r="AX294">
        <f>IF(Z294=1,", "&amp;Z$1,"")</f>
        <v/>
      </c>
      <c r="AY294">
        <f>IF(AA294=1,", "&amp;AA$1,"")</f>
        <v/>
      </c>
      <c r="AZ294">
        <f>MID($AB294&amp;$AC294&amp;$AD294&amp;$AE294&amp;$AF294&amp;$AG294&amp;$AH294&amp;$AI294&amp;$AJ294&amp;$AK294&amp;$AL294&amp;$AM294&amp;$AN294&amp;$AO294&amp;$AP294&amp;$AQ294&amp;$AR294&amp;$AS294&amp;$AT294&amp;$AU294&amp;$AV294&amp;$AW294&amp;$AX294&amp;$AY294,3,32767)</f>
        <v/>
      </c>
      <c r="BA294">
        <f>COUNT($D294:$AA294)</f>
        <v/>
      </c>
    </row>
    <row r="295">
      <c r="A295" t="n">
        <v>7</v>
      </c>
      <c r="B295" t="inlineStr">
        <is>
          <t>Mordenkainen's Magnificent Mansion</t>
        </is>
      </c>
      <c r="C295" t="inlineStr">
        <is>
          <t>Conjuration</t>
        </is>
      </c>
      <c r="D295">
        <f>IF(Wizards!$A$2="","",IF(OR(ISNUMBER(SEARCH(", "&amp;$B295&amp;", ", ", "&amp;INDEX('Form Responses'!$I$1:$Q$200,2,$A295)&amp;", ")),ISNUMBER(SEARCH(", "&amp;$B295&amp;", ", ", "&amp;INDEX('Form Responses'!$R$1:$R$200,2)&amp;", "))),1,""))</f>
        <v/>
      </c>
      <c r="E295">
        <f>IF(Wizards!$A$3="","",IF(OR(ISNUMBER(SEARCH(", "&amp;$B295&amp;", ", ", "&amp;INDEX('Form Responses'!$I$1:$Q$200,3,$A295)&amp;", ")),ISNUMBER(SEARCH(", "&amp;$B295&amp;", ", ", "&amp;INDEX('Form Responses'!$R$1:$R$200,3)&amp;", "))),1,""))</f>
        <v/>
      </c>
      <c r="F295">
        <f>IF(Wizards!$A$4="","",IF(OR(ISNUMBER(SEARCH(", "&amp;$B295&amp;", ", ", "&amp;INDEX('Form Responses'!$I$1:$Q$200,4,$A295)&amp;", ")),ISNUMBER(SEARCH(", "&amp;$B295&amp;", ", ", "&amp;INDEX('Form Responses'!$R$1:$R$200,4)&amp;", "))),1,""))</f>
        <v/>
      </c>
      <c r="G295">
        <f>IF(Wizards!$A$5="","",IF(OR(ISNUMBER(SEARCH(", "&amp;$B295&amp;", ", ", "&amp;INDEX('Form Responses'!$I$1:$Q$200,5,$A295)&amp;", ")),ISNUMBER(SEARCH(", "&amp;$B295&amp;", ", ", "&amp;INDEX('Form Responses'!$R$1:$R$200,5)&amp;", "))),1,""))</f>
        <v/>
      </c>
      <c r="H295">
        <f>IF(Wizards!$A$6="","",IF(OR(ISNUMBER(SEARCH(", "&amp;$B295&amp;", ", ", "&amp;INDEX('Form Responses'!$I$1:$Q$200,6,$A295)&amp;", ")),ISNUMBER(SEARCH(", "&amp;$B295&amp;", ", ", "&amp;INDEX('Form Responses'!$R$1:$R$200,6)&amp;", "))),1,""))</f>
        <v/>
      </c>
      <c r="I295">
        <f>IF(Wizards!$A$7="","",IF(OR(ISNUMBER(SEARCH(", "&amp;$B295&amp;", ", ", "&amp;INDEX('Form Responses'!$I$1:$Q$200,7,$A295)&amp;", ")),ISNUMBER(SEARCH(", "&amp;$B295&amp;", ", ", "&amp;INDEX('Form Responses'!$R$1:$R$200,7)&amp;", "))),1,""))</f>
        <v/>
      </c>
      <c r="J295">
        <f>IF(Wizards!$A$8="","",IF(OR(ISNUMBER(SEARCH(", "&amp;$B295&amp;", ", ", "&amp;INDEX('Form Responses'!$I$1:$Q$200,8,$A295)&amp;", ")),ISNUMBER(SEARCH(", "&amp;$B295&amp;", ", ", "&amp;INDEX('Form Responses'!$R$1:$R$200,8)&amp;", "))),1,""))</f>
        <v/>
      </c>
      <c r="K295">
        <f>IF(Wizards!$A$9="","",IF(OR(ISNUMBER(SEARCH(", "&amp;$B295&amp;", ", ", "&amp;INDEX('Form Responses'!$I$1:$Q$200,9,$A295)&amp;", ")),ISNUMBER(SEARCH(", "&amp;$B295&amp;", ", ", "&amp;INDEX('Form Responses'!$R$1:$R$200,9)&amp;", "))),1,""))</f>
        <v/>
      </c>
      <c r="L295">
        <f>IF(Wizards!$A$10="","",IF(OR(ISNUMBER(SEARCH(", "&amp;$B295&amp;", ", ", "&amp;INDEX('Form Responses'!$I$1:$Q$200,10,$A295)&amp;", ")),ISNUMBER(SEARCH(", "&amp;$B295&amp;", ", ", "&amp;INDEX('Form Responses'!$R$1:$R$200,10)&amp;", "))),1,""))</f>
        <v/>
      </c>
      <c r="M295">
        <f>IF(Wizards!$A$11="","",IF(OR(ISNUMBER(SEARCH(", "&amp;$B295&amp;", ", ", "&amp;INDEX('Form Responses'!$I$1:$Q$200,11,$A295)&amp;", ")),ISNUMBER(SEARCH(", "&amp;$B295&amp;", ", ", "&amp;INDEX('Form Responses'!$R$1:$R$200,11)&amp;", "))),1,""))</f>
        <v/>
      </c>
      <c r="N295">
        <f>IF(Wizards!$A$12="","",IF(OR(ISNUMBER(SEARCH(", "&amp;$B295&amp;", ", ", "&amp;INDEX('Form Responses'!$I$1:$Q$200,12,$A295)&amp;", ")),ISNUMBER(SEARCH(", "&amp;$B295&amp;", ", ", "&amp;INDEX('Form Responses'!$R$1:$R$200,12)&amp;", "))),1,""))</f>
        <v/>
      </c>
      <c r="O295">
        <f>IF(Wizards!$A$13="","",IF(OR(ISNUMBER(SEARCH(", "&amp;$B295&amp;", ", ", "&amp;INDEX('Form Responses'!$I$1:$Q$200,13,$A295)&amp;", ")),ISNUMBER(SEARCH(", "&amp;$B295&amp;", ", ", "&amp;INDEX('Form Responses'!$R$1:$R$200,13)&amp;", "))),1,""))</f>
        <v/>
      </c>
      <c r="P295">
        <f>IF(Wizards!$A$14="","",IF(OR(ISNUMBER(SEARCH(", "&amp;$B295&amp;", ", ", "&amp;INDEX('Form Responses'!$I$1:$Q$200,14,$A295)&amp;", ")),ISNUMBER(SEARCH(", "&amp;$B295&amp;", ", ", "&amp;INDEX('Form Responses'!$R$1:$R$200,14)&amp;", "))),1,""))</f>
        <v/>
      </c>
      <c r="Q295">
        <f>IF(Wizards!$A$15="","",IF(OR(ISNUMBER(SEARCH(", "&amp;$B295&amp;", ", ", "&amp;INDEX('Form Responses'!$I$1:$Q$200,15,$A295)&amp;", ")),ISNUMBER(SEARCH(", "&amp;$B295&amp;", ", ", "&amp;INDEX('Form Responses'!$R$1:$R$200,15)&amp;", "))),1,""))</f>
        <v/>
      </c>
      <c r="R295">
        <f>IF(Wizards!$A$16="","",IF(OR(ISNUMBER(SEARCH(", "&amp;$B295&amp;", ", ", "&amp;INDEX('Form Responses'!$I$1:$Q$200,16,$A295)&amp;", ")),ISNUMBER(SEARCH(", "&amp;$B295&amp;", ", ", "&amp;INDEX('Form Responses'!$R$1:$R$200,16)&amp;", "))),1,""))</f>
        <v/>
      </c>
      <c r="S295">
        <f>IF(Wizards!$A$17="","",IF(OR(ISNUMBER(SEARCH(", "&amp;$B295&amp;", ", ", "&amp;INDEX('Form Responses'!$I$1:$Q$200,17,$A295)&amp;", ")),ISNUMBER(SEARCH(", "&amp;$B295&amp;", ", ", "&amp;INDEX('Form Responses'!$R$1:$R$200,17)&amp;", "))),1,""))</f>
        <v/>
      </c>
      <c r="T295">
        <f>IF(Wizards!$A$18="","",IF(OR(ISNUMBER(SEARCH(", "&amp;$B295&amp;", ", ", "&amp;INDEX('Form Responses'!$I$1:$Q$200,18,$A295)&amp;", ")),ISNUMBER(SEARCH(", "&amp;$B295&amp;", ", ", "&amp;INDEX('Form Responses'!$R$1:$R$200,18)&amp;", "))),1,""))</f>
        <v/>
      </c>
      <c r="U295">
        <f>IF(Wizards!$A$19="","",IF(OR(ISNUMBER(SEARCH(", "&amp;$B295&amp;", ", ", "&amp;INDEX('Form Responses'!$I$1:$Q$200,19,$A295)&amp;", ")),ISNUMBER(SEARCH(", "&amp;$B295&amp;", ", ", "&amp;INDEX('Form Responses'!$R$1:$R$200,19)&amp;", "))),1,""))</f>
        <v/>
      </c>
      <c r="V295">
        <f>IF(Wizards!$A$20="","",IF(OR(ISNUMBER(SEARCH(", "&amp;$B295&amp;", ", ", "&amp;INDEX('Form Responses'!$I$1:$Q$200,20,$A295)&amp;", ")),ISNUMBER(SEARCH(", "&amp;$B295&amp;", ", ", "&amp;INDEX('Form Responses'!$R$1:$R$200,20)&amp;", "))),1,""))</f>
        <v/>
      </c>
      <c r="W295">
        <f>IF(Wizards!$A$21="","",IF(OR(ISNUMBER(SEARCH(", "&amp;$B295&amp;", ", ", "&amp;INDEX('Form Responses'!$I$1:$Q$200,21,$A295)&amp;", ")),ISNUMBER(SEARCH(", "&amp;$B295&amp;", ", ", "&amp;INDEX('Form Responses'!$R$1:$R$200,21)&amp;", "))),1,""))</f>
        <v/>
      </c>
      <c r="X295">
        <f>IF(Wizards!$A$22="","",IF(OR(ISNUMBER(SEARCH(", "&amp;$B295&amp;", ", ", "&amp;INDEX('Form Responses'!$I$1:$Q$200,22,$A295)&amp;", ")),ISNUMBER(SEARCH(", "&amp;$B295&amp;", ", ", "&amp;INDEX('Form Responses'!$R$1:$R$200,22)&amp;", "))),1,""))</f>
        <v/>
      </c>
      <c r="Y295">
        <f>IF(Wizards!$A$23="","",IF(OR(ISNUMBER(SEARCH(", "&amp;$B295&amp;", ", ", "&amp;INDEX('Form Responses'!$I$1:$Q$200,23,$A295)&amp;", ")),ISNUMBER(SEARCH(", "&amp;$B295&amp;", ", ", "&amp;INDEX('Form Responses'!$R$1:$R$200,23)&amp;", "))),1,""))</f>
        <v/>
      </c>
      <c r="Z295">
        <f>IF(Wizards!$A$24="","",IF(OR(ISNUMBER(SEARCH(", "&amp;$B295&amp;", ", ", "&amp;INDEX('Form Responses'!$I$1:$Q$200,24,$A295)&amp;", ")),ISNUMBER(SEARCH(", "&amp;$B295&amp;", ", ", "&amp;INDEX('Form Responses'!$R$1:$R$200,24)&amp;", "))),1,""))</f>
        <v/>
      </c>
      <c r="AA295">
        <f>IF(Wizards!$A$25="","",IF(OR(ISNUMBER(SEARCH(", "&amp;$B295&amp;", ", ", "&amp;INDEX('Form Responses'!$I$1:$Q$200,25,$A295)&amp;", ")),ISNUMBER(SEARCH(", "&amp;$B295&amp;", ", ", "&amp;INDEX('Form Responses'!$R$1:$R$200,25)&amp;", "))),1,""))</f>
        <v/>
      </c>
      <c r="AB295">
        <f>IF(D295=1,", "&amp;D$1,"")</f>
        <v/>
      </c>
      <c r="AC295">
        <f>IF(E295=1,", "&amp;E$1,"")</f>
        <v/>
      </c>
      <c r="AD295">
        <f>IF(F295=1,", "&amp;F$1,"")</f>
        <v/>
      </c>
      <c r="AE295">
        <f>IF(G295=1,", "&amp;G$1,"")</f>
        <v/>
      </c>
      <c r="AF295">
        <f>IF(H295=1,", "&amp;H$1,"")</f>
        <v/>
      </c>
      <c r="AG295">
        <f>IF(I295=1,", "&amp;I$1,"")</f>
        <v/>
      </c>
      <c r="AH295">
        <f>IF(J295=1,", "&amp;J$1,"")</f>
        <v/>
      </c>
      <c r="AI295">
        <f>IF(K295=1,", "&amp;K$1,"")</f>
        <v/>
      </c>
      <c r="AJ295">
        <f>IF(L295=1,", "&amp;L$1,"")</f>
        <v/>
      </c>
      <c r="AK295">
        <f>IF(M295=1,", "&amp;M$1,"")</f>
        <v/>
      </c>
      <c r="AL295">
        <f>IF(N295=1,", "&amp;N$1,"")</f>
        <v/>
      </c>
      <c r="AM295">
        <f>IF(O295=1,", "&amp;O$1,"")</f>
        <v/>
      </c>
      <c r="AN295">
        <f>IF(P295=1,", "&amp;P$1,"")</f>
        <v/>
      </c>
      <c r="AO295">
        <f>IF(Q295=1,", "&amp;Q$1,"")</f>
        <v/>
      </c>
      <c r="AP295">
        <f>IF(R295=1,", "&amp;R$1,"")</f>
        <v/>
      </c>
      <c r="AQ295">
        <f>IF(S295=1,", "&amp;S$1,"")</f>
        <v/>
      </c>
      <c r="AR295">
        <f>IF(T295=1,", "&amp;T$1,"")</f>
        <v/>
      </c>
      <c r="AS295">
        <f>IF(U295=1,", "&amp;U$1,"")</f>
        <v/>
      </c>
      <c r="AT295">
        <f>IF(V295=1,", "&amp;V$1,"")</f>
        <v/>
      </c>
      <c r="AU295">
        <f>IF(W295=1,", "&amp;W$1,"")</f>
        <v/>
      </c>
      <c r="AV295">
        <f>IF(X295=1,", "&amp;X$1,"")</f>
        <v/>
      </c>
      <c r="AW295">
        <f>IF(Y295=1,", "&amp;Y$1,"")</f>
        <v/>
      </c>
      <c r="AX295">
        <f>IF(Z295=1,", "&amp;Z$1,"")</f>
        <v/>
      </c>
      <c r="AY295">
        <f>IF(AA295=1,", "&amp;AA$1,"")</f>
        <v/>
      </c>
      <c r="AZ295">
        <f>MID($AB295&amp;$AC295&amp;$AD295&amp;$AE295&amp;$AF295&amp;$AG295&amp;$AH295&amp;$AI295&amp;$AJ295&amp;$AK295&amp;$AL295&amp;$AM295&amp;$AN295&amp;$AO295&amp;$AP295&amp;$AQ295&amp;$AR295&amp;$AS295&amp;$AT295&amp;$AU295&amp;$AV295&amp;$AW295&amp;$AX295&amp;$AY295,3,32767)</f>
        <v/>
      </c>
      <c r="BA295">
        <f>COUNT($D295:$AA295)</f>
        <v/>
      </c>
    </row>
    <row r="296">
      <c r="A296" t="n">
        <v>7</v>
      </c>
      <c r="B296" t="inlineStr">
        <is>
          <t>Mordenkainen's Sword</t>
        </is>
      </c>
      <c r="C296" t="inlineStr">
        <is>
          <t>Evocation</t>
        </is>
      </c>
      <c r="D296">
        <f>IF(Wizards!$A$2="","",IF(OR(ISNUMBER(SEARCH(", "&amp;$B296&amp;", ", ", "&amp;INDEX('Form Responses'!$I$1:$Q$200,2,$A296)&amp;", ")),ISNUMBER(SEARCH(", "&amp;$B296&amp;", ", ", "&amp;INDEX('Form Responses'!$R$1:$R$200,2)&amp;", "))),1,""))</f>
        <v/>
      </c>
      <c r="E296">
        <f>IF(Wizards!$A$3="","",IF(OR(ISNUMBER(SEARCH(", "&amp;$B296&amp;", ", ", "&amp;INDEX('Form Responses'!$I$1:$Q$200,3,$A296)&amp;", ")),ISNUMBER(SEARCH(", "&amp;$B296&amp;", ", ", "&amp;INDEX('Form Responses'!$R$1:$R$200,3)&amp;", "))),1,""))</f>
        <v/>
      </c>
      <c r="F296">
        <f>IF(Wizards!$A$4="","",IF(OR(ISNUMBER(SEARCH(", "&amp;$B296&amp;", ", ", "&amp;INDEX('Form Responses'!$I$1:$Q$200,4,$A296)&amp;", ")),ISNUMBER(SEARCH(", "&amp;$B296&amp;", ", ", "&amp;INDEX('Form Responses'!$R$1:$R$200,4)&amp;", "))),1,""))</f>
        <v/>
      </c>
      <c r="G296">
        <f>IF(Wizards!$A$5="","",IF(OR(ISNUMBER(SEARCH(", "&amp;$B296&amp;", ", ", "&amp;INDEX('Form Responses'!$I$1:$Q$200,5,$A296)&amp;", ")),ISNUMBER(SEARCH(", "&amp;$B296&amp;", ", ", "&amp;INDEX('Form Responses'!$R$1:$R$200,5)&amp;", "))),1,""))</f>
        <v/>
      </c>
      <c r="H296">
        <f>IF(Wizards!$A$6="","",IF(OR(ISNUMBER(SEARCH(", "&amp;$B296&amp;", ", ", "&amp;INDEX('Form Responses'!$I$1:$Q$200,6,$A296)&amp;", ")),ISNUMBER(SEARCH(", "&amp;$B296&amp;", ", ", "&amp;INDEX('Form Responses'!$R$1:$R$200,6)&amp;", "))),1,""))</f>
        <v/>
      </c>
      <c r="I296">
        <f>IF(Wizards!$A$7="","",IF(OR(ISNUMBER(SEARCH(", "&amp;$B296&amp;", ", ", "&amp;INDEX('Form Responses'!$I$1:$Q$200,7,$A296)&amp;", ")),ISNUMBER(SEARCH(", "&amp;$B296&amp;", ", ", "&amp;INDEX('Form Responses'!$R$1:$R$200,7)&amp;", "))),1,""))</f>
        <v/>
      </c>
      <c r="J296">
        <f>IF(Wizards!$A$8="","",IF(OR(ISNUMBER(SEARCH(", "&amp;$B296&amp;", ", ", "&amp;INDEX('Form Responses'!$I$1:$Q$200,8,$A296)&amp;", ")),ISNUMBER(SEARCH(", "&amp;$B296&amp;", ", ", "&amp;INDEX('Form Responses'!$R$1:$R$200,8)&amp;", "))),1,""))</f>
        <v/>
      </c>
      <c r="K296">
        <f>IF(Wizards!$A$9="","",IF(OR(ISNUMBER(SEARCH(", "&amp;$B296&amp;", ", ", "&amp;INDEX('Form Responses'!$I$1:$Q$200,9,$A296)&amp;", ")),ISNUMBER(SEARCH(", "&amp;$B296&amp;", ", ", "&amp;INDEX('Form Responses'!$R$1:$R$200,9)&amp;", "))),1,""))</f>
        <v/>
      </c>
      <c r="L296">
        <f>IF(Wizards!$A$10="","",IF(OR(ISNUMBER(SEARCH(", "&amp;$B296&amp;", ", ", "&amp;INDEX('Form Responses'!$I$1:$Q$200,10,$A296)&amp;", ")),ISNUMBER(SEARCH(", "&amp;$B296&amp;", ", ", "&amp;INDEX('Form Responses'!$R$1:$R$200,10)&amp;", "))),1,""))</f>
        <v/>
      </c>
      <c r="M296">
        <f>IF(Wizards!$A$11="","",IF(OR(ISNUMBER(SEARCH(", "&amp;$B296&amp;", ", ", "&amp;INDEX('Form Responses'!$I$1:$Q$200,11,$A296)&amp;", ")),ISNUMBER(SEARCH(", "&amp;$B296&amp;", ", ", "&amp;INDEX('Form Responses'!$R$1:$R$200,11)&amp;", "))),1,""))</f>
        <v/>
      </c>
      <c r="N296">
        <f>IF(Wizards!$A$12="","",IF(OR(ISNUMBER(SEARCH(", "&amp;$B296&amp;", ", ", "&amp;INDEX('Form Responses'!$I$1:$Q$200,12,$A296)&amp;", ")),ISNUMBER(SEARCH(", "&amp;$B296&amp;", ", ", "&amp;INDEX('Form Responses'!$R$1:$R$200,12)&amp;", "))),1,""))</f>
        <v/>
      </c>
      <c r="O296">
        <f>IF(Wizards!$A$13="","",IF(OR(ISNUMBER(SEARCH(", "&amp;$B296&amp;", ", ", "&amp;INDEX('Form Responses'!$I$1:$Q$200,13,$A296)&amp;", ")),ISNUMBER(SEARCH(", "&amp;$B296&amp;", ", ", "&amp;INDEX('Form Responses'!$R$1:$R$200,13)&amp;", "))),1,""))</f>
        <v/>
      </c>
      <c r="P296">
        <f>IF(Wizards!$A$14="","",IF(OR(ISNUMBER(SEARCH(", "&amp;$B296&amp;", ", ", "&amp;INDEX('Form Responses'!$I$1:$Q$200,14,$A296)&amp;", ")),ISNUMBER(SEARCH(", "&amp;$B296&amp;", ", ", "&amp;INDEX('Form Responses'!$R$1:$R$200,14)&amp;", "))),1,""))</f>
        <v/>
      </c>
      <c r="Q296">
        <f>IF(Wizards!$A$15="","",IF(OR(ISNUMBER(SEARCH(", "&amp;$B296&amp;", ", ", "&amp;INDEX('Form Responses'!$I$1:$Q$200,15,$A296)&amp;", ")),ISNUMBER(SEARCH(", "&amp;$B296&amp;", ", ", "&amp;INDEX('Form Responses'!$R$1:$R$200,15)&amp;", "))),1,""))</f>
        <v/>
      </c>
      <c r="R296">
        <f>IF(Wizards!$A$16="","",IF(OR(ISNUMBER(SEARCH(", "&amp;$B296&amp;", ", ", "&amp;INDEX('Form Responses'!$I$1:$Q$200,16,$A296)&amp;", ")),ISNUMBER(SEARCH(", "&amp;$B296&amp;", ", ", "&amp;INDEX('Form Responses'!$R$1:$R$200,16)&amp;", "))),1,""))</f>
        <v/>
      </c>
      <c r="S296">
        <f>IF(Wizards!$A$17="","",IF(OR(ISNUMBER(SEARCH(", "&amp;$B296&amp;", ", ", "&amp;INDEX('Form Responses'!$I$1:$Q$200,17,$A296)&amp;", ")),ISNUMBER(SEARCH(", "&amp;$B296&amp;", ", ", "&amp;INDEX('Form Responses'!$R$1:$R$200,17)&amp;", "))),1,""))</f>
        <v/>
      </c>
      <c r="T296">
        <f>IF(Wizards!$A$18="","",IF(OR(ISNUMBER(SEARCH(", "&amp;$B296&amp;", ", ", "&amp;INDEX('Form Responses'!$I$1:$Q$200,18,$A296)&amp;", ")),ISNUMBER(SEARCH(", "&amp;$B296&amp;", ", ", "&amp;INDEX('Form Responses'!$R$1:$R$200,18)&amp;", "))),1,""))</f>
        <v/>
      </c>
      <c r="U296">
        <f>IF(Wizards!$A$19="","",IF(OR(ISNUMBER(SEARCH(", "&amp;$B296&amp;", ", ", "&amp;INDEX('Form Responses'!$I$1:$Q$200,19,$A296)&amp;", ")),ISNUMBER(SEARCH(", "&amp;$B296&amp;", ", ", "&amp;INDEX('Form Responses'!$R$1:$R$200,19)&amp;", "))),1,""))</f>
        <v/>
      </c>
      <c r="V296">
        <f>IF(Wizards!$A$20="","",IF(OR(ISNUMBER(SEARCH(", "&amp;$B296&amp;", ", ", "&amp;INDEX('Form Responses'!$I$1:$Q$200,20,$A296)&amp;", ")),ISNUMBER(SEARCH(", "&amp;$B296&amp;", ", ", "&amp;INDEX('Form Responses'!$R$1:$R$200,20)&amp;", "))),1,""))</f>
        <v/>
      </c>
      <c r="W296">
        <f>IF(Wizards!$A$21="","",IF(OR(ISNUMBER(SEARCH(", "&amp;$B296&amp;", ", ", "&amp;INDEX('Form Responses'!$I$1:$Q$200,21,$A296)&amp;", ")),ISNUMBER(SEARCH(", "&amp;$B296&amp;", ", ", "&amp;INDEX('Form Responses'!$R$1:$R$200,21)&amp;", "))),1,""))</f>
        <v/>
      </c>
      <c r="X296">
        <f>IF(Wizards!$A$22="","",IF(OR(ISNUMBER(SEARCH(", "&amp;$B296&amp;", ", ", "&amp;INDEX('Form Responses'!$I$1:$Q$200,22,$A296)&amp;", ")),ISNUMBER(SEARCH(", "&amp;$B296&amp;", ", ", "&amp;INDEX('Form Responses'!$R$1:$R$200,22)&amp;", "))),1,""))</f>
        <v/>
      </c>
      <c r="Y296">
        <f>IF(Wizards!$A$23="","",IF(OR(ISNUMBER(SEARCH(", "&amp;$B296&amp;", ", ", "&amp;INDEX('Form Responses'!$I$1:$Q$200,23,$A296)&amp;", ")),ISNUMBER(SEARCH(", "&amp;$B296&amp;", ", ", "&amp;INDEX('Form Responses'!$R$1:$R$200,23)&amp;", "))),1,""))</f>
        <v/>
      </c>
      <c r="Z296">
        <f>IF(Wizards!$A$24="","",IF(OR(ISNUMBER(SEARCH(", "&amp;$B296&amp;", ", ", "&amp;INDEX('Form Responses'!$I$1:$Q$200,24,$A296)&amp;", ")),ISNUMBER(SEARCH(", "&amp;$B296&amp;", ", ", "&amp;INDEX('Form Responses'!$R$1:$R$200,24)&amp;", "))),1,""))</f>
        <v/>
      </c>
      <c r="AA296">
        <f>IF(Wizards!$A$25="","",IF(OR(ISNUMBER(SEARCH(", "&amp;$B296&amp;", ", ", "&amp;INDEX('Form Responses'!$I$1:$Q$200,25,$A296)&amp;", ")),ISNUMBER(SEARCH(", "&amp;$B296&amp;", ", ", "&amp;INDEX('Form Responses'!$R$1:$R$200,25)&amp;", "))),1,""))</f>
        <v/>
      </c>
      <c r="AB296">
        <f>IF(D296=1,", "&amp;D$1,"")</f>
        <v/>
      </c>
      <c r="AC296">
        <f>IF(E296=1,", "&amp;E$1,"")</f>
        <v/>
      </c>
      <c r="AD296">
        <f>IF(F296=1,", "&amp;F$1,"")</f>
        <v/>
      </c>
      <c r="AE296">
        <f>IF(G296=1,", "&amp;G$1,"")</f>
        <v/>
      </c>
      <c r="AF296">
        <f>IF(H296=1,", "&amp;H$1,"")</f>
        <v/>
      </c>
      <c r="AG296">
        <f>IF(I296=1,", "&amp;I$1,"")</f>
        <v/>
      </c>
      <c r="AH296">
        <f>IF(J296=1,", "&amp;J$1,"")</f>
        <v/>
      </c>
      <c r="AI296">
        <f>IF(K296=1,", "&amp;K$1,"")</f>
        <v/>
      </c>
      <c r="AJ296">
        <f>IF(L296=1,", "&amp;L$1,"")</f>
        <v/>
      </c>
      <c r="AK296">
        <f>IF(M296=1,", "&amp;M$1,"")</f>
        <v/>
      </c>
      <c r="AL296">
        <f>IF(N296=1,", "&amp;N$1,"")</f>
        <v/>
      </c>
      <c r="AM296">
        <f>IF(O296=1,", "&amp;O$1,"")</f>
        <v/>
      </c>
      <c r="AN296">
        <f>IF(P296=1,", "&amp;P$1,"")</f>
        <v/>
      </c>
      <c r="AO296">
        <f>IF(Q296=1,", "&amp;Q$1,"")</f>
        <v/>
      </c>
      <c r="AP296">
        <f>IF(R296=1,", "&amp;R$1,"")</f>
        <v/>
      </c>
      <c r="AQ296">
        <f>IF(S296=1,", "&amp;S$1,"")</f>
        <v/>
      </c>
      <c r="AR296">
        <f>IF(T296=1,", "&amp;T$1,"")</f>
        <v/>
      </c>
      <c r="AS296">
        <f>IF(U296=1,", "&amp;U$1,"")</f>
        <v/>
      </c>
      <c r="AT296">
        <f>IF(V296=1,", "&amp;V$1,"")</f>
        <v/>
      </c>
      <c r="AU296">
        <f>IF(W296=1,", "&amp;W$1,"")</f>
        <v/>
      </c>
      <c r="AV296">
        <f>IF(X296=1,", "&amp;X$1,"")</f>
        <v/>
      </c>
      <c r="AW296">
        <f>IF(Y296=1,", "&amp;Y$1,"")</f>
        <v/>
      </c>
      <c r="AX296">
        <f>IF(Z296=1,", "&amp;Z$1,"")</f>
        <v/>
      </c>
      <c r="AY296">
        <f>IF(AA296=1,", "&amp;AA$1,"")</f>
        <v/>
      </c>
      <c r="AZ296">
        <f>MID($AB296&amp;$AC296&amp;$AD296&amp;$AE296&amp;$AF296&amp;$AG296&amp;$AH296&amp;$AI296&amp;$AJ296&amp;$AK296&amp;$AL296&amp;$AM296&amp;$AN296&amp;$AO296&amp;$AP296&amp;$AQ296&amp;$AR296&amp;$AS296&amp;$AT296&amp;$AU296&amp;$AV296&amp;$AW296&amp;$AX296&amp;$AY296,3,32767)</f>
        <v/>
      </c>
      <c r="BA296">
        <f>COUNT($D296:$AA296)</f>
        <v/>
      </c>
    </row>
    <row r="297">
      <c r="A297" t="n">
        <v>7</v>
      </c>
      <c r="B297" t="inlineStr">
        <is>
          <t>Plane Shift</t>
        </is>
      </c>
      <c r="C297" t="inlineStr">
        <is>
          <t>Conjuration</t>
        </is>
      </c>
      <c r="D297">
        <f>IF(Wizards!$A$2="","",IF(OR(ISNUMBER(SEARCH(", "&amp;$B297&amp;", ", ", "&amp;INDEX('Form Responses'!$I$1:$Q$200,2,$A297)&amp;", ")),ISNUMBER(SEARCH(", "&amp;$B297&amp;", ", ", "&amp;INDEX('Form Responses'!$R$1:$R$200,2)&amp;", "))),1,""))</f>
        <v/>
      </c>
      <c r="E297">
        <f>IF(Wizards!$A$3="","",IF(OR(ISNUMBER(SEARCH(", "&amp;$B297&amp;", ", ", "&amp;INDEX('Form Responses'!$I$1:$Q$200,3,$A297)&amp;", ")),ISNUMBER(SEARCH(", "&amp;$B297&amp;", ", ", "&amp;INDEX('Form Responses'!$R$1:$R$200,3)&amp;", "))),1,""))</f>
        <v/>
      </c>
      <c r="F297">
        <f>IF(Wizards!$A$4="","",IF(OR(ISNUMBER(SEARCH(", "&amp;$B297&amp;", ", ", "&amp;INDEX('Form Responses'!$I$1:$Q$200,4,$A297)&amp;", ")),ISNUMBER(SEARCH(", "&amp;$B297&amp;", ", ", "&amp;INDEX('Form Responses'!$R$1:$R$200,4)&amp;", "))),1,""))</f>
        <v/>
      </c>
      <c r="G297">
        <f>IF(Wizards!$A$5="","",IF(OR(ISNUMBER(SEARCH(", "&amp;$B297&amp;", ", ", "&amp;INDEX('Form Responses'!$I$1:$Q$200,5,$A297)&amp;", ")),ISNUMBER(SEARCH(", "&amp;$B297&amp;", ", ", "&amp;INDEX('Form Responses'!$R$1:$R$200,5)&amp;", "))),1,""))</f>
        <v/>
      </c>
      <c r="H297">
        <f>IF(Wizards!$A$6="","",IF(OR(ISNUMBER(SEARCH(", "&amp;$B297&amp;", ", ", "&amp;INDEX('Form Responses'!$I$1:$Q$200,6,$A297)&amp;", ")),ISNUMBER(SEARCH(", "&amp;$B297&amp;", ", ", "&amp;INDEX('Form Responses'!$R$1:$R$200,6)&amp;", "))),1,""))</f>
        <v/>
      </c>
      <c r="I297">
        <f>IF(Wizards!$A$7="","",IF(OR(ISNUMBER(SEARCH(", "&amp;$B297&amp;", ", ", "&amp;INDEX('Form Responses'!$I$1:$Q$200,7,$A297)&amp;", ")),ISNUMBER(SEARCH(", "&amp;$B297&amp;", ", ", "&amp;INDEX('Form Responses'!$R$1:$R$200,7)&amp;", "))),1,""))</f>
        <v/>
      </c>
      <c r="J297">
        <f>IF(Wizards!$A$8="","",IF(OR(ISNUMBER(SEARCH(", "&amp;$B297&amp;", ", ", "&amp;INDEX('Form Responses'!$I$1:$Q$200,8,$A297)&amp;", ")),ISNUMBER(SEARCH(", "&amp;$B297&amp;", ", ", "&amp;INDEX('Form Responses'!$R$1:$R$200,8)&amp;", "))),1,""))</f>
        <v/>
      </c>
      <c r="K297">
        <f>IF(Wizards!$A$9="","",IF(OR(ISNUMBER(SEARCH(", "&amp;$B297&amp;", ", ", "&amp;INDEX('Form Responses'!$I$1:$Q$200,9,$A297)&amp;", ")),ISNUMBER(SEARCH(", "&amp;$B297&amp;", ", ", "&amp;INDEX('Form Responses'!$R$1:$R$200,9)&amp;", "))),1,""))</f>
        <v/>
      </c>
      <c r="L297">
        <f>IF(Wizards!$A$10="","",IF(OR(ISNUMBER(SEARCH(", "&amp;$B297&amp;", ", ", "&amp;INDEX('Form Responses'!$I$1:$Q$200,10,$A297)&amp;", ")),ISNUMBER(SEARCH(", "&amp;$B297&amp;", ", ", "&amp;INDEX('Form Responses'!$R$1:$R$200,10)&amp;", "))),1,""))</f>
        <v/>
      </c>
      <c r="M297">
        <f>IF(Wizards!$A$11="","",IF(OR(ISNUMBER(SEARCH(", "&amp;$B297&amp;", ", ", "&amp;INDEX('Form Responses'!$I$1:$Q$200,11,$A297)&amp;", ")),ISNUMBER(SEARCH(", "&amp;$B297&amp;", ", ", "&amp;INDEX('Form Responses'!$R$1:$R$200,11)&amp;", "))),1,""))</f>
        <v/>
      </c>
      <c r="N297">
        <f>IF(Wizards!$A$12="","",IF(OR(ISNUMBER(SEARCH(", "&amp;$B297&amp;", ", ", "&amp;INDEX('Form Responses'!$I$1:$Q$200,12,$A297)&amp;", ")),ISNUMBER(SEARCH(", "&amp;$B297&amp;", ", ", "&amp;INDEX('Form Responses'!$R$1:$R$200,12)&amp;", "))),1,""))</f>
        <v/>
      </c>
      <c r="O297">
        <f>IF(Wizards!$A$13="","",IF(OR(ISNUMBER(SEARCH(", "&amp;$B297&amp;", ", ", "&amp;INDEX('Form Responses'!$I$1:$Q$200,13,$A297)&amp;", ")),ISNUMBER(SEARCH(", "&amp;$B297&amp;", ", ", "&amp;INDEX('Form Responses'!$R$1:$R$200,13)&amp;", "))),1,""))</f>
        <v/>
      </c>
      <c r="P297">
        <f>IF(Wizards!$A$14="","",IF(OR(ISNUMBER(SEARCH(", "&amp;$B297&amp;", ", ", "&amp;INDEX('Form Responses'!$I$1:$Q$200,14,$A297)&amp;", ")),ISNUMBER(SEARCH(", "&amp;$B297&amp;", ", ", "&amp;INDEX('Form Responses'!$R$1:$R$200,14)&amp;", "))),1,""))</f>
        <v/>
      </c>
      <c r="Q297">
        <f>IF(Wizards!$A$15="","",IF(OR(ISNUMBER(SEARCH(", "&amp;$B297&amp;", ", ", "&amp;INDEX('Form Responses'!$I$1:$Q$200,15,$A297)&amp;", ")),ISNUMBER(SEARCH(", "&amp;$B297&amp;", ", ", "&amp;INDEX('Form Responses'!$R$1:$R$200,15)&amp;", "))),1,""))</f>
        <v/>
      </c>
      <c r="R297">
        <f>IF(Wizards!$A$16="","",IF(OR(ISNUMBER(SEARCH(", "&amp;$B297&amp;", ", ", "&amp;INDEX('Form Responses'!$I$1:$Q$200,16,$A297)&amp;", ")),ISNUMBER(SEARCH(", "&amp;$B297&amp;", ", ", "&amp;INDEX('Form Responses'!$R$1:$R$200,16)&amp;", "))),1,""))</f>
        <v/>
      </c>
      <c r="S297">
        <f>IF(Wizards!$A$17="","",IF(OR(ISNUMBER(SEARCH(", "&amp;$B297&amp;", ", ", "&amp;INDEX('Form Responses'!$I$1:$Q$200,17,$A297)&amp;", ")),ISNUMBER(SEARCH(", "&amp;$B297&amp;", ", ", "&amp;INDEX('Form Responses'!$R$1:$R$200,17)&amp;", "))),1,""))</f>
        <v/>
      </c>
      <c r="T297">
        <f>IF(Wizards!$A$18="","",IF(OR(ISNUMBER(SEARCH(", "&amp;$B297&amp;", ", ", "&amp;INDEX('Form Responses'!$I$1:$Q$200,18,$A297)&amp;", ")),ISNUMBER(SEARCH(", "&amp;$B297&amp;", ", ", "&amp;INDEX('Form Responses'!$R$1:$R$200,18)&amp;", "))),1,""))</f>
        <v/>
      </c>
      <c r="U297">
        <f>IF(Wizards!$A$19="","",IF(OR(ISNUMBER(SEARCH(", "&amp;$B297&amp;", ", ", "&amp;INDEX('Form Responses'!$I$1:$Q$200,19,$A297)&amp;", ")),ISNUMBER(SEARCH(", "&amp;$B297&amp;", ", ", "&amp;INDEX('Form Responses'!$R$1:$R$200,19)&amp;", "))),1,""))</f>
        <v/>
      </c>
      <c r="V297">
        <f>IF(Wizards!$A$20="","",IF(OR(ISNUMBER(SEARCH(", "&amp;$B297&amp;", ", ", "&amp;INDEX('Form Responses'!$I$1:$Q$200,20,$A297)&amp;", ")),ISNUMBER(SEARCH(", "&amp;$B297&amp;", ", ", "&amp;INDEX('Form Responses'!$R$1:$R$200,20)&amp;", "))),1,""))</f>
        <v/>
      </c>
      <c r="W297">
        <f>IF(Wizards!$A$21="","",IF(OR(ISNUMBER(SEARCH(", "&amp;$B297&amp;", ", ", "&amp;INDEX('Form Responses'!$I$1:$Q$200,21,$A297)&amp;", ")),ISNUMBER(SEARCH(", "&amp;$B297&amp;", ", ", "&amp;INDEX('Form Responses'!$R$1:$R$200,21)&amp;", "))),1,""))</f>
        <v/>
      </c>
      <c r="X297">
        <f>IF(Wizards!$A$22="","",IF(OR(ISNUMBER(SEARCH(", "&amp;$B297&amp;", ", ", "&amp;INDEX('Form Responses'!$I$1:$Q$200,22,$A297)&amp;", ")),ISNUMBER(SEARCH(", "&amp;$B297&amp;", ", ", "&amp;INDEX('Form Responses'!$R$1:$R$200,22)&amp;", "))),1,""))</f>
        <v/>
      </c>
      <c r="Y297">
        <f>IF(Wizards!$A$23="","",IF(OR(ISNUMBER(SEARCH(", "&amp;$B297&amp;", ", ", "&amp;INDEX('Form Responses'!$I$1:$Q$200,23,$A297)&amp;", ")),ISNUMBER(SEARCH(", "&amp;$B297&amp;", ", ", "&amp;INDEX('Form Responses'!$R$1:$R$200,23)&amp;", "))),1,""))</f>
        <v/>
      </c>
      <c r="Z297">
        <f>IF(Wizards!$A$24="","",IF(OR(ISNUMBER(SEARCH(", "&amp;$B297&amp;", ", ", "&amp;INDEX('Form Responses'!$I$1:$Q$200,24,$A297)&amp;", ")),ISNUMBER(SEARCH(", "&amp;$B297&amp;", ", ", "&amp;INDEX('Form Responses'!$R$1:$R$200,24)&amp;", "))),1,""))</f>
        <v/>
      </c>
      <c r="AA297">
        <f>IF(Wizards!$A$25="","",IF(OR(ISNUMBER(SEARCH(", "&amp;$B297&amp;", ", ", "&amp;INDEX('Form Responses'!$I$1:$Q$200,25,$A297)&amp;", ")),ISNUMBER(SEARCH(", "&amp;$B297&amp;", ", ", "&amp;INDEX('Form Responses'!$R$1:$R$200,25)&amp;", "))),1,""))</f>
        <v/>
      </c>
      <c r="AB297">
        <f>IF(D297=1,", "&amp;D$1,"")</f>
        <v/>
      </c>
      <c r="AC297">
        <f>IF(E297=1,", "&amp;E$1,"")</f>
        <v/>
      </c>
      <c r="AD297">
        <f>IF(F297=1,", "&amp;F$1,"")</f>
        <v/>
      </c>
      <c r="AE297">
        <f>IF(G297=1,", "&amp;G$1,"")</f>
        <v/>
      </c>
      <c r="AF297">
        <f>IF(H297=1,", "&amp;H$1,"")</f>
        <v/>
      </c>
      <c r="AG297">
        <f>IF(I297=1,", "&amp;I$1,"")</f>
        <v/>
      </c>
      <c r="AH297">
        <f>IF(J297=1,", "&amp;J$1,"")</f>
        <v/>
      </c>
      <c r="AI297">
        <f>IF(K297=1,", "&amp;K$1,"")</f>
        <v/>
      </c>
      <c r="AJ297">
        <f>IF(L297=1,", "&amp;L$1,"")</f>
        <v/>
      </c>
      <c r="AK297">
        <f>IF(M297=1,", "&amp;M$1,"")</f>
        <v/>
      </c>
      <c r="AL297">
        <f>IF(N297=1,", "&amp;N$1,"")</f>
        <v/>
      </c>
      <c r="AM297">
        <f>IF(O297=1,", "&amp;O$1,"")</f>
        <v/>
      </c>
      <c r="AN297">
        <f>IF(P297=1,", "&amp;P$1,"")</f>
        <v/>
      </c>
      <c r="AO297">
        <f>IF(Q297=1,", "&amp;Q$1,"")</f>
        <v/>
      </c>
      <c r="AP297">
        <f>IF(R297=1,", "&amp;R$1,"")</f>
        <v/>
      </c>
      <c r="AQ297">
        <f>IF(S297=1,", "&amp;S$1,"")</f>
        <v/>
      </c>
      <c r="AR297">
        <f>IF(T297=1,", "&amp;T$1,"")</f>
        <v/>
      </c>
      <c r="AS297">
        <f>IF(U297=1,", "&amp;U$1,"")</f>
        <v/>
      </c>
      <c r="AT297">
        <f>IF(V297=1,", "&amp;V$1,"")</f>
        <v/>
      </c>
      <c r="AU297">
        <f>IF(W297=1,", "&amp;W$1,"")</f>
        <v/>
      </c>
      <c r="AV297">
        <f>IF(X297=1,", "&amp;X$1,"")</f>
        <v/>
      </c>
      <c r="AW297">
        <f>IF(Y297=1,", "&amp;Y$1,"")</f>
        <v/>
      </c>
      <c r="AX297">
        <f>IF(Z297=1,", "&amp;Z$1,"")</f>
        <v/>
      </c>
      <c r="AY297">
        <f>IF(AA297=1,", "&amp;AA$1,"")</f>
        <v/>
      </c>
      <c r="AZ297">
        <f>MID($AB297&amp;$AC297&amp;$AD297&amp;$AE297&amp;$AF297&amp;$AG297&amp;$AH297&amp;$AI297&amp;$AJ297&amp;$AK297&amp;$AL297&amp;$AM297&amp;$AN297&amp;$AO297&amp;$AP297&amp;$AQ297&amp;$AR297&amp;$AS297&amp;$AT297&amp;$AU297&amp;$AV297&amp;$AW297&amp;$AX297&amp;$AY297,3,32767)</f>
        <v/>
      </c>
      <c r="BA297">
        <f>COUNT($D297:$AA297)</f>
        <v/>
      </c>
    </row>
    <row r="298">
      <c r="A298" t="n">
        <v>7</v>
      </c>
      <c r="B298" t="inlineStr">
        <is>
          <t>Power Word Pain</t>
        </is>
      </c>
      <c r="C298" t="inlineStr">
        <is>
          <t>Enchantment</t>
        </is>
      </c>
      <c r="D298">
        <f>IF(Wizards!$A$2="","",IF(OR(ISNUMBER(SEARCH(", "&amp;$B298&amp;", ", ", "&amp;INDEX('Form Responses'!$I$1:$Q$200,2,$A298)&amp;", ")),ISNUMBER(SEARCH(", "&amp;$B298&amp;", ", ", "&amp;INDEX('Form Responses'!$R$1:$R$200,2)&amp;", "))),1,""))</f>
        <v/>
      </c>
      <c r="E298">
        <f>IF(Wizards!$A$3="","",IF(OR(ISNUMBER(SEARCH(", "&amp;$B298&amp;", ", ", "&amp;INDEX('Form Responses'!$I$1:$Q$200,3,$A298)&amp;", ")),ISNUMBER(SEARCH(", "&amp;$B298&amp;", ", ", "&amp;INDEX('Form Responses'!$R$1:$R$200,3)&amp;", "))),1,""))</f>
        <v/>
      </c>
      <c r="F298">
        <f>IF(Wizards!$A$4="","",IF(OR(ISNUMBER(SEARCH(", "&amp;$B298&amp;", ", ", "&amp;INDEX('Form Responses'!$I$1:$Q$200,4,$A298)&amp;", ")),ISNUMBER(SEARCH(", "&amp;$B298&amp;", ", ", "&amp;INDEX('Form Responses'!$R$1:$R$200,4)&amp;", "))),1,""))</f>
        <v/>
      </c>
      <c r="G298">
        <f>IF(Wizards!$A$5="","",IF(OR(ISNUMBER(SEARCH(", "&amp;$B298&amp;", ", ", "&amp;INDEX('Form Responses'!$I$1:$Q$200,5,$A298)&amp;", ")),ISNUMBER(SEARCH(", "&amp;$B298&amp;", ", ", "&amp;INDEX('Form Responses'!$R$1:$R$200,5)&amp;", "))),1,""))</f>
        <v/>
      </c>
      <c r="H298">
        <f>IF(Wizards!$A$6="","",IF(OR(ISNUMBER(SEARCH(", "&amp;$B298&amp;", ", ", "&amp;INDEX('Form Responses'!$I$1:$Q$200,6,$A298)&amp;", ")),ISNUMBER(SEARCH(", "&amp;$B298&amp;", ", ", "&amp;INDEX('Form Responses'!$R$1:$R$200,6)&amp;", "))),1,""))</f>
        <v/>
      </c>
      <c r="I298">
        <f>IF(Wizards!$A$7="","",IF(OR(ISNUMBER(SEARCH(", "&amp;$B298&amp;", ", ", "&amp;INDEX('Form Responses'!$I$1:$Q$200,7,$A298)&amp;", ")),ISNUMBER(SEARCH(", "&amp;$B298&amp;", ", ", "&amp;INDEX('Form Responses'!$R$1:$R$200,7)&amp;", "))),1,""))</f>
        <v/>
      </c>
      <c r="J298">
        <f>IF(Wizards!$A$8="","",IF(OR(ISNUMBER(SEARCH(", "&amp;$B298&amp;", ", ", "&amp;INDEX('Form Responses'!$I$1:$Q$200,8,$A298)&amp;", ")),ISNUMBER(SEARCH(", "&amp;$B298&amp;", ", ", "&amp;INDEX('Form Responses'!$R$1:$R$200,8)&amp;", "))),1,""))</f>
        <v/>
      </c>
      <c r="K298">
        <f>IF(Wizards!$A$9="","",IF(OR(ISNUMBER(SEARCH(", "&amp;$B298&amp;", ", ", "&amp;INDEX('Form Responses'!$I$1:$Q$200,9,$A298)&amp;", ")),ISNUMBER(SEARCH(", "&amp;$B298&amp;", ", ", "&amp;INDEX('Form Responses'!$R$1:$R$200,9)&amp;", "))),1,""))</f>
        <v/>
      </c>
      <c r="L298">
        <f>IF(Wizards!$A$10="","",IF(OR(ISNUMBER(SEARCH(", "&amp;$B298&amp;", ", ", "&amp;INDEX('Form Responses'!$I$1:$Q$200,10,$A298)&amp;", ")),ISNUMBER(SEARCH(", "&amp;$B298&amp;", ", ", "&amp;INDEX('Form Responses'!$R$1:$R$200,10)&amp;", "))),1,""))</f>
        <v/>
      </c>
      <c r="M298">
        <f>IF(Wizards!$A$11="","",IF(OR(ISNUMBER(SEARCH(", "&amp;$B298&amp;", ", ", "&amp;INDEX('Form Responses'!$I$1:$Q$200,11,$A298)&amp;", ")),ISNUMBER(SEARCH(", "&amp;$B298&amp;", ", ", "&amp;INDEX('Form Responses'!$R$1:$R$200,11)&amp;", "))),1,""))</f>
        <v/>
      </c>
      <c r="N298">
        <f>IF(Wizards!$A$12="","",IF(OR(ISNUMBER(SEARCH(", "&amp;$B298&amp;", ", ", "&amp;INDEX('Form Responses'!$I$1:$Q$200,12,$A298)&amp;", ")),ISNUMBER(SEARCH(", "&amp;$B298&amp;", ", ", "&amp;INDEX('Form Responses'!$R$1:$R$200,12)&amp;", "))),1,""))</f>
        <v/>
      </c>
      <c r="O298">
        <f>IF(Wizards!$A$13="","",IF(OR(ISNUMBER(SEARCH(", "&amp;$B298&amp;", ", ", "&amp;INDEX('Form Responses'!$I$1:$Q$200,13,$A298)&amp;", ")),ISNUMBER(SEARCH(", "&amp;$B298&amp;", ", ", "&amp;INDEX('Form Responses'!$R$1:$R$200,13)&amp;", "))),1,""))</f>
        <v/>
      </c>
      <c r="P298">
        <f>IF(Wizards!$A$14="","",IF(OR(ISNUMBER(SEARCH(", "&amp;$B298&amp;", ", ", "&amp;INDEX('Form Responses'!$I$1:$Q$200,14,$A298)&amp;", ")),ISNUMBER(SEARCH(", "&amp;$B298&amp;", ", ", "&amp;INDEX('Form Responses'!$R$1:$R$200,14)&amp;", "))),1,""))</f>
        <v/>
      </c>
      <c r="Q298">
        <f>IF(Wizards!$A$15="","",IF(OR(ISNUMBER(SEARCH(", "&amp;$B298&amp;", ", ", "&amp;INDEX('Form Responses'!$I$1:$Q$200,15,$A298)&amp;", ")),ISNUMBER(SEARCH(", "&amp;$B298&amp;", ", ", "&amp;INDEX('Form Responses'!$R$1:$R$200,15)&amp;", "))),1,""))</f>
        <v/>
      </c>
      <c r="R298">
        <f>IF(Wizards!$A$16="","",IF(OR(ISNUMBER(SEARCH(", "&amp;$B298&amp;", ", ", "&amp;INDEX('Form Responses'!$I$1:$Q$200,16,$A298)&amp;", ")),ISNUMBER(SEARCH(", "&amp;$B298&amp;", ", ", "&amp;INDEX('Form Responses'!$R$1:$R$200,16)&amp;", "))),1,""))</f>
        <v/>
      </c>
      <c r="S298">
        <f>IF(Wizards!$A$17="","",IF(OR(ISNUMBER(SEARCH(", "&amp;$B298&amp;", ", ", "&amp;INDEX('Form Responses'!$I$1:$Q$200,17,$A298)&amp;", ")),ISNUMBER(SEARCH(", "&amp;$B298&amp;", ", ", "&amp;INDEX('Form Responses'!$R$1:$R$200,17)&amp;", "))),1,""))</f>
        <v/>
      </c>
      <c r="T298">
        <f>IF(Wizards!$A$18="","",IF(OR(ISNUMBER(SEARCH(", "&amp;$B298&amp;", ", ", "&amp;INDEX('Form Responses'!$I$1:$Q$200,18,$A298)&amp;", ")),ISNUMBER(SEARCH(", "&amp;$B298&amp;", ", ", "&amp;INDEX('Form Responses'!$R$1:$R$200,18)&amp;", "))),1,""))</f>
        <v/>
      </c>
      <c r="U298">
        <f>IF(Wizards!$A$19="","",IF(OR(ISNUMBER(SEARCH(", "&amp;$B298&amp;", ", ", "&amp;INDEX('Form Responses'!$I$1:$Q$200,19,$A298)&amp;", ")),ISNUMBER(SEARCH(", "&amp;$B298&amp;", ", ", "&amp;INDEX('Form Responses'!$R$1:$R$200,19)&amp;", "))),1,""))</f>
        <v/>
      </c>
      <c r="V298">
        <f>IF(Wizards!$A$20="","",IF(OR(ISNUMBER(SEARCH(", "&amp;$B298&amp;", ", ", "&amp;INDEX('Form Responses'!$I$1:$Q$200,20,$A298)&amp;", ")),ISNUMBER(SEARCH(", "&amp;$B298&amp;", ", ", "&amp;INDEX('Form Responses'!$R$1:$R$200,20)&amp;", "))),1,""))</f>
        <v/>
      </c>
      <c r="W298">
        <f>IF(Wizards!$A$21="","",IF(OR(ISNUMBER(SEARCH(", "&amp;$B298&amp;", ", ", "&amp;INDEX('Form Responses'!$I$1:$Q$200,21,$A298)&amp;", ")),ISNUMBER(SEARCH(", "&amp;$B298&amp;", ", ", "&amp;INDEX('Form Responses'!$R$1:$R$200,21)&amp;", "))),1,""))</f>
        <v/>
      </c>
      <c r="X298">
        <f>IF(Wizards!$A$22="","",IF(OR(ISNUMBER(SEARCH(", "&amp;$B298&amp;", ", ", "&amp;INDEX('Form Responses'!$I$1:$Q$200,22,$A298)&amp;", ")),ISNUMBER(SEARCH(", "&amp;$B298&amp;", ", ", "&amp;INDEX('Form Responses'!$R$1:$R$200,22)&amp;", "))),1,""))</f>
        <v/>
      </c>
      <c r="Y298">
        <f>IF(Wizards!$A$23="","",IF(OR(ISNUMBER(SEARCH(", "&amp;$B298&amp;", ", ", "&amp;INDEX('Form Responses'!$I$1:$Q$200,23,$A298)&amp;", ")),ISNUMBER(SEARCH(", "&amp;$B298&amp;", ", ", "&amp;INDEX('Form Responses'!$R$1:$R$200,23)&amp;", "))),1,""))</f>
        <v/>
      </c>
      <c r="Z298">
        <f>IF(Wizards!$A$24="","",IF(OR(ISNUMBER(SEARCH(", "&amp;$B298&amp;", ", ", "&amp;INDEX('Form Responses'!$I$1:$Q$200,24,$A298)&amp;", ")),ISNUMBER(SEARCH(", "&amp;$B298&amp;", ", ", "&amp;INDEX('Form Responses'!$R$1:$R$200,24)&amp;", "))),1,""))</f>
        <v/>
      </c>
      <c r="AA298">
        <f>IF(Wizards!$A$25="","",IF(OR(ISNUMBER(SEARCH(", "&amp;$B298&amp;", ", ", "&amp;INDEX('Form Responses'!$I$1:$Q$200,25,$A298)&amp;", ")),ISNUMBER(SEARCH(", "&amp;$B298&amp;", ", ", "&amp;INDEX('Form Responses'!$R$1:$R$200,25)&amp;", "))),1,""))</f>
        <v/>
      </c>
      <c r="AB298">
        <f>IF(D298=1,", "&amp;D$1,"")</f>
        <v/>
      </c>
      <c r="AC298">
        <f>IF(E298=1,", "&amp;E$1,"")</f>
        <v/>
      </c>
      <c r="AD298">
        <f>IF(F298=1,", "&amp;F$1,"")</f>
        <v/>
      </c>
      <c r="AE298">
        <f>IF(G298=1,", "&amp;G$1,"")</f>
        <v/>
      </c>
      <c r="AF298">
        <f>IF(H298=1,", "&amp;H$1,"")</f>
        <v/>
      </c>
      <c r="AG298">
        <f>IF(I298=1,", "&amp;I$1,"")</f>
        <v/>
      </c>
      <c r="AH298">
        <f>IF(J298=1,", "&amp;J$1,"")</f>
        <v/>
      </c>
      <c r="AI298">
        <f>IF(K298=1,", "&amp;K$1,"")</f>
        <v/>
      </c>
      <c r="AJ298">
        <f>IF(L298=1,", "&amp;L$1,"")</f>
        <v/>
      </c>
      <c r="AK298">
        <f>IF(M298=1,", "&amp;M$1,"")</f>
        <v/>
      </c>
      <c r="AL298">
        <f>IF(N298=1,", "&amp;N$1,"")</f>
        <v/>
      </c>
      <c r="AM298">
        <f>IF(O298=1,", "&amp;O$1,"")</f>
        <v/>
      </c>
      <c r="AN298">
        <f>IF(P298=1,", "&amp;P$1,"")</f>
        <v/>
      </c>
      <c r="AO298">
        <f>IF(Q298=1,", "&amp;Q$1,"")</f>
        <v/>
      </c>
      <c r="AP298">
        <f>IF(R298=1,", "&amp;R$1,"")</f>
        <v/>
      </c>
      <c r="AQ298">
        <f>IF(S298=1,", "&amp;S$1,"")</f>
        <v/>
      </c>
      <c r="AR298">
        <f>IF(T298=1,", "&amp;T$1,"")</f>
        <v/>
      </c>
      <c r="AS298">
        <f>IF(U298=1,", "&amp;U$1,"")</f>
        <v/>
      </c>
      <c r="AT298">
        <f>IF(V298=1,", "&amp;V$1,"")</f>
        <v/>
      </c>
      <c r="AU298">
        <f>IF(W298=1,", "&amp;W$1,"")</f>
        <v/>
      </c>
      <c r="AV298">
        <f>IF(X298=1,", "&amp;X$1,"")</f>
        <v/>
      </c>
      <c r="AW298">
        <f>IF(Y298=1,", "&amp;Y$1,"")</f>
        <v/>
      </c>
      <c r="AX298">
        <f>IF(Z298=1,", "&amp;Z$1,"")</f>
        <v/>
      </c>
      <c r="AY298">
        <f>IF(AA298=1,", "&amp;AA$1,"")</f>
        <v/>
      </c>
      <c r="AZ298">
        <f>MID($AB298&amp;$AC298&amp;$AD298&amp;$AE298&amp;$AF298&amp;$AG298&amp;$AH298&amp;$AI298&amp;$AJ298&amp;$AK298&amp;$AL298&amp;$AM298&amp;$AN298&amp;$AO298&amp;$AP298&amp;$AQ298&amp;$AR298&amp;$AS298&amp;$AT298&amp;$AU298&amp;$AV298&amp;$AW298&amp;$AX298&amp;$AY298,3,32767)</f>
        <v/>
      </c>
      <c r="BA298">
        <f>COUNT($D298:$AA298)</f>
        <v/>
      </c>
    </row>
    <row r="299">
      <c r="A299" t="n">
        <v>7</v>
      </c>
      <c r="B299" t="inlineStr">
        <is>
          <t>Prismatic Spray</t>
        </is>
      </c>
      <c r="C299" t="inlineStr">
        <is>
          <t>Evocation</t>
        </is>
      </c>
      <c r="D299">
        <f>IF(Wizards!$A$2="","",IF(OR(ISNUMBER(SEARCH(", "&amp;$B299&amp;", ", ", "&amp;INDEX('Form Responses'!$I$1:$Q$200,2,$A299)&amp;", ")),ISNUMBER(SEARCH(", "&amp;$B299&amp;", ", ", "&amp;INDEX('Form Responses'!$R$1:$R$200,2)&amp;", "))),1,""))</f>
        <v/>
      </c>
      <c r="E299">
        <f>IF(Wizards!$A$3="","",IF(OR(ISNUMBER(SEARCH(", "&amp;$B299&amp;", ", ", "&amp;INDEX('Form Responses'!$I$1:$Q$200,3,$A299)&amp;", ")),ISNUMBER(SEARCH(", "&amp;$B299&amp;", ", ", "&amp;INDEX('Form Responses'!$R$1:$R$200,3)&amp;", "))),1,""))</f>
        <v/>
      </c>
      <c r="F299">
        <f>IF(Wizards!$A$4="","",IF(OR(ISNUMBER(SEARCH(", "&amp;$B299&amp;", ", ", "&amp;INDEX('Form Responses'!$I$1:$Q$200,4,$A299)&amp;", ")),ISNUMBER(SEARCH(", "&amp;$B299&amp;", ", ", "&amp;INDEX('Form Responses'!$R$1:$R$200,4)&amp;", "))),1,""))</f>
        <v/>
      </c>
      <c r="G299">
        <f>IF(Wizards!$A$5="","",IF(OR(ISNUMBER(SEARCH(", "&amp;$B299&amp;", ", ", "&amp;INDEX('Form Responses'!$I$1:$Q$200,5,$A299)&amp;", ")),ISNUMBER(SEARCH(", "&amp;$B299&amp;", ", ", "&amp;INDEX('Form Responses'!$R$1:$R$200,5)&amp;", "))),1,""))</f>
        <v/>
      </c>
      <c r="H299">
        <f>IF(Wizards!$A$6="","",IF(OR(ISNUMBER(SEARCH(", "&amp;$B299&amp;", ", ", "&amp;INDEX('Form Responses'!$I$1:$Q$200,6,$A299)&amp;", ")),ISNUMBER(SEARCH(", "&amp;$B299&amp;", ", ", "&amp;INDEX('Form Responses'!$R$1:$R$200,6)&amp;", "))),1,""))</f>
        <v/>
      </c>
      <c r="I299">
        <f>IF(Wizards!$A$7="","",IF(OR(ISNUMBER(SEARCH(", "&amp;$B299&amp;", ", ", "&amp;INDEX('Form Responses'!$I$1:$Q$200,7,$A299)&amp;", ")),ISNUMBER(SEARCH(", "&amp;$B299&amp;", ", ", "&amp;INDEX('Form Responses'!$R$1:$R$200,7)&amp;", "))),1,""))</f>
        <v/>
      </c>
      <c r="J299">
        <f>IF(Wizards!$A$8="","",IF(OR(ISNUMBER(SEARCH(", "&amp;$B299&amp;", ", ", "&amp;INDEX('Form Responses'!$I$1:$Q$200,8,$A299)&amp;", ")),ISNUMBER(SEARCH(", "&amp;$B299&amp;", ", ", "&amp;INDEX('Form Responses'!$R$1:$R$200,8)&amp;", "))),1,""))</f>
        <v/>
      </c>
      <c r="K299">
        <f>IF(Wizards!$A$9="","",IF(OR(ISNUMBER(SEARCH(", "&amp;$B299&amp;", ", ", "&amp;INDEX('Form Responses'!$I$1:$Q$200,9,$A299)&amp;", ")),ISNUMBER(SEARCH(", "&amp;$B299&amp;", ", ", "&amp;INDEX('Form Responses'!$R$1:$R$200,9)&amp;", "))),1,""))</f>
        <v/>
      </c>
      <c r="L299">
        <f>IF(Wizards!$A$10="","",IF(OR(ISNUMBER(SEARCH(", "&amp;$B299&amp;", ", ", "&amp;INDEX('Form Responses'!$I$1:$Q$200,10,$A299)&amp;", ")),ISNUMBER(SEARCH(", "&amp;$B299&amp;", ", ", "&amp;INDEX('Form Responses'!$R$1:$R$200,10)&amp;", "))),1,""))</f>
        <v/>
      </c>
      <c r="M299">
        <f>IF(Wizards!$A$11="","",IF(OR(ISNUMBER(SEARCH(", "&amp;$B299&amp;", ", ", "&amp;INDEX('Form Responses'!$I$1:$Q$200,11,$A299)&amp;", ")),ISNUMBER(SEARCH(", "&amp;$B299&amp;", ", ", "&amp;INDEX('Form Responses'!$R$1:$R$200,11)&amp;", "))),1,""))</f>
        <v/>
      </c>
      <c r="N299">
        <f>IF(Wizards!$A$12="","",IF(OR(ISNUMBER(SEARCH(", "&amp;$B299&amp;", ", ", "&amp;INDEX('Form Responses'!$I$1:$Q$200,12,$A299)&amp;", ")),ISNUMBER(SEARCH(", "&amp;$B299&amp;", ", ", "&amp;INDEX('Form Responses'!$R$1:$R$200,12)&amp;", "))),1,""))</f>
        <v/>
      </c>
      <c r="O299">
        <f>IF(Wizards!$A$13="","",IF(OR(ISNUMBER(SEARCH(", "&amp;$B299&amp;", ", ", "&amp;INDEX('Form Responses'!$I$1:$Q$200,13,$A299)&amp;", ")),ISNUMBER(SEARCH(", "&amp;$B299&amp;", ", ", "&amp;INDEX('Form Responses'!$R$1:$R$200,13)&amp;", "))),1,""))</f>
        <v/>
      </c>
      <c r="P299">
        <f>IF(Wizards!$A$14="","",IF(OR(ISNUMBER(SEARCH(", "&amp;$B299&amp;", ", ", "&amp;INDEX('Form Responses'!$I$1:$Q$200,14,$A299)&amp;", ")),ISNUMBER(SEARCH(", "&amp;$B299&amp;", ", ", "&amp;INDEX('Form Responses'!$R$1:$R$200,14)&amp;", "))),1,""))</f>
        <v/>
      </c>
      <c r="Q299">
        <f>IF(Wizards!$A$15="","",IF(OR(ISNUMBER(SEARCH(", "&amp;$B299&amp;", ", ", "&amp;INDEX('Form Responses'!$I$1:$Q$200,15,$A299)&amp;", ")),ISNUMBER(SEARCH(", "&amp;$B299&amp;", ", ", "&amp;INDEX('Form Responses'!$R$1:$R$200,15)&amp;", "))),1,""))</f>
        <v/>
      </c>
      <c r="R299">
        <f>IF(Wizards!$A$16="","",IF(OR(ISNUMBER(SEARCH(", "&amp;$B299&amp;", ", ", "&amp;INDEX('Form Responses'!$I$1:$Q$200,16,$A299)&amp;", ")),ISNUMBER(SEARCH(", "&amp;$B299&amp;", ", ", "&amp;INDEX('Form Responses'!$R$1:$R$200,16)&amp;", "))),1,""))</f>
        <v/>
      </c>
      <c r="S299">
        <f>IF(Wizards!$A$17="","",IF(OR(ISNUMBER(SEARCH(", "&amp;$B299&amp;", ", ", "&amp;INDEX('Form Responses'!$I$1:$Q$200,17,$A299)&amp;", ")),ISNUMBER(SEARCH(", "&amp;$B299&amp;", ", ", "&amp;INDEX('Form Responses'!$R$1:$R$200,17)&amp;", "))),1,""))</f>
        <v/>
      </c>
      <c r="T299">
        <f>IF(Wizards!$A$18="","",IF(OR(ISNUMBER(SEARCH(", "&amp;$B299&amp;", ", ", "&amp;INDEX('Form Responses'!$I$1:$Q$200,18,$A299)&amp;", ")),ISNUMBER(SEARCH(", "&amp;$B299&amp;", ", ", "&amp;INDEX('Form Responses'!$R$1:$R$200,18)&amp;", "))),1,""))</f>
        <v/>
      </c>
      <c r="U299">
        <f>IF(Wizards!$A$19="","",IF(OR(ISNUMBER(SEARCH(", "&amp;$B299&amp;", ", ", "&amp;INDEX('Form Responses'!$I$1:$Q$200,19,$A299)&amp;", ")),ISNUMBER(SEARCH(", "&amp;$B299&amp;", ", ", "&amp;INDEX('Form Responses'!$R$1:$R$200,19)&amp;", "))),1,""))</f>
        <v/>
      </c>
      <c r="V299">
        <f>IF(Wizards!$A$20="","",IF(OR(ISNUMBER(SEARCH(", "&amp;$B299&amp;", ", ", "&amp;INDEX('Form Responses'!$I$1:$Q$200,20,$A299)&amp;", ")),ISNUMBER(SEARCH(", "&amp;$B299&amp;", ", ", "&amp;INDEX('Form Responses'!$R$1:$R$200,20)&amp;", "))),1,""))</f>
        <v/>
      </c>
      <c r="W299">
        <f>IF(Wizards!$A$21="","",IF(OR(ISNUMBER(SEARCH(", "&amp;$B299&amp;", ", ", "&amp;INDEX('Form Responses'!$I$1:$Q$200,21,$A299)&amp;", ")),ISNUMBER(SEARCH(", "&amp;$B299&amp;", ", ", "&amp;INDEX('Form Responses'!$R$1:$R$200,21)&amp;", "))),1,""))</f>
        <v/>
      </c>
      <c r="X299">
        <f>IF(Wizards!$A$22="","",IF(OR(ISNUMBER(SEARCH(", "&amp;$B299&amp;", ", ", "&amp;INDEX('Form Responses'!$I$1:$Q$200,22,$A299)&amp;", ")),ISNUMBER(SEARCH(", "&amp;$B299&amp;", ", ", "&amp;INDEX('Form Responses'!$R$1:$R$200,22)&amp;", "))),1,""))</f>
        <v/>
      </c>
      <c r="Y299">
        <f>IF(Wizards!$A$23="","",IF(OR(ISNUMBER(SEARCH(", "&amp;$B299&amp;", ", ", "&amp;INDEX('Form Responses'!$I$1:$Q$200,23,$A299)&amp;", ")),ISNUMBER(SEARCH(", "&amp;$B299&amp;", ", ", "&amp;INDEX('Form Responses'!$R$1:$R$200,23)&amp;", "))),1,""))</f>
        <v/>
      </c>
      <c r="Z299">
        <f>IF(Wizards!$A$24="","",IF(OR(ISNUMBER(SEARCH(", "&amp;$B299&amp;", ", ", "&amp;INDEX('Form Responses'!$I$1:$Q$200,24,$A299)&amp;", ")),ISNUMBER(SEARCH(", "&amp;$B299&amp;", ", ", "&amp;INDEX('Form Responses'!$R$1:$R$200,24)&amp;", "))),1,""))</f>
        <v/>
      </c>
      <c r="AA299">
        <f>IF(Wizards!$A$25="","",IF(OR(ISNUMBER(SEARCH(", "&amp;$B299&amp;", ", ", "&amp;INDEX('Form Responses'!$I$1:$Q$200,25,$A299)&amp;", ")),ISNUMBER(SEARCH(", "&amp;$B299&amp;", ", ", "&amp;INDEX('Form Responses'!$R$1:$R$200,25)&amp;", "))),1,""))</f>
        <v/>
      </c>
      <c r="AB299">
        <f>IF(D299=1,", "&amp;D$1,"")</f>
        <v/>
      </c>
      <c r="AC299">
        <f>IF(E299=1,", "&amp;E$1,"")</f>
        <v/>
      </c>
      <c r="AD299">
        <f>IF(F299=1,", "&amp;F$1,"")</f>
        <v/>
      </c>
      <c r="AE299">
        <f>IF(G299=1,", "&amp;G$1,"")</f>
        <v/>
      </c>
      <c r="AF299">
        <f>IF(H299=1,", "&amp;H$1,"")</f>
        <v/>
      </c>
      <c r="AG299">
        <f>IF(I299=1,", "&amp;I$1,"")</f>
        <v/>
      </c>
      <c r="AH299">
        <f>IF(J299=1,", "&amp;J$1,"")</f>
        <v/>
      </c>
      <c r="AI299">
        <f>IF(K299=1,", "&amp;K$1,"")</f>
        <v/>
      </c>
      <c r="AJ299">
        <f>IF(L299=1,", "&amp;L$1,"")</f>
        <v/>
      </c>
      <c r="AK299">
        <f>IF(M299=1,", "&amp;M$1,"")</f>
        <v/>
      </c>
      <c r="AL299">
        <f>IF(N299=1,", "&amp;N$1,"")</f>
        <v/>
      </c>
      <c r="AM299">
        <f>IF(O299=1,", "&amp;O$1,"")</f>
        <v/>
      </c>
      <c r="AN299">
        <f>IF(P299=1,", "&amp;P$1,"")</f>
        <v/>
      </c>
      <c r="AO299">
        <f>IF(Q299=1,", "&amp;Q$1,"")</f>
        <v/>
      </c>
      <c r="AP299">
        <f>IF(R299=1,", "&amp;R$1,"")</f>
        <v/>
      </c>
      <c r="AQ299">
        <f>IF(S299=1,", "&amp;S$1,"")</f>
        <v/>
      </c>
      <c r="AR299">
        <f>IF(T299=1,", "&amp;T$1,"")</f>
        <v/>
      </c>
      <c r="AS299">
        <f>IF(U299=1,", "&amp;U$1,"")</f>
        <v/>
      </c>
      <c r="AT299">
        <f>IF(V299=1,", "&amp;V$1,"")</f>
        <v/>
      </c>
      <c r="AU299">
        <f>IF(W299=1,", "&amp;W$1,"")</f>
        <v/>
      </c>
      <c r="AV299">
        <f>IF(X299=1,", "&amp;X$1,"")</f>
        <v/>
      </c>
      <c r="AW299">
        <f>IF(Y299=1,", "&amp;Y$1,"")</f>
        <v/>
      </c>
      <c r="AX299">
        <f>IF(Z299=1,", "&amp;Z$1,"")</f>
        <v/>
      </c>
      <c r="AY299">
        <f>IF(AA299=1,", "&amp;AA$1,"")</f>
        <v/>
      </c>
      <c r="AZ299">
        <f>MID($AB299&amp;$AC299&amp;$AD299&amp;$AE299&amp;$AF299&amp;$AG299&amp;$AH299&amp;$AI299&amp;$AJ299&amp;$AK299&amp;$AL299&amp;$AM299&amp;$AN299&amp;$AO299&amp;$AP299&amp;$AQ299&amp;$AR299&amp;$AS299&amp;$AT299&amp;$AU299&amp;$AV299&amp;$AW299&amp;$AX299&amp;$AY299,3,32767)</f>
        <v/>
      </c>
      <c r="BA299">
        <f>COUNT($D299:$AA299)</f>
        <v/>
      </c>
    </row>
    <row r="300">
      <c r="A300" t="n">
        <v>7</v>
      </c>
      <c r="B300" t="inlineStr">
        <is>
          <t>Project Image</t>
        </is>
      </c>
      <c r="C300" t="inlineStr">
        <is>
          <t>Illusion</t>
        </is>
      </c>
      <c r="D300">
        <f>IF(Wizards!$A$2="","",IF(OR(ISNUMBER(SEARCH(", "&amp;$B300&amp;", ", ", "&amp;INDEX('Form Responses'!$I$1:$Q$200,2,$A300)&amp;", ")),ISNUMBER(SEARCH(", "&amp;$B300&amp;", ", ", "&amp;INDEX('Form Responses'!$R$1:$R$200,2)&amp;", "))),1,""))</f>
        <v/>
      </c>
      <c r="E300">
        <f>IF(Wizards!$A$3="","",IF(OR(ISNUMBER(SEARCH(", "&amp;$B300&amp;", ", ", "&amp;INDEX('Form Responses'!$I$1:$Q$200,3,$A300)&amp;", ")),ISNUMBER(SEARCH(", "&amp;$B300&amp;", ", ", "&amp;INDEX('Form Responses'!$R$1:$R$200,3)&amp;", "))),1,""))</f>
        <v/>
      </c>
      <c r="F300">
        <f>IF(Wizards!$A$4="","",IF(OR(ISNUMBER(SEARCH(", "&amp;$B300&amp;", ", ", "&amp;INDEX('Form Responses'!$I$1:$Q$200,4,$A300)&amp;", ")),ISNUMBER(SEARCH(", "&amp;$B300&amp;", ", ", "&amp;INDEX('Form Responses'!$R$1:$R$200,4)&amp;", "))),1,""))</f>
        <v/>
      </c>
      <c r="G300">
        <f>IF(Wizards!$A$5="","",IF(OR(ISNUMBER(SEARCH(", "&amp;$B300&amp;", ", ", "&amp;INDEX('Form Responses'!$I$1:$Q$200,5,$A300)&amp;", ")),ISNUMBER(SEARCH(", "&amp;$B300&amp;", ", ", "&amp;INDEX('Form Responses'!$R$1:$R$200,5)&amp;", "))),1,""))</f>
        <v/>
      </c>
      <c r="H300">
        <f>IF(Wizards!$A$6="","",IF(OR(ISNUMBER(SEARCH(", "&amp;$B300&amp;", ", ", "&amp;INDEX('Form Responses'!$I$1:$Q$200,6,$A300)&amp;", ")),ISNUMBER(SEARCH(", "&amp;$B300&amp;", ", ", "&amp;INDEX('Form Responses'!$R$1:$R$200,6)&amp;", "))),1,""))</f>
        <v/>
      </c>
      <c r="I300">
        <f>IF(Wizards!$A$7="","",IF(OR(ISNUMBER(SEARCH(", "&amp;$B300&amp;", ", ", "&amp;INDEX('Form Responses'!$I$1:$Q$200,7,$A300)&amp;", ")),ISNUMBER(SEARCH(", "&amp;$B300&amp;", ", ", "&amp;INDEX('Form Responses'!$R$1:$R$200,7)&amp;", "))),1,""))</f>
        <v/>
      </c>
      <c r="J300">
        <f>IF(Wizards!$A$8="","",IF(OR(ISNUMBER(SEARCH(", "&amp;$B300&amp;", ", ", "&amp;INDEX('Form Responses'!$I$1:$Q$200,8,$A300)&amp;", ")),ISNUMBER(SEARCH(", "&amp;$B300&amp;", ", ", "&amp;INDEX('Form Responses'!$R$1:$R$200,8)&amp;", "))),1,""))</f>
        <v/>
      </c>
      <c r="K300">
        <f>IF(Wizards!$A$9="","",IF(OR(ISNUMBER(SEARCH(", "&amp;$B300&amp;", ", ", "&amp;INDEX('Form Responses'!$I$1:$Q$200,9,$A300)&amp;", ")),ISNUMBER(SEARCH(", "&amp;$B300&amp;", ", ", "&amp;INDEX('Form Responses'!$R$1:$R$200,9)&amp;", "))),1,""))</f>
        <v/>
      </c>
      <c r="L300">
        <f>IF(Wizards!$A$10="","",IF(OR(ISNUMBER(SEARCH(", "&amp;$B300&amp;", ", ", "&amp;INDEX('Form Responses'!$I$1:$Q$200,10,$A300)&amp;", ")),ISNUMBER(SEARCH(", "&amp;$B300&amp;", ", ", "&amp;INDEX('Form Responses'!$R$1:$R$200,10)&amp;", "))),1,""))</f>
        <v/>
      </c>
      <c r="M300">
        <f>IF(Wizards!$A$11="","",IF(OR(ISNUMBER(SEARCH(", "&amp;$B300&amp;", ", ", "&amp;INDEX('Form Responses'!$I$1:$Q$200,11,$A300)&amp;", ")),ISNUMBER(SEARCH(", "&amp;$B300&amp;", ", ", "&amp;INDEX('Form Responses'!$R$1:$R$200,11)&amp;", "))),1,""))</f>
        <v/>
      </c>
      <c r="N300">
        <f>IF(Wizards!$A$12="","",IF(OR(ISNUMBER(SEARCH(", "&amp;$B300&amp;", ", ", "&amp;INDEX('Form Responses'!$I$1:$Q$200,12,$A300)&amp;", ")),ISNUMBER(SEARCH(", "&amp;$B300&amp;", ", ", "&amp;INDEX('Form Responses'!$R$1:$R$200,12)&amp;", "))),1,""))</f>
        <v/>
      </c>
      <c r="O300">
        <f>IF(Wizards!$A$13="","",IF(OR(ISNUMBER(SEARCH(", "&amp;$B300&amp;", ", ", "&amp;INDEX('Form Responses'!$I$1:$Q$200,13,$A300)&amp;", ")),ISNUMBER(SEARCH(", "&amp;$B300&amp;", ", ", "&amp;INDEX('Form Responses'!$R$1:$R$200,13)&amp;", "))),1,""))</f>
        <v/>
      </c>
      <c r="P300">
        <f>IF(Wizards!$A$14="","",IF(OR(ISNUMBER(SEARCH(", "&amp;$B300&amp;", ", ", "&amp;INDEX('Form Responses'!$I$1:$Q$200,14,$A300)&amp;", ")),ISNUMBER(SEARCH(", "&amp;$B300&amp;", ", ", "&amp;INDEX('Form Responses'!$R$1:$R$200,14)&amp;", "))),1,""))</f>
        <v/>
      </c>
      <c r="Q300">
        <f>IF(Wizards!$A$15="","",IF(OR(ISNUMBER(SEARCH(", "&amp;$B300&amp;", ", ", "&amp;INDEX('Form Responses'!$I$1:$Q$200,15,$A300)&amp;", ")),ISNUMBER(SEARCH(", "&amp;$B300&amp;", ", ", "&amp;INDEX('Form Responses'!$R$1:$R$200,15)&amp;", "))),1,""))</f>
        <v/>
      </c>
      <c r="R300">
        <f>IF(Wizards!$A$16="","",IF(OR(ISNUMBER(SEARCH(", "&amp;$B300&amp;", ", ", "&amp;INDEX('Form Responses'!$I$1:$Q$200,16,$A300)&amp;", ")),ISNUMBER(SEARCH(", "&amp;$B300&amp;", ", ", "&amp;INDEX('Form Responses'!$R$1:$R$200,16)&amp;", "))),1,""))</f>
        <v/>
      </c>
      <c r="S300">
        <f>IF(Wizards!$A$17="","",IF(OR(ISNUMBER(SEARCH(", "&amp;$B300&amp;", ", ", "&amp;INDEX('Form Responses'!$I$1:$Q$200,17,$A300)&amp;", ")),ISNUMBER(SEARCH(", "&amp;$B300&amp;", ", ", "&amp;INDEX('Form Responses'!$R$1:$R$200,17)&amp;", "))),1,""))</f>
        <v/>
      </c>
      <c r="T300">
        <f>IF(Wizards!$A$18="","",IF(OR(ISNUMBER(SEARCH(", "&amp;$B300&amp;", ", ", "&amp;INDEX('Form Responses'!$I$1:$Q$200,18,$A300)&amp;", ")),ISNUMBER(SEARCH(", "&amp;$B300&amp;", ", ", "&amp;INDEX('Form Responses'!$R$1:$R$200,18)&amp;", "))),1,""))</f>
        <v/>
      </c>
      <c r="U300">
        <f>IF(Wizards!$A$19="","",IF(OR(ISNUMBER(SEARCH(", "&amp;$B300&amp;", ", ", "&amp;INDEX('Form Responses'!$I$1:$Q$200,19,$A300)&amp;", ")),ISNUMBER(SEARCH(", "&amp;$B300&amp;", ", ", "&amp;INDEX('Form Responses'!$R$1:$R$200,19)&amp;", "))),1,""))</f>
        <v/>
      </c>
      <c r="V300">
        <f>IF(Wizards!$A$20="","",IF(OR(ISNUMBER(SEARCH(", "&amp;$B300&amp;", ", ", "&amp;INDEX('Form Responses'!$I$1:$Q$200,20,$A300)&amp;", ")),ISNUMBER(SEARCH(", "&amp;$B300&amp;", ", ", "&amp;INDEX('Form Responses'!$R$1:$R$200,20)&amp;", "))),1,""))</f>
        <v/>
      </c>
      <c r="W300">
        <f>IF(Wizards!$A$21="","",IF(OR(ISNUMBER(SEARCH(", "&amp;$B300&amp;", ", ", "&amp;INDEX('Form Responses'!$I$1:$Q$200,21,$A300)&amp;", ")),ISNUMBER(SEARCH(", "&amp;$B300&amp;", ", ", "&amp;INDEX('Form Responses'!$R$1:$R$200,21)&amp;", "))),1,""))</f>
        <v/>
      </c>
      <c r="X300">
        <f>IF(Wizards!$A$22="","",IF(OR(ISNUMBER(SEARCH(", "&amp;$B300&amp;", ", ", "&amp;INDEX('Form Responses'!$I$1:$Q$200,22,$A300)&amp;", ")),ISNUMBER(SEARCH(", "&amp;$B300&amp;", ", ", "&amp;INDEX('Form Responses'!$R$1:$R$200,22)&amp;", "))),1,""))</f>
        <v/>
      </c>
      <c r="Y300">
        <f>IF(Wizards!$A$23="","",IF(OR(ISNUMBER(SEARCH(", "&amp;$B300&amp;", ", ", "&amp;INDEX('Form Responses'!$I$1:$Q$200,23,$A300)&amp;", ")),ISNUMBER(SEARCH(", "&amp;$B300&amp;", ", ", "&amp;INDEX('Form Responses'!$R$1:$R$200,23)&amp;", "))),1,""))</f>
        <v/>
      </c>
      <c r="Z300">
        <f>IF(Wizards!$A$24="","",IF(OR(ISNUMBER(SEARCH(", "&amp;$B300&amp;", ", ", "&amp;INDEX('Form Responses'!$I$1:$Q$200,24,$A300)&amp;", ")),ISNUMBER(SEARCH(", "&amp;$B300&amp;", ", ", "&amp;INDEX('Form Responses'!$R$1:$R$200,24)&amp;", "))),1,""))</f>
        <v/>
      </c>
      <c r="AA300">
        <f>IF(Wizards!$A$25="","",IF(OR(ISNUMBER(SEARCH(", "&amp;$B300&amp;", ", ", "&amp;INDEX('Form Responses'!$I$1:$Q$200,25,$A300)&amp;", ")),ISNUMBER(SEARCH(", "&amp;$B300&amp;", ", ", "&amp;INDEX('Form Responses'!$R$1:$R$200,25)&amp;", "))),1,""))</f>
        <v/>
      </c>
      <c r="AB300">
        <f>IF(D300=1,", "&amp;D$1,"")</f>
        <v/>
      </c>
      <c r="AC300">
        <f>IF(E300=1,", "&amp;E$1,"")</f>
        <v/>
      </c>
      <c r="AD300">
        <f>IF(F300=1,", "&amp;F$1,"")</f>
        <v/>
      </c>
      <c r="AE300">
        <f>IF(G300=1,", "&amp;G$1,"")</f>
        <v/>
      </c>
      <c r="AF300">
        <f>IF(H300=1,", "&amp;H$1,"")</f>
        <v/>
      </c>
      <c r="AG300">
        <f>IF(I300=1,", "&amp;I$1,"")</f>
        <v/>
      </c>
      <c r="AH300">
        <f>IF(J300=1,", "&amp;J$1,"")</f>
        <v/>
      </c>
      <c r="AI300">
        <f>IF(K300=1,", "&amp;K$1,"")</f>
        <v/>
      </c>
      <c r="AJ300">
        <f>IF(L300=1,", "&amp;L$1,"")</f>
        <v/>
      </c>
      <c r="AK300">
        <f>IF(M300=1,", "&amp;M$1,"")</f>
        <v/>
      </c>
      <c r="AL300">
        <f>IF(N300=1,", "&amp;N$1,"")</f>
        <v/>
      </c>
      <c r="AM300">
        <f>IF(O300=1,", "&amp;O$1,"")</f>
        <v/>
      </c>
      <c r="AN300">
        <f>IF(P300=1,", "&amp;P$1,"")</f>
        <v/>
      </c>
      <c r="AO300">
        <f>IF(Q300=1,", "&amp;Q$1,"")</f>
        <v/>
      </c>
      <c r="AP300">
        <f>IF(R300=1,", "&amp;R$1,"")</f>
        <v/>
      </c>
      <c r="AQ300">
        <f>IF(S300=1,", "&amp;S$1,"")</f>
        <v/>
      </c>
      <c r="AR300">
        <f>IF(T300=1,", "&amp;T$1,"")</f>
        <v/>
      </c>
      <c r="AS300">
        <f>IF(U300=1,", "&amp;U$1,"")</f>
        <v/>
      </c>
      <c r="AT300">
        <f>IF(V300=1,", "&amp;V$1,"")</f>
        <v/>
      </c>
      <c r="AU300">
        <f>IF(W300=1,", "&amp;W$1,"")</f>
        <v/>
      </c>
      <c r="AV300">
        <f>IF(X300=1,", "&amp;X$1,"")</f>
        <v/>
      </c>
      <c r="AW300">
        <f>IF(Y300=1,", "&amp;Y$1,"")</f>
        <v/>
      </c>
      <c r="AX300">
        <f>IF(Z300=1,", "&amp;Z$1,"")</f>
        <v/>
      </c>
      <c r="AY300">
        <f>IF(AA300=1,", "&amp;AA$1,"")</f>
        <v/>
      </c>
      <c r="AZ300">
        <f>MID($AB300&amp;$AC300&amp;$AD300&amp;$AE300&amp;$AF300&amp;$AG300&amp;$AH300&amp;$AI300&amp;$AJ300&amp;$AK300&amp;$AL300&amp;$AM300&amp;$AN300&amp;$AO300&amp;$AP300&amp;$AQ300&amp;$AR300&amp;$AS300&amp;$AT300&amp;$AU300&amp;$AV300&amp;$AW300&amp;$AX300&amp;$AY300,3,32767)</f>
        <v/>
      </c>
      <c r="BA300">
        <f>COUNT($D300:$AA300)</f>
        <v/>
      </c>
    </row>
    <row r="301">
      <c r="A301" t="n">
        <v>7</v>
      </c>
      <c r="B301" t="inlineStr">
        <is>
          <t>Reverse Gravity</t>
        </is>
      </c>
      <c r="C301" t="inlineStr">
        <is>
          <t>Transmutation</t>
        </is>
      </c>
      <c r="D301">
        <f>IF(Wizards!$A$2="","",IF(OR(ISNUMBER(SEARCH(", "&amp;$B301&amp;", ", ", "&amp;INDEX('Form Responses'!$I$1:$Q$200,2,$A301)&amp;", ")),ISNUMBER(SEARCH(", "&amp;$B301&amp;", ", ", "&amp;INDEX('Form Responses'!$R$1:$R$200,2)&amp;", "))),1,""))</f>
        <v/>
      </c>
      <c r="E301">
        <f>IF(Wizards!$A$3="","",IF(OR(ISNUMBER(SEARCH(", "&amp;$B301&amp;", ", ", "&amp;INDEX('Form Responses'!$I$1:$Q$200,3,$A301)&amp;", ")),ISNUMBER(SEARCH(", "&amp;$B301&amp;", ", ", "&amp;INDEX('Form Responses'!$R$1:$R$200,3)&amp;", "))),1,""))</f>
        <v/>
      </c>
      <c r="F301">
        <f>IF(Wizards!$A$4="","",IF(OR(ISNUMBER(SEARCH(", "&amp;$B301&amp;", ", ", "&amp;INDEX('Form Responses'!$I$1:$Q$200,4,$A301)&amp;", ")),ISNUMBER(SEARCH(", "&amp;$B301&amp;", ", ", "&amp;INDEX('Form Responses'!$R$1:$R$200,4)&amp;", "))),1,""))</f>
        <v/>
      </c>
      <c r="G301">
        <f>IF(Wizards!$A$5="","",IF(OR(ISNUMBER(SEARCH(", "&amp;$B301&amp;", ", ", "&amp;INDEX('Form Responses'!$I$1:$Q$200,5,$A301)&amp;", ")),ISNUMBER(SEARCH(", "&amp;$B301&amp;", ", ", "&amp;INDEX('Form Responses'!$R$1:$R$200,5)&amp;", "))),1,""))</f>
        <v/>
      </c>
      <c r="H301">
        <f>IF(Wizards!$A$6="","",IF(OR(ISNUMBER(SEARCH(", "&amp;$B301&amp;", ", ", "&amp;INDEX('Form Responses'!$I$1:$Q$200,6,$A301)&amp;", ")),ISNUMBER(SEARCH(", "&amp;$B301&amp;", ", ", "&amp;INDEX('Form Responses'!$R$1:$R$200,6)&amp;", "))),1,""))</f>
        <v/>
      </c>
      <c r="I301">
        <f>IF(Wizards!$A$7="","",IF(OR(ISNUMBER(SEARCH(", "&amp;$B301&amp;", ", ", "&amp;INDEX('Form Responses'!$I$1:$Q$200,7,$A301)&amp;", ")),ISNUMBER(SEARCH(", "&amp;$B301&amp;", ", ", "&amp;INDEX('Form Responses'!$R$1:$R$200,7)&amp;", "))),1,""))</f>
        <v/>
      </c>
      <c r="J301">
        <f>IF(Wizards!$A$8="","",IF(OR(ISNUMBER(SEARCH(", "&amp;$B301&amp;", ", ", "&amp;INDEX('Form Responses'!$I$1:$Q$200,8,$A301)&amp;", ")),ISNUMBER(SEARCH(", "&amp;$B301&amp;", ", ", "&amp;INDEX('Form Responses'!$R$1:$R$200,8)&amp;", "))),1,""))</f>
        <v/>
      </c>
      <c r="K301">
        <f>IF(Wizards!$A$9="","",IF(OR(ISNUMBER(SEARCH(", "&amp;$B301&amp;", ", ", "&amp;INDEX('Form Responses'!$I$1:$Q$200,9,$A301)&amp;", ")),ISNUMBER(SEARCH(", "&amp;$B301&amp;", ", ", "&amp;INDEX('Form Responses'!$R$1:$R$200,9)&amp;", "))),1,""))</f>
        <v/>
      </c>
      <c r="L301">
        <f>IF(Wizards!$A$10="","",IF(OR(ISNUMBER(SEARCH(", "&amp;$B301&amp;", ", ", "&amp;INDEX('Form Responses'!$I$1:$Q$200,10,$A301)&amp;", ")),ISNUMBER(SEARCH(", "&amp;$B301&amp;", ", ", "&amp;INDEX('Form Responses'!$R$1:$R$200,10)&amp;", "))),1,""))</f>
        <v/>
      </c>
      <c r="M301">
        <f>IF(Wizards!$A$11="","",IF(OR(ISNUMBER(SEARCH(", "&amp;$B301&amp;", ", ", "&amp;INDEX('Form Responses'!$I$1:$Q$200,11,$A301)&amp;", ")),ISNUMBER(SEARCH(", "&amp;$B301&amp;", ", ", "&amp;INDEX('Form Responses'!$R$1:$R$200,11)&amp;", "))),1,""))</f>
        <v/>
      </c>
      <c r="N301">
        <f>IF(Wizards!$A$12="","",IF(OR(ISNUMBER(SEARCH(", "&amp;$B301&amp;", ", ", "&amp;INDEX('Form Responses'!$I$1:$Q$200,12,$A301)&amp;", ")),ISNUMBER(SEARCH(", "&amp;$B301&amp;", ", ", "&amp;INDEX('Form Responses'!$R$1:$R$200,12)&amp;", "))),1,""))</f>
        <v/>
      </c>
      <c r="O301">
        <f>IF(Wizards!$A$13="","",IF(OR(ISNUMBER(SEARCH(", "&amp;$B301&amp;", ", ", "&amp;INDEX('Form Responses'!$I$1:$Q$200,13,$A301)&amp;", ")),ISNUMBER(SEARCH(", "&amp;$B301&amp;", ", ", "&amp;INDEX('Form Responses'!$R$1:$R$200,13)&amp;", "))),1,""))</f>
        <v/>
      </c>
      <c r="P301">
        <f>IF(Wizards!$A$14="","",IF(OR(ISNUMBER(SEARCH(", "&amp;$B301&amp;", ", ", "&amp;INDEX('Form Responses'!$I$1:$Q$200,14,$A301)&amp;", ")),ISNUMBER(SEARCH(", "&amp;$B301&amp;", ", ", "&amp;INDEX('Form Responses'!$R$1:$R$200,14)&amp;", "))),1,""))</f>
        <v/>
      </c>
      <c r="Q301">
        <f>IF(Wizards!$A$15="","",IF(OR(ISNUMBER(SEARCH(", "&amp;$B301&amp;", ", ", "&amp;INDEX('Form Responses'!$I$1:$Q$200,15,$A301)&amp;", ")),ISNUMBER(SEARCH(", "&amp;$B301&amp;", ", ", "&amp;INDEX('Form Responses'!$R$1:$R$200,15)&amp;", "))),1,""))</f>
        <v/>
      </c>
      <c r="R301">
        <f>IF(Wizards!$A$16="","",IF(OR(ISNUMBER(SEARCH(", "&amp;$B301&amp;", ", ", "&amp;INDEX('Form Responses'!$I$1:$Q$200,16,$A301)&amp;", ")),ISNUMBER(SEARCH(", "&amp;$B301&amp;", ", ", "&amp;INDEX('Form Responses'!$R$1:$R$200,16)&amp;", "))),1,""))</f>
        <v/>
      </c>
      <c r="S301">
        <f>IF(Wizards!$A$17="","",IF(OR(ISNUMBER(SEARCH(", "&amp;$B301&amp;", ", ", "&amp;INDEX('Form Responses'!$I$1:$Q$200,17,$A301)&amp;", ")),ISNUMBER(SEARCH(", "&amp;$B301&amp;", ", ", "&amp;INDEX('Form Responses'!$R$1:$R$200,17)&amp;", "))),1,""))</f>
        <v/>
      </c>
      <c r="T301">
        <f>IF(Wizards!$A$18="","",IF(OR(ISNUMBER(SEARCH(", "&amp;$B301&amp;", ", ", "&amp;INDEX('Form Responses'!$I$1:$Q$200,18,$A301)&amp;", ")),ISNUMBER(SEARCH(", "&amp;$B301&amp;", ", ", "&amp;INDEX('Form Responses'!$R$1:$R$200,18)&amp;", "))),1,""))</f>
        <v/>
      </c>
      <c r="U301">
        <f>IF(Wizards!$A$19="","",IF(OR(ISNUMBER(SEARCH(", "&amp;$B301&amp;", ", ", "&amp;INDEX('Form Responses'!$I$1:$Q$200,19,$A301)&amp;", ")),ISNUMBER(SEARCH(", "&amp;$B301&amp;", ", ", "&amp;INDEX('Form Responses'!$R$1:$R$200,19)&amp;", "))),1,""))</f>
        <v/>
      </c>
      <c r="V301">
        <f>IF(Wizards!$A$20="","",IF(OR(ISNUMBER(SEARCH(", "&amp;$B301&amp;", ", ", "&amp;INDEX('Form Responses'!$I$1:$Q$200,20,$A301)&amp;", ")),ISNUMBER(SEARCH(", "&amp;$B301&amp;", ", ", "&amp;INDEX('Form Responses'!$R$1:$R$200,20)&amp;", "))),1,""))</f>
        <v/>
      </c>
      <c r="W301">
        <f>IF(Wizards!$A$21="","",IF(OR(ISNUMBER(SEARCH(", "&amp;$B301&amp;", ", ", "&amp;INDEX('Form Responses'!$I$1:$Q$200,21,$A301)&amp;", ")),ISNUMBER(SEARCH(", "&amp;$B301&amp;", ", ", "&amp;INDEX('Form Responses'!$R$1:$R$200,21)&amp;", "))),1,""))</f>
        <v/>
      </c>
      <c r="X301">
        <f>IF(Wizards!$A$22="","",IF(OR(ISNUMBER(SEARCH(", "&amp;$B301&amp;", ", ", "&amp;INDEX('Form Responses'!$I$1:$Q$200,22,$A301)&amp;", ")),ISNUMBER(SEARCH(", "&amp;$B301&amp;", ", ", "&amp;INDEX('Form Responses'!$R$1:$R$200,22)&amp;", "))),1,""))</f>
        <v/>
      </c>
      <c r="Y301">
        <f>IF(Wizards!$A$23="","",IF(OR(ISNUMBER(SEARCH(", "&amp;$B301&amp;", ", ", "&amp;INDEX('Form Responses'!$I$1:$Q$200,23,$A301)&amp;", ")),ISNUMBER(SEARCH(", "&amp;$B301&amp;", ", ", "&amp;INDEX('Form Responses'!$R$1:$R$200,23)&amp;", "))),1,""))</f>
        <v/>
      </c>
      <c r="Z301">
        <f>IF(Wizards!$A$24="","",IF(OR(ISNUMBER(SEARCH(", "&amp;$B301&amp;", ", ", "&amp;INDEX('Form Responses'!$I$1:$Q$200,24,$A301)&amp;", ")),ISNUMBER(SEARCH(", "&amp;$B301&amp;", ", ", "&amp;INDEX('Form Responses'!$R$1:$R$200,24)&amp;", "))),1,""))</f>
        <v/>
      </c>
      <c r="AA301">
        <f>IF(Wizards!$A$25="","",IF(OR(ISNUMBER(SEARCH(", "&amp;$B301&amp;", ", ", "&amp;INDEX('Form Responses'!$I$1:$Q$200,25,$A301)&amp;", ")),ISNUMBER(SEARCH(", "&amp;$B301&amp;", ", ", "&amp;INDEX('Form Responses'!$R$1:$R$200,25)&amp;", "))),1,""))</f>
        <v/>
      </c>
      <c r="AB301">
        <f>IF(D301=1,", "&amp;D$1,"")</f>
        <v/>
      </c>
      <c r="AC301">
        <f>IF(E301=1,", "&amp;E$1,"")</f>
        <v/>
      </c>
      <c r="AD301">
        <f>IF(F301=1,", "&amp;F$1,"")</f>
        <v/>
      </c>
      <c r="AE301">
        <f>IF(G301=1,", "&amp;G$1,"")</f>
        <v/>
      </c>
      <c r="AF301">
        <f>IF(H301=1,", "&amp;H$1,"")</f>
        <v/>
      </c>
      <c r="AG301">
        <f>IF(I301=1,", "&amp;I$1,"")</f>
        <v/>
      </c>
      <c r="AH301">
        <f>IF(J301=1,", "&amp;J$1,"")</f>
        <v/>
      </c>
      <c r="AI301">
        <f>IF(K301=1,", "&amp;K$1,"")</f>
        <v/>
      </c>
      <c r="AJ301">
        <f>IF(L301=1,", "&amp;L$1,"")</f>
        <v/>
      </c>
      <c r="AK301">
        <f>IF(M301=1,", "&amp;M$1,"")</f>
        <v/>
      </c>
      <c r="AL301">
        <f>IF(N301=1,", "&amp;N$1,"")</f>
        <v/>
      </c>
      <c r="AM301">
        <f>IF(O301=1,", "&amp;O$1,"")</f>
        <v/>
      </c>
      <c r="AN301">
        <f>IF(P301=1,", "&amp;P$1,"")</f>
        <v/>
      </c>
      <c r="AO301">
        <f>IF(Q301=1,", "&amp;Q$1,"")</f>
        <v/>
      </c>
      <c r="AP301">
        <f>IF(R301=1,", "&amp;R$1,"")</f>
        <v/>
      </c>
      <c r="AQ301">
        <f>IF(S301=1,", "&amp;S$1,"")</f>
        <v/>
      </c>
      <c r="AR301">
        <f>IF(T301=1,", "&amp;T$1,"")</f>
        <v/>
      </c>
      <c r="AS301">
        <f>IF(U301=1,", "&amp;U$1,"")</f>
        <v/>
      </c>
      <c r="AT301">
        <f>IF(V301=1,", "&amp;V$1,"")</f>
        <v/>
      </c>
      <c r="AU301">
        <f>IF(W301=1,", "&amp;W$1,"")</f>
        <v/>
      </c>
      <c r="AV301">
        <f>IF(X301=1,", "&amp;X$1,"")</f>
        <v/>
      </c>
      <c r="AW301">
        <f>IF(Y301=1,", "&amp;Y$1,"")</f>
        <v/>
      </c>
      <c r="AX301">
        <f>IF(Z301=1,", "&amp;Z$1,"")</f>
        <v/>
      </c>
      <c r="AY301">
        <f>IF(AA301=1,", "&amp;AA$1,"")</f>
        <v/>
      </c>
      <c r="AZ301">
        <f>MID($AB301&amp;$AC301&amp;$AD301&amp;$AE301&amp;$AF301&amp;$AG301&amp;$AH301&amp;$AI301&amp;$AJ301&amp;$AK301&amp;$AL301&amp;$AM301&amp;$AN301&amp;$AO301&amp;$AP301&amp;$AQ301&amp;$AR301&amp;$AS301&amp;$AT301&amp;$AU301&amp;$AV301&amp;$AW301&amp;$AX301&amp;$AY301,3,32767)</f>
        <v/>
      </c>
      <c r="BA301">
        <f>COUNT($D301:$AA301)</f>
        <v/>
      </c>
    </row>
    <row r="302">
      <c r="A302" t="n">
        <v>7</v>
      </c>
      <c r="B302" t="inlineStr">
        <is>
          <t>Reweave Fate</t>
        </is>
      </c>
      <c r="C302" t="inlineStr">
        <is>
          <t>Divination</t>
        </is>
      </c>
      <c r="D302">
        <f>IF(Wizards!$A$2="","",IF(OR(ISNUMBER(SEARCH(", "&amp;$B302&amp;", ", ", "&amp;INDEX('Form Responses'!$I$1:$Q$200,2,$A302)&amp;", ")),ISNUMBER(SEARCH(", "&amp;$B302&amp;", ", ", "&amp;INDEX('Form Responses'!$R$1:$R$200,2)&amp;", "))),1,""))</f>
        <v/>
      </c>
      <c r="E302">
        <f>IF(Wizards!$A$3="","",IF(OR(ISNUMBER(SEARCH(", "&amp;$B302&amp;", ", ", "&amp;INDEX('Form Responses'!$I$1:$Q$200,3,$A302)&amp;", ")),ISNUMBER(SEARCH(", "&amp;$B302&amp;", ", ", "&amp;INDEX('Form Responses'!$R$1:$R$200,3)&amp;", "))),1,""))</f>
        <v/>
      </c>
      <c r="F302">
        <f>IF(Wizards!$A$4="","",IF(OR(ISNUMBER(SEARCH(", "&amp;$B302&amp;", ", ", "&amp;INDEX('Form Responses'!$I$1:$Q$200,4,$A302)&amp;", ")),ISNUMBER(SEARCH(", "&amp;$B302&amp;", ", ", "&amp;INDEX('Form Responses'!$R$1:$R$200,4)&amp;", "))),1,""))</f>
        <v/>
      </c>
      <c r="G302">
        <f>IF(Wizards!$A$5="","",IF(OR(ISNUMBER(SEARCH(", "&amp;$B302&amp;", ", ", "&amp;INDEX('Form Responses'!$I$1:$Q$200,5,$A302)&amp;", ")),ISNUMBER(SEARCH(", "&amp;$B302&amp;", ", ", "&amp;INDEX('Form Responses'!$R$1:$R$200,5)&amp;", "))),1,""))</f>
        <v/>
      </c>
      <c r="H302">
        <f>IF(Wizards!$A$6="","",IF(OR(ISNUMBER(SEARCH(", "&amp;$B302&amp;", ", ", "&amp;INDEX('Form Responses'!$I$1:$Q$200,6,$A302)&amp;", ")),ISNUMBER(SEARCH(", "&amp;$B302&amp;", ", ", "&amp;INDEX('Form Responses'!$R$1:$R$200,6)&amp;", "))),1,""))</f>
        <v/>
      </c>
      <c r="I302">
        <f>IF(Wizards!$A$7="","",IF(OR(ISNUMBER(SEARCH(", "&amp;$B302&amp;", ", ", "&amp;INDEX('Form Responses'!$I$1:$Q$200,7,$A302)&amp;", ")),ISNUMBER(SEARCH(", "&amp;$B302&amp;", ", ", "&amp;INDEX('Form Responses'!$R$1:$R$200,7)&amp;", "))),1,""))</f>
        <v/>
      </c>
      <c r="J302">
        <f>IF(Wizards!$A$8="","",IF(OR(ISNUMBER(SEARCH(", "&amp;$B302&amp;", ", ", "&amp;INDEX('Form Responses'!$I$1:$Q$200,8,$A302)&amp;", ")),ISNUMBER(SEARCH(", "&amp;$B302&amp;", ", ", "&amp;INDEX('Form Responses'!$R$1:$R$200,8)&amp;", "))),1,""))</f>
        <v/>
      </c>
      <c r="K302">
        <f>IF(Wizards!$A$9="","",IF(OR(ISNUMBER(SEARCH(", "&amp;$B302&amp;", ", ", "&amp;INDEX('Form Responses'!$I$1:$Q$200,9,$A302)&amp;", ")),ISNUMBER(SEARCH(", "&amp;$B302&amp;", ", ", "&amp;INDEX('Form Responses'!$R$1:$R$200,9)&amp;", "))),1,""))</f>
        <v/>
      </c>
      <c r="L302">
        <f>IF(Wizards!$A$10="","",IF(OR(ISNUMBER(SEARCH(", "&amp;$B302&amp;", ", ", "&amp;INDEX('Form Responses'!$I$1:$Q$200,10,$A302)&amp;", ")),ISNUMBER(SEARCH(", "&amp;$B302&amp;", ", ", "&amp;INDEX('Form Responses'!$R$1:$R$200,10)&amp;", "))),1,""))</f>
        <v/>
      </c>
      <c r="M302">
        <f>IF(Wizards!$A$11="","",IF(OR(ISNUMBER(SEARCH(", "&amp;$B302&amp;", ", ", "&amp;INDEX('Form Responses'!$I$1:$Q$200,11,$A302)&amp;", ")),ISNUMBER(SEARCH(", "&amp;$B302&amp;", ", ", "&amp;INDEX('Form Responses'!$R$1:$R$200,11)&amp;", "))),1,""))</f>
        <v/>
      </c>
      <c r="N302">
        <f>IF(Wizards!$A$12="","",IF(OR(ISNUMBER(SEARCH(", "&amp;$B302&amp;", ", ", "&amp;INDEX('Form Responses'!$I$1:$Q$200,12,$A302)&amp;", ")),ISNUMBER(SEARCH(", "&amp;$B302&amp;", ", ", "&amp;INDEX('Form Responses'!$R$1:$R$200,12)&amp;", "))),1,""))</f>
        <v/>
      </c>
      <c r="O302">
        <f>IF(Wizards!$A$13="","",IF(OR(ISNUMBER(SEARCH(", "&amp;$B302&amp;", ", ", "&amp;INDEX('Form Responses'!$I$1:$Q$200,13,$A302)&amp;", ")),ISNUMBER(SEARCH(", "&amp;$B302&amp;", ", ", "&amp;INDEX('Form Responses'!$R$1:$R$200,13)&amp;", "))),1,""))</f>
        <v/>
      </c>
      <c r="P302">
        <f>IF(Wizards!$A$14="","",IF(OR(ISNUMBER(SEARCH(", "&amp;$B302&amp;", ", ", "&amp;INDEX('Form Responses'!$I$1:$Q$200,14,$A302)&amp;", ")),ISNUMBER(SEARCH(", "&amp;$B302&amp;", ", ", "&amp;INDEX('Form Responses'!$R$1:$R$200,14)&amp;", "))),1,""))</f>
        <v/>
      </c>
      <c r="Q302">
        <f>IF(Wizards!$A$15="","",IF(OR(ISNUMBER(SEARCH(", "&amp;$B302&amp;", ", ", "&amp;INDEX('Form Responses'!$I$1:$Q$200,15,$A302)&amp;", ")),ISNUMBER(SEARCH(", "&amp;$B302&amp;", ", ", "&amp;INDEX('Form Responses'!$R$1:$R$200,15)&amp;", "))),1,""))</f>
        <v/>
      </c>
      <c r="R302">
        <f>IF(Wizards!$A$16="","",IF(OR(ISNUMBER(SEARCH(", "&amp;$B302&amp;", ", ", "&amp;INDEX('Form Responses'!$I$1:$Q$200,16,$A302)&amp;", ")),ISNUMBER(SEARCH(", "&amp;$B302&amp;", ", ", "&amp;INDEX('Form Responses'!$R$1:$R$200,16)&amp;", "))),1,""))</f>
        <v/>
      </c>
      <c r="S302">
        <f>IF(Wizards!$A$17="","",IF(OR(ISNUMBER(SEARCH(", "&amp;$B302&amp;", ", ", "&amp;INDEX('Form Responses'!$I$1:$Q$200,17,$A302)&amp;", ")),ISNUMBER(SEARCH(", "&amp;$B302&amp;", ", ", "&amp;INDEX('Form Responses'!$R$1:$R$200,17)&amp;", "))),1,""))</f>
        <v/>
      </c>
      <c r="T302">
        <f>IF(Wizards!$A$18="","",IF(OR(ISNUMBER(SEARCH(", "&amp;$B302&amp;", ", ", "&amp;INDEX('Form Responses'!$I$1:$Q$200,18,$A302)&amp;", ")),ISNUMBER(SEARCH(", "&amp;$B302&amp;", ", ", "&amp;INDEX('Form Responses'!$R$1:$R$200,18)&amp;", "))),1,""))</f>
        <v/>
      </c>
      <c r="U302">
        <f>IF(Wizards!$A$19="","",IF(OR(ISNUMBER(SEARCH(", "&amp;$B302&amp;", ", ", "&amp;INDEX('Form Responses'!$I$1:$Q$200,19,$A302)&amp;", ")),ISNUMBER(SEARCH(", "&amp;$B302&amp;", ", ", "&amp;INDEX('Form Responses'!$R$1:$R$200,19)&amp;", "))),1,""))</f>
        <v/>
      </c>
      <c r="V302">
        <f>IF(Wizards!$A$20="","",IF(OR(ISNUMBER(SEARCH(", "&amp;$B302&amp;", ", ", "&amp;INDEX('Form Responses'!$I$1:$Q$200,20,$A302)&amp;", ")),ISNUMBER(SEARCH(", "&amp;$B302&amp;", ", ", "&amp;INDEX('Form Responses'!$R$1:$R$200,20)&amp;", "))),1,""))</f>
        <v/>
      </c>
      <c r="W302">
        <f>IF(Wizards!$A$21="","",IF(OR(ISNUMBER(SEARCH(", "&amp;$B302&amp;", ", ", "&amp;INDEX('Form Responses'!$I$1:$Q$200,21,$A302)&amp;", ")),ISNUMBER(SEARCH(", "&amp;$B302&amp;", ", ", "&amp;INDEX('Form Responses'!$R$1:$R$200,21)&amp;", "))),1,""))</f>
        <v/>
      </c>
      <c r="X302">
        <f>IF(Wizards!$A$22="","",IF(OR(ISNUMBER(SEARCH(", "&amp;$B302&amp;", ", ", "&amp;INDEX('Form Responses'!$I$1:$Q$200,22,$A302)&amp;", ")),ISNUMBER(SEARCH(", "&amp;$B302&amp;", ", ", "&amp;INDEX('Form Responses'!$R$1:$R$200,22)&amp;", "))),1,""))</f>
        <v/>
      </c>
      <c r="Y302">
        <f>IF(Wizards!$A$23="","",IF(OR(ISNUMBER(SEARCH(", "&amp;$B302&amp;", ", ", "&amp;INDEX('Form Responses'!$I$1:$Q$200,23,$A302)&amp;", ")),ISNUMBER(SEARCH(", "&amp;$B302&amp;", ", ", "&amp;INDEX('Form Responses'!$R$1:$R$200,23)&amp;", "))),1,""))</f>
        <v/>
      </c>
      <c r="Z302">
        <f>IF(Wizards!$A$24="","",IF(OR(ISNUMBER(SEARCH(", "&amp;$B302&amp;", ", ", "&amp;INDEX('Form Responses'!$I$1:$Q$200,24,$A302)&amp;", ")),ISNUMBER(SEARCH(", "&amp;$B302&amp;", ", ", "&amp;INDEX('Form Responses'!$R$1:$R$200,24)&amp;", "))),1,""))</f>
        <v/>
      </c>
      <c r="AA302">
        <f>IF(Wizards!$A$25="","",IF(OR(ISNUMBER(SEARCH(", "&amp;$B302&amp;", ", ", "&amp;INDEX('Form Responses'!$I$1:$Q$200,25,$A302)&amp;", ")),ISNUMBER(SEARCH(", "&amp;$B302&amp;", ", ", "&amp;INDEX('Form Responses'!$R$1:$R$200,25)&amp;", "))),1,""))</f>
        <v/>
      </c>
      <c r="AB302">
        <f>IF(D302=1,", "&amp;D$1,"")</f>
        <v/>
      </c>
      <c r="AC302">
        <f>IF(E302=1,", "&amp;E$1,"")</f>
        <v/>
      </c>
      <c r="AD302">
        <f>IF(F302=1,", "&amp;F$1,"")</f>
        <v/>
      </c>
      <c r="AE302">
        <f>IF(G302=1,", "&amp;G$1,"")</f>
        <v/>
      </c>
      <c r="AF302">
        <f>IF(H302=1,", "&amp;H$1,"")</f>
        <v/>
      </c>
      <c r="AG302">
        <f>IF(I302=1,", "&amp;I$1,"")</f>
        <v/>
      </c>
      <c r="AH302">
        <f>IF(J302=1,", "&amp;J$1,"")</f>
        <v/>
      </c>
      <c r="AI302">
        <f>IF(K302=1,", "&amp;K$1,"")</f>
        <v/>
      </c>
      <c r="AJ302">
        <f>IF(L302=1,", "&amp;L$1,"")</f>
        <v/>
      </c>
      <c r="AK302">
        <f>IF(M302=1,", "&amp;M$1,"")</f>
        <v/>
      </c>
      <c r="AL302">
        <f>IF(N302=1,", "&amp;N$1,"")</f>
        <v/>
      </c>
      <c r="AM302">
        <f>IF(O302=1,", "&amp;O$1,"")</f>
        <v/>
      </c>
      <c r="AN302">
        <f>IF(P302=1,", "&amp;P$1,"")</f>
        <v/>
      </c>
      <c r="AO302">
        <f>IF(Q302=1,", "&amp;Q$1,"")</f>
        <v/>
      </c>
      <c r="AP302">
        <f>IF(R302=1,", "&amp;R$1,"")</f>
        <v/>
      </c>
      <c r="AQ302">
        <f>IF(S302=1,", "&amp;S$1,"")</f>
        <v/>
      </c>
      <c r="AR302">
        <f>IF(T302=1,", "&amp;T$1,"")</f>
        <v/>
      </c>
      <c r="AS302">
        <f>IF(U302=1,", "&amp;U$1,"")</f>
        <v/>
      </c>
      <c r="AT302">
        <f>IF(V302=1,", "&amp;V$1,"")</f>
        <v/>
      </c>
      <c r="AU302">
        <f>IF(W302=1,", "&amp;W$1,"")</f>
        <v/>
      </c>
      <c r="AV302">
        <f>IF(X302=1,", "&amp;X$1,"")</f>
        <v/>
      </c>
      <c r="AW302">
        <f>IF(Y302=1,", "&amp;Y$1,"")</f>
        <v/>
      </c>
      <c r="AX302">
        <f>IF(Z302=1,", "&amp;Z$1,"")</f>
        <v/>
      </c>
      <c r="AY302">
        <f>IF(AA302=1,", "&amp;AA$1,"")</f>
        <v/>
      </c>
      <c r="AZ302">
        <f>MID($AB302&amp;$AC302&amp;$AD302&amp;$AE302&amp;$AF302&amp;$AG302&amp;$AH302&amp;$AI302&amp;$AJ302&amp;$AK302&amp;$AL302&amp;$AM302&amp;$AN302&amp;$AO302&amp;$AP302&amp;$AQ302&amp;$AR302&amp;$AS302&amp;$AT302&amp;$AU302&amp;$AV302&amp;$AW302&amp;$AX302&amp;$AY302,3,32767)</f>
        <v/>
      </c>
      <c r="BA302">
        <f>COUNT($D302:$AA302)</f>
        <v/>
      </c>
    </row>
    <row r="303">
      <c r="A303" t="n">
        <v>7</v>
      </c>
      <c r="B303" t="inlineStr">
        <is>
          <t>Sequester</t>
        </is>
      </c>
      <c r="C303" t="inlineStr">
        <is>
          <t>Transmutation</t>
        </is>
      </c>
      <c r="D303">
        <f>IF(Wizards!$A$2="","",IF(OR(ISNUMBER(SEARCH(", "&amp;$B303&amp;", ", ", "&amp;INDEX('Form Responses'!$I$1:$Q$200,2,$A303)&amp;", ")),ISNUMBER(SEARCH(", "&amp;$B303&amp;", ", ", "&amp;INDEX('Form Responses'!$R$1:$R$200,2)&amp;", "))),1,""))</f>
        <v/>
      </c>
      <c r="E303">
        <f>IF(Wizards!$A$3="","",IF(OR(ISNUMBER(SEARCH(", "&amp;$B303&amp;", ", ", "&amp;INDEX('Form Responses'!$I$1:$Q$200,3,$A303)&amp;", ")),ISNUMBER(SEARCH(", "&amp;$B303&amp;", ", ", "&amp;INDEX('Form Responses'!$R$1:$R$200,3)&amp;", "))),1,""))</f>
        <v/>
      </c>
      <c r="F303">
        <f>IF(Wizards!$A$4="","",IF(OR(ISNUMBER(SEARCH(", "&amp;$B303&amp;", ", ", "&amp;INDEX('Form Responses'!$I$1:$Q$200,4,$A303)&amp;", ")),ISNUMBER(SEARCH(", "&amp;$B303&amp;", ", ", "&amp;INDEX('Form Responses'!$R$1:$R$200,4)&amp;", "))),1,""))</f>
        <v/>
      </c>
      <c r="G303">
        <f>IF(Wizards!$A$5="","",IF(OR(ISNUMBER(SEARCH(", "&amp;$B303&amp;", ", ", "&amp;INDEX('Form Responses'!$I$1:$Q$200,5,$A303)&amp;", ")),ISNUMBER(SEARCH(", "&amp;$B303&amp;", ", ", "&amp;INDEX('Form Responses'!$R$1:$R$200,5)&amp;", "))),1,""))</f>
        <v/>
      </c>
      <c r="H303">
        <f>IF(Wizards!$A$6="","",IF(OR(ISNUMBER(SEARCH(", "&amp;$B303&amp;", ", ", "&amp;INDEX('Form Responses'!$I$1:$Q$200,6,$A303)&amp;", ")),ISNUMBER(SEARCH(", "&amp;$B303&amp;", ", ", "&amp;INDEX('Form Responses'!$R$1:$R$200,6)&amp;", "))),1,""))</f>
        <v/>
      </c>
      <c r="I303">
        <f>IF(Wizards!$A$7="","",IF(OR(ISNUMBER(SEARCH(", "&amp;$B303&amp;", ", ", "&amp;INDEX('Form Responses'!$I$1:$Q$200,7,$A303)&amp;", ")),ISNUMBER(SEARCH(", "&amp;$B303&amp;", ", ", "&amp;INDEX('Form Responses'!$R$1:$R$200,7)&amp;", "))),1,""))</f>
        <v/>
      </c>
      <c r="J303">
        <f>IF(Wizards!$A$8="","",IF(OR(ISNUMBER(SEARCH(", "&amp;$B303&amp;", ", ", "&amp;INDEX('Form Responses'!$I$1:$Q$200,8,$A303)&amp;", ")),ISNUMBER(SEARCH(", "&amp;$B303&amp;", ", ", "&amp;INDEX('Form Responses'!$R$1:$R$200,8)&amp;", "))),1,""))</f>
        <v/>
      </c>
      <c r="K303">
        <f>IF(Wizards!$A$9="","",IF(OR(ISNUMBER(SEARCH(", "&amp;$B303&amp;", ", ", "&amp;INDEX('Form Responses'!$I$1:$Q$200,9,$A303)&amp;", ")),ISNUMBER(SEARCH(", "&amp;$B303&amp;", ", ", "&amp;INDEX('Form Responses'!$R$1:$R$200,9)&amp;", "))),1,""))</f>
        <v/>
      </c>
      <c r="L303">
        <f>IF(Wizards!$A$10="","",IF(OR(ISNUMBER(SEARCH(", "&amp;$B303&amp;", ", ", "&amp;INDEX('Form Responses'!$I$1:$Q$200,10,$A303)&amp;", ")),ISNUMBER(SEARCH(", "&amp;$B303&amp;", ", ", "&amp;INDEX('Form Responses'!$R$1:$R$200,10)&amp;", "))),1,""))</f>
        <v/>
      </c>
      <c r="M303">
        <f>IF(Wizards!$A$11="","",IF(OR(ISNUMBER(SEARCH(", "&amp;$B303&amp;", ", ", "&amp;INDEX('Form Responses'!$I$1:$Q$200,11,$A303)&amp;", ")),ISNUMBER(SEARCH(", "&amp;$B303&amp;", ", ", "&amp;INDEX('Form Responses'!$R$1:$R$200,11)&amp;", "))),1,""))</f>
        <v/>
      </c>
      <c r="N303">
        <f>IF(Wizards!$A$12="","",IF(OR(ISNUMBER(SEARCH(", "&amp;$B303&amp;", ", ", "&amp;INDEX('Form Responses'!$I$1:$Q$200,12,$A303)&amp;", ")),ISNUMBER(SEARCH(", "&amp;$B303&amp;", ", ", "&amp;INDEX('Form Responses'!$R$1:$R$200,12)&amp;", "))),1,""))</f>
        <v/>
      </c>
      <c r="O303">
        <f>IF(Wizards!$A$13="","",IF(OR(ISNUMBER(SEARCH(", "&amp;$B303&amp;", ", ", "&amp;INDEX('Form Responses'!$I$1:$Q$200,13,$A303)&amp;", ")),ISNUMBER(SEARCH(", "&amp;$B303&amp;", ", ", "&amp;INDEX('Form Responses'!$R$1:$R$200,13)&amp;", "))),1,""))</f>
        <v/>
      </c>
      <c r="P303">
        <f>IF(Wizards!$A$14="","",IF(OR(ISNUMBER(SEARCH(", "&amp;$B303&amp;", ", ", "&amp;INDEX('Form Responses'!$I$1:$Q$200,14,$A303)&amp;", ")),ISNUMBER(SEARCH(", "&amp;$B303&amp;", ", ", "&amp;INDEX('Form Responses'!$R$1:$R$200,14)&amp;", "))),1,""))</f>
        <v/>
      </c>
      <c r="Q303">
        <f>IF(Wizards!$A$15="","",IF(OR(ISNUMBER(SEARCH(", "&amp;$B303&amp;", ", ", "&amp;INDEX('Form Responses'!$I$1:$Q$200,15,$A303)&amp;", ")),ISNUMBER(SEARCH(", "&amp;$B303&amp;", ", ", "&amp;INDEX('Form Responses'!$R$1:$R$200,15)&amp;", "))),1,""))</f>
        <v/>
      </c>
      <c r="R303">
        <f>IF(Wizards!$A$16="","",IF(OR(ISNUMBER(SEARCH(", "&amp;$B303&amp;", ", ", "&amp;INDEX('Form Responses'!$I$1:$Q$200,16,$A303)&amp;", ")),ISNUMBER(SEARCH(", "&amp;$B303&amp;", ", ", "&amp;INDEX('Form Responses'!$R$1:$R$200,16)&amp;", "))),1,""))</f>
        <v/>
      </c>
      <c r="S303">
        <f>IF(Wizards!$A$17="","",IF(OR(ISNUMBER(SEARCH(", "&amp;$B303&amp;", ", ", "&amp;INDEX('Form Responses'!$I$1:$Q$200,17,$A303)&amp;", ")),ISNUMBER(SEARCH(", "&amp;$B303&amp;", ", ", "&amp;INDEX('Form Responses'!$R$1:$R$200,17)&amp;", "))),1,""))</f>
        <v/>
      </c>
      <c r="T303">
        <f>IF(Wizards!$A$18="","",IF(OR(ISNUMBER(SEARCH(", "&amp;$B303&amp;", ", ", "&amp;INDEX('Form Responses'!$I$1:$Q$200,18,$A303)&amp;", ")),ISNUMBER(SEARCH(", "&amp;$B303&amp;", ", ", "&amp;INDEX('Form Responses'!$R$1:$R$200,18)&amp;", "))),1,""))</f>
        <v/>
      </c>
      <c r="U303">
        <f>IF(Wizards!$A$19="","",IF(OR(ISNUMBER(SEARCH(", "&amp;$B303&amp;", ", ", "&amp;INDEX('Form Responses'!$I$1:$Q$200,19,$A303)&amp;", ")),ISNUMBER(SEARCH(", "&amp;$B303&amp;", ", ", "&amp;INDEX('Form Responses'!$R$1:$R$200,19)&amp;", "))),1,""))</f>
        <v/>
      </c>
      <c r="V303">
        <f>IF(Wizards!$A$20="","",IF(OR(ISNUMBER(SEARCH(", "&amp;$B303&amp;", ", ", "&amp;INDEX('Form Responses'!$I$1:$Q$200,20,$A303)&amp;", ")),ISNUMBER(SEARCH(", "&amp;$B303&amp;", ", ", "&amp;INDEX('Form Responses'!$R$1:$R$200,20)&amp;", "))),1,""))</f>
        <v/>
      </c>
      <c r="W303">
        <f>IF(Wizards!$A$21="","",IF(OR(ISNUMBER(SEARCH(", "&amp;$B303&amp;", ", ", "&amp;INDEX('Form Responses'!$I$1:$Q$200,21,$A303)&amp;", ")),ISNUMBER(SEARCH(", "&amp;$B303&amp;", ", ", "&amp;INDEX('Form Responses'!$R$1:$R$200,21)&amp;", "))),1,""))</f>
        <v/>
      </c>
      <c r="X303">
        <f>IF(Wizards!$A$22="","",IF(OR(ISNUMBER(SEARCH(", "&amp;$B303&amp;", ", ", "&amp;INDEX('Form Responses'!$I$1:$Q$200,22,$A303)&amp;", ")),ISNUMBER(SEARCH(", "&amp;$B303&amp;", ", ", "&amp;INDEX('Form Responses'!$R$1:$R$200,22)&amp;", "))),1,""))</f>
        <v/>
      </c>
      <c r="Y303">
        <f>IF(Wizards!$A$23="","",IF(OR(ISNUMBER(SEARCH(", "&amp;$B303&amp;", ", ", "&amp;INDEX('Form Responses'!$I$1:$Q$200,23,$A303)&amp;", ")),ISNUMBER(SEARCH(", "&amp;$B303&amp;", ", ", "&amp;INDEX('Form Responses'!$R$1:$R$200,23)&amp;", "))),1,""))</f>
        <v/>
      </c>
      <c r="Z303">
        <f>IF(Wizards!$A$24="","",IF(OR(ISNUMBER(SEARCH(", "&amp;$B303&amp;", ", ", "&amp;INDEX('Form Responses'!$I$1:$Q$200,24,$A303)&amp;", ")),ISNUMBER(SEARCH(", "&amp;$B303&amp;", ", ", "&amp;INDEX('Form Responses'!$R$1:$R$200,24)&amp;", "))),1,""))</f>
        <v/>
      </c>
      <c r="AA303">
        <f>IF(Wizards!$A$25="","",IF(OR(ISNUMBER(SEARCH(", "&amp;$B303&amp;", ", ", "&amp;INDEX('Form Responses'!$I$1:$Q$200,25,$A303)&amp;", ")),ISNUMBER(SEARCH(", "&amp;$B303&amp;", ", ", "&amp;INDEX('Form Responses'!$R$1:$R$200,25)&amp;", "))),1,""))</f>
        <v/>
      </c>
      <c r="AB303">
        <f>IF(D303=1,", "&amp;D$1,"")</f>
        <v/>
      </c>
      <c r="AC303">
        <f>IF(E303=1,", "&amp;E$1,"")</f>
        <v/>
      </c>
      <c r="AD303">
        <f>IF(F303=1,", "&amp;F$1,"")</f>
        <v/>
      </c>
      <c r="AE303">
        <f>IF(G303=1,", "&amp;G$1,"")</f>
        <v/>
      </c>
      <c r="AF303">
        <f>IF(H303=1,", "&amp;H$1,"")</f>
        <v/>
      </c>
      <c r="AG303">
        <f>IF(I303=1,", "&amp;I$1,"")</f>
        <v/>
      </c>
      <c r="AH303">
        <f>IF(J303=1,", "&amp;J$1,"")</f>
        <v/>
      </c>
      <c r="AI303">
        <f>IF(K303=1,", "&amp;K$1,"")</f>
        <v/>
      </c>
      <c r="AJ303">
        <f>IF(L303=1,", "&amp;L$1,"")</f>
        <v/>
      </c>
      <c r="AK303">
        <f>IF(M303=1,", "&amp;M$1,"")</f>
        <v/>
      </c>
      <c r="AL303">
        <f>IF(N303=1,", "&amp;N$1,"")</f>
        <v/>
      </c>
      <c r="AM303">
        <f>IF(O303=1,", "&amp;O$1,"")</f>
        <v/>
      </c>
      <c r="AN303">
        <f>IF(P303=1,", "&amp;P$1,"")</f>
        <v/>
      </c>
      <c r="AO303">
        <f>IF(Q303=1,", "&amp;Q$1,"")</f>
        <v/>
      </c>
      <c r="AP303">
        <f>IF(R303=1,", "&amp;R$1,"")</f>
        <v/>
      </c>
      <c r="AQ303">
        <f>IF(S303=1,", "&amp;S$1,"")</f>
        <v/>
      </c>
      <c r="AR303">
        <f>IF(T303=1,", "&amp;T$1,"")</f>
        <v/>
      </c>
      <c r="AS303">
        <f>IF(U303=1,", "&amp;U$1,"")</f>
        <v/>
      </c>
      <c r="AT303">
        <f>IF(V303=1,", "&amp;V$1,"")</f>
        <v/>
      </c>
      <c r="AU303">
        <f>IF(W303=1,", "&amp;W$1,"")</f>
        <v/>
      </c>
      <c r="AV303">
        <f>IF(X303=1,", "&amp;X$1,"")</f>
        <v/>
      </c>
      <c r="AW303">
        <f>IF(Y303=1,", "&amp;Y$1,"")</f>
        <v/>
      </c>
      <c r="AX303">
        <f>IF(Z303=1,", "&amp;Z$1,"")</f>
        <v/>
      </c>
      <c r="AY303">
        <f>IF(AA303=1,", "&amp;AA$1,"")</f>
        <v/>
      </c>
      <c r="AZ303">
        <f>MID($AB303&amp;$AC303&amp;$AD303&amp;$AE303&amp;$AF303&amp;$AG303&amp;$AH303&amp;$AI303&amp;$AJ303&amp;$AK303&amp;$AL303&amp;$AM303&amp;$AN303&amp;$AO303&amp;$AP303&amp;$AQ303&amp;$AR303&amp;$AS303&amp;$AT303&amp;$AU303&amp;$AV303&amp;$AW303&amp;$AX303&amp;$AY303,3,32767)</f>
        <v/>
      </c>
      <c r="BA303">
        <f>COUNT($D303:$AA303)</f>
        <v/>
      </c>
    </row>
    <row r="304">
      <c r="A304" t="n">
        <v>7</v>
      </c>
      <c r="B304" t="inlineStr">
        <is>
          <t>Simbul's Synostodweomer</t>
        </is>
      </c>
      <c r="C304" t="inlineStr">
        <is>
          <t>Transmutation</t>
        </is>
      </c>
      <c r="D304">
        <f>IF(Wizards!$A$2="","",IF(OR(ISNUMBER(SEARCH(", "&amp;$B304&amp;", ", ", "&amp;INDEX('Form Responses'!$I$1:$Q$200,2,$A304)&amp;", ")),ISNUMBER(SEARCH(", "&amp;$B304&amp;", ", ", "&amp;INDEX('Form Responses'!$R$1:$R$200,2)&amp;", "))),1,""))</f>
        <v/>
      </c>
      <c r="E304">
        <f>IF(Wizards!$A$3="","",IF(OR(ISNUMBER(SEARCH(", "&amp;$B304&amp;", ", ", "&amp;INDEX('Form Responses'!$I$1:$Q$200,3,$A304)&amp;", ")),ISNUMBER(SEARCH(", "&amp;$B304&amp;", ", ", "&amp;INDEX('Form Responses'!$R$1:$R$200,3)&amp;", "))),1,""))</f>
        <v/>
      </c>
      <c r="F304">
        <f>IF(Wizards!$A$4="","",IF(OR(ISNUMBER(SEARCH(", "&amp;$B304&amp;", ", ", "&amp;INDEX('Form Responses'!$I$1:$Q$200,4,$A304)&amp;", ")),ISNUMBER(SEARCH(", "&amp;$B304&amp;", ", ", "&amp;INDEX('Form Responses'!$R$1:$R$200,4)&amp;", "))),1,""))</f>
        <v/>
      </c>
      <c r="G304">
        <f>IF(Wizards!$A$5="","",IF(OR(ISNUMBER(SEARCH(", "&amp;$B304&amp;", ", ", "&amp;INDEX('Form Responses'!$I$1:$Q$200,5,$A304)&amp;", ")),ISNUMBER(SEARCH(", "&amp;$B304&amp;", ", ", "&amp;INDEX('Form Responses'!$R$1:$R$200,5)&amp;", "))),1,""))</f>
        <v/>
      </c>
      <c r="H304">
        <f>IF(Wizards!$A$6="","",IF(OR(ISNUMBER(SEARCH(", "&amp;$B304&amp;", ", ", "&amp;INDEX('Form Responses'!$I$1:$Q$200,6,$A304)&amp;", ")),ISNUMBER(SEARCH(", "&amp;$B304&amp;", ", ", "&amp;INDEX('Form Responses'!$R$1:$R$200,6)&amp;", "))),1,""))</f>
        <v/>
      </c>
      <c r="I304">
        <f>IF(Wizards!$A$7="","",IF(OR(ISNUMBER(SEARCH(", "&amp;$B304&amp;", ", ", "&amp;INDEX('Form Responses'!$I$1:$Q$200,7,$A304)&amp;", ")),ISNUMBER(SEARCH(", "&amp;$B304&amp;", ", ", "&amp;INDEX('Form Responses'!$R$1:$R$200,7)&amp;", "))),1,""))</f>
        <v/>
      </c>
      <c r="J304">
        <f>IF(Wizards!$A$8="","",IF(OR(ISNUMBER(SEARCH(", "&amp;$B304&amp;", ", ", "&amp;INDEX('Form Responses'!$I$1:$Q$200,8,$A304)&amp;", ")),ISNUMBER(SEARCH(", "&amp;$B304&amp;", ", ", "&amp;INDEX('Form Responses'!$R$1:$R$200,8)&amp;", "))),1,""))</f>
        <v/>
      </c>
      <c r="K304">
        <f>IF(Wizards!$A$9="","",IF(OR(ISNUMBER(SEARCH(", "&amp;$B304&amp;", ", ", "&amp;INDEX('Form Responses'!$I$1:$Q$200,9,$A304)&amp;", ")),ISNUMBER(SEARCH(", "&amp;$B304&amp;", ", ", "&amp;INDEX('Form Responses'!$R$1:$R$200,9)&amp;", "))),1,""))</f>
        <v/>
      </c>
      <c r="L304">
        <f>IF(Wizards!$A$10="","",IF(OR(ISNUMBER(SEARCH(", "&amp;$B304&amp;", ", ", "&amp;INDEX('Form Responses'!$I$1:$Q$200,10,$A304)&amp;", ")),ISNUMBER(SEARCH(", "&amp;$B304&amp;", ", ", "&amp;INDEX('Form Responses'!$R$1:$R$200,10)&amp;", "))),1,""))</f>
        <v/>
      </c>
      <c r="M304">
        <f>IF(Wizards!$A$11="","",IF(OR(ISNUMBER(SEARCH(", "&amp;$B304&amp;", ", ", "&amp;INDEX('Form Responses'!$I$1:$Q$200,11,$A304)&amp;", ")),ISNUMBER(SEARCH(", "&amp;$B304&amp;", ", ", "&amp;INDEX('Form Responses'!$R$1:$R$200,11)&amp;", "))),1,""))</f>
        <v/>
      </c>
      <c r="N304">
        <f>IF(Wizards!$A$12="","",IF(OR(ISNUMBER(SEARCH(", "&amp;$B304&amp;", ", ", "&amp;INDEX('Form Responses'!$I$1:$Q$200,12,$A304)&amp;", ")),ISNUMBER(SEARCH(", "&amp;$B304&amp;", ", ", "&amp;INDEX('Form Responses'!$R$1:$R$200,12)&amp;", "))),1,""))</f>
        <v/>
      </c>
      <c r="O304">
        <f>IF(Wizards!$A$13="","",IF(OR(ISNUMBER(SEARCH(", "&amp;$B304&amp;", ", ", "&amp;INDEX('Form Responses'!$I$1:$Q$200,13,$A304)&amp;", ")),ISNUMBER(SEARCH(", "&amp;$B304&amp;", ", ", "&amp;INDEX('Form Responses'!$R$1:$R$200,13)&amp;", "))),1,""))</f>
        <v/>
      </c>
      <c r="P304">
        <f>IF(Wizards!$A$14="","",IF(OR(ISNUMBER(SEARCH(", "&amp;$B304&amp;", ", ", "&amp;INDEX('Form Responses'!$I$1:$Q$200,14,$A304)&amp;", ")),ISNUMBER(SEARCH(", "&amp;$B304&amp;", ", ", "&amp;INDEX('Form Responses'!$R$1:$R$200,14)&amp;", "))),1,""))</f>
        <v/>
      </c>
      <c r="Q304">
        <f>IF(Wizards!$A$15="","",IF(OR(ISNUMBER(SEARCH(", "&amp;$B304&amp;", ", ", "&amp;INDEX('Form Responses'!$I$1:$Q$200,15,$A304)&amp;", ")),ISNUMBER(SEARCH(", "&amp;$B304&amp;", ", ", "&amp;INDEX('Form Responses'!$R$1:$R$200,15)&amp;", "))),1,""))</f>
        <v/>
      </c>
      <c r="R304">
        <f>IF(Wizards!$A$16="","",IF(OR(ISNUMBER(SEARCH(", "&amp;$B304&amp;", ", ", "&amp;INDEX('Form Responses'!$I$1:$Q$200,16,$A304)&amp;", ")),ISNUMBER(SEARCH(", "&amp;$B304&amp;", ", ", "&amp;INDEX('Form Responses'!$R$1:$R$200,16)&amp;", "))),1,""))</f>
        <v/>
      </c>
      <c r="S304">
        <f>IF(Wizards!$A$17="","",IF(OR(ISNUMBER(SEARCH(", "&amp;$B304&amp;", ", ", "&amp;INDEX('Form Responses'!$I$1:$Q$200,17,$A304)&amp;", ")),ISNUMBER(SEARCH(", "&amp;$B304&amp;", ", ", "&amp;INDEX('Form Responses'!$R$1:$R$200,17)&amp;", "))),1,""))</f>
        <v/>
      </c>
      <c r="T304">
        <f>IF(Wizards!$A$18="","",IF(OR(ISNUMBER(SEARCH(", "&amp;$B304&amp;", ", ", "&amp;INDEX('Form Responses'!$I$1:$Q$200,18,$A304)&amp;", ")),ISNUMBER(SEARCH(", "&amp;$B304&amp;", ", ", "&amp;INDEX('Form Responses'!$R$1:$R$200,18)&amp;", "))),1,""))</f>
        <v/>
      </c>
      <c r="U304">
        <f>IF(Wizards!$A$19="","",IF(OR(ISNUMBER(SEARCH(", "&amp;$B304&amp;", ", ", "&amp;INDEX('Form Responses'!$I$1:$Q$200,19,$A304)&amp;", ")),ISNUMBER(SEARCH(", "&amp;$B304&amp;", ", ", "&amp;INDEX('Form Responses'!$R$1:$R$200,19)&amp;", "))),1,""))</f>
        <v/>
      </c>
      <c r="V304">
        <f>IF(Wizards!$A$20="","",IF(OR(ISNUMBER(SEARCH(", "&amp;$B304&amp;", ", ", "&amp;INDEX('Form Responses'!$I$1:$Q$200,20,$A304)&amp;", ")),ISNUMBER(SEARCH(", "&amp;$B304&amp;", ", ", "&amp;INDEX('Form Responses'!$R$1:$R$200,20)&amp;", "))),1,""))</f>
        <v/>
      </c>
      <c r="W304">
        <f>IF(Wizards!$A$21="","",IF(OR(ISNUMBER(SEARCH(", "&amp;$B304&amp;", ", ", "&amp;INDEX('Form Responses'!$I$1:$Q$200,21,$A304)&amp;", ")),ISNUMBER(SEARCH(", "&amp;$B304&amp;", ", ", "&amp;INDEX('Form Responses'!$R$1:$R$200,21)&amp;", "))),1,""))</f>
        <v/>
      </c>
      <c r="X304">
        <f>IF(Wizards!$A$22="","",IF(OR(ISNUMBER(SEARCH(", "&amp;$B304&amp;", ", ", "&amp;INDEX('Form Responses'!$I$1:$Q$200,22,$A304)&amp;", ")),ISNUMBER(SEARCH(", "&amp;$B304&amp;", ", ", "&amp;INDEX('Form Responses'!$R$1:$R$200,22)&amp;", "))),1,""))</f>
        <v/>
      </c>
      <c r="Y304">
        <f>IF(Wizards!$A$23="","",IF(OR(ISNUMBER(SEARCH(", "&amp;$B304&amp;", ", ", "&amp;INDEX('Form Responses'!$I$1:$Q$200,23,$A304)&amp;", ")),ISNUMBER(SEARCH(", "&amp;$B304&amp;", ", ", "&amp;INDEX('Form Responses'!$R$1:$R$200,23)&amp;", "))),1,""))</f>
        <v/>
      </c>
      <c r="Z304">
        <f>IF(Wizards!$A$24="","",IF(OR(ISNUMBER(SEARCH(", "&amp;$B304&amp;", ", ", "&amp;INDEX('Form Responses'!$I$1:$Q$200,24,$A304)&amp;", ")),ISNUMBER(SEARCH(", "&amp;$B304&amp;", ", ", "&amp;INDEX('Form Responses'!$R$1:$R$200,24)&amp;", "))),1,""))</f>
        <v/>
      </c>
      <c r="AA304">
        <f>IF(Wizards!$A$25="","",IF(OR(ISNUMBER(SEARCH(", "&amp;$B304&amp;", ", ", "&amp;INDEX('Form Responses'!$I$1:$Q$200,25,$A304)&amp;", ")),ISNUMBER(SEARCH(", "&amp;$B304&amp;", ", ", "&amp;INDEX('Form Responses'!$R$1:$R$200,25)&amp;", "))),1,""))</f>
        <v/>
      </c>
      <c r="AB304">
        <f>IF(D304=1,", "&amp;D$1,"")</f>
        <v/>
      </c>
      <c r="AC304">
        <f>IF(E304=1,", "&amp;E$1,"")</f>
        <v/>
      </c>
      <c r="AD304">
        <f>IF(F304=1,", "&amp;F$1,"")</f>
        <v/>
      </c>
      <c r="AE304">
        <f>IF(G304=1,", "&amp;G$1,"")</f>
        <v/>
      </c>
      <c r="AF304">
        <f>IF(H304=1,", "&amp;H$1,"")</f>
        <v/>
      </c>
      <c r="AG304">
        <f>IF(I304=1,", "&amp;I$1,"")</f>
        <v/>
      </c>
      <c r="AH304">
        <f>IF(J304=1,", "&amp;J$1,"")</f>
        <v/>
      </c>
      <c r="AI304">
        <f>IF(K304=1,", "&amp;K$1,"")</f>
        <v/>
      </c>
      <c r="AJ304">
        <f>IF(L304=1,", "&amp;L$1,"")</f>
        <v/>
      </c>
      <c r="AK304">
        <f>IF(M304=1,", "&amp;M$1,"")</f>
        <v/>
      </c>
      <c r="AL304">
        <f>IF(N304=1,", "&amp;N$1,"")</f>
        <v/>
      </c>
      <c r="AM304">
        <f>IF(O304=1,", "&amp;O$1,"")</f>
        <v/>
      </c>
      <c r="AN304">
        <f>IF(P304=1,", "&amp;P$1,"")</f>
        <v/>
      </c>
      <c r="AO304">
        <f>IF(Q304=1,", "&amp;Q$1,"")</f>
        <v/>
      </c>
      <c r="AP304">
        <f>IF(R304=1,", "&amp;R$1,"")</f>
        <v/>
      </c>
      <c r="AQ304">
        <f>IF(S304=1,", "&amp;S$1,"")</f>
        <v/>
      </c>
      <c r="AR304">
        <f>IF(T304=1,", "&amp;T$1,"")</f>
        <v/>
      </c>
      <c r="AS304">
        <f>IF(U304=1,", "&amp;U$1,"")</f>
        <v/>
      </c>
      <c r="AT304">
        <f>IF(V304=1,", "&amp;V$1,"")</f>
        <v/>
      </c>
      <c r="AU304">
        <f>IF(W304=1,", "&amp;W$1,"")</f>
        <v/>
      </c>
      <c r="AV304">
        <f>IF(X304=1,", "&amp;X$1,"")</f>
        <v/>
      </c>
      <c r="AW304">
        <f>IF(Y304=1,", "&amp;Y$1,"")</f>
        <v/>
      </c>
      <c r="AX304">
        <f>IF(Z304=1,", "&amp;Z$1,"")</f>
        <v/>
      </c>
      <c r="AY304">
        <f>IF(AA304=1,", "&amp;AA$1,"")</f>
        <v/>
      </c>
      <c r="AZ304">
        <f>MID($AB304&amp;$AC304&amp;$AD304&amp;$AE304&amp;$AF304&amp;$AG304&amp;$AH304&amp;$AI304&amp;$AJ304&amp;$AK304&amp;$AL304&amp;$AM304&amp;$AN304&amp;$AO304&amp;$AP304&amp;$AQ304&amp;$AR304&amp;$AS304&amp;$AT304&amp;$AU304&amp;$AV304&amp;$AW304&amp;$AX304&amp;$AY304,3,32767)</f>
        <v/>
      </c>
      <c r="BA304">
        <f>COUNT($D304:$AA304)</f>
        <v/>
      </c>
    </row>
    <row r="305">
      <c r="A305" t="n">
        <v>7</v>
      </c>
      <c r="B305" t="inlineStr">
        <is>
          <t>Simulacrum</t>
        </is>
      </c>
      <c r="C305" t="inlineStr">
        <is>
          <t>Illusion</t>
        </is>
      </c>
      <c r="D305">
        <f>IF(Wizards!$A$2="","",IF(OR(ISNUMBER(SEARCH(", "&amp;$B305&amp;", ", ", "&amp;INDEX('Form Responses'!$I$1:$Q$200,2,$A305)&amp;", ")),ISNUMBER(SEARCH(", "&amp;$B305&amp;", ", ", "&amp;INDEX('Form Responses'!$R$1:$R$200,2)&amp;", "))),1,""))</f>
        <v/>
      </c>
      <c r="E305">
        <f>IF(Wizards!$A$3="","",IF(OR(ISNUMBER(SEARCH(", "&amp;$B305&amp;", ", ", "&amp;INDEX('Form Responses'!$I$1:$Q$200,3,$A305)&amp;", ")),ISNUMBER(SEARCH(", "&amp;$B305&amp;", ", ", "&amp;INDEX('Form Responses'!$R$1:$R$200,3)&amp;", "))),1,""))</f>
        <v/>
      </c>
      <c r="F305">
        <f>IF(Wizards!$A$4="","",IF(OR(ISNUMBER(SEARCH(", "&amp;$B305&amp;", ", ", "&amp;INDEX('Form Responses'!$I$1:$Q$200,4,$A305)&amp;", ")),ISNUMBER(SEARCH(", "&amp;$B305&amp;", ", ", "&amp;INDEX('Form Responses'!$R$1:$R$200,4)&amp;", "))),1,""))</f>
        <v/>
      </c>
      <c r="G305">
        <f>IF(Wizards!$A$5="","",IF(OR(ISNUMBER(SEARCH(", "&amp;$B305&amp;", ", ", "&amp;INDEX('Form Responses'!$I$1:$Q$200,5,$A305)&amp;", ")),ISNUMBER(SEARCH(", "&amp;$B305&amp;", ", ", "&amp;INDEX('Form Responses'!$R$1:$R$200,5)&amp;", "))),1,""))</f>
        <v/>
      </c>
      <c r="H305">
        <f>IF(Wizards!$A$6="","",IF(OR(ISNUMBER(SEARCH(", "&amp;$B305&amp;", ", ", "&amp;INDEX('Form Responses'!$I$1:$Q$200,6,$A305)&amp;", ")),ISNUMBER(SEARCH(", "&amp;$B305&amp;", ", ", "&amp;INDEX('Form Responses'!$R$1:$R$200,6)&amp;", "))),1,""))</f>
        <v/>
      </c>
      <c r="I305">
        <f>IF(Wizards!$A$7="","",IF(OR(ISNUMBER(SEARCH(", "&amp;$B305&amp;", ", ", "&amp;INDEX('Form Responses'!$I$1:$Q$200,7,$A305)&amp;", ")),ISNUMBER(SEARCH(", "&amp;$B305&amp;", ", ", "&amp;INDEX('Form Responses'!$R$1:$R$200,7)&amp;", "))),1,""))</f>
        <v/>
      </c>
      <c r="J305">
        <f>IF(Wizards!$A$8="","",IF(OR(ISNUMBER(SEARCH(", "&amp;$B305&amp;", ", ", "&amp;INDEX('Form Responses'!$I$1:$Q$200,8,$A305)&amp;", ")),ISNUMBER(SEARCH(", "&amp;$B305&amp;", ", ", "&amp;INDEX('Form Responses'!$R$1:$R$200,8)&amp;", "))),1,""))</f>
        <v/>
      </c>
      <c r="K305">
        <f>IF(Wizards!$A$9="","",IF(OR(ISNUMBER(SEARCH(", "&amp;$B305&amp;", ", ", "&amp;INDEX('Form Responses'!$I$1:$Q$200,9,$A305)&amp;", ")),ISNUMBER(SEARCH(", "&amp;$B305&amp;", ", ", "&amp;INDEX('Form Responses'!$R$1:$R$200,9)&amp;", "))),1,""))</f>
        <v/>
      </c>
      <c r="L305">
        <f>IF(Wizards!$A$10="","",IF(OR(ISNUMBER(SEARCH(", "&amp;$B305&amp;", ", ", "&amp;INDEX('Form Responses'!$I$1:$Q$200,10,$A305)&amp;", ")),ISNUMBER(SEARCH(", "&amp;$B305&amp;", ", ", "&amp;INDEX('Form Responses'!$R$1:$R$200,10)&amp;", "))),1,""))</f>
        <v/>
      </c>
      <c r="M305">
        <f>IF(Wizards!$A$11="","",IF(OR(ISNUMBER(SEARCH(", "&amp;$B305&amp;", ", ", "&amp;INDEX('Form Responses'!$I$1:$Q$200,11,$A305)&amp;", ")),ISNUMBER(SEARCH(", "&amp;$B305&amp;", ", ", "&amp;INDEX('Form Responses'!$R$1:$R$200,11)&amp;", "))),1,""))</f>
        <v/>
      </c>
      <c r="N305">
        <f>IF(Wizards!$A$12="","",IF(OR(ISNUMBER(SEARCH(", "&amp;$B305&amp;", ", ", "&amp;INDEX('Form Responses'!$I$1:$Q$200,12,$A305)&amp;", ")),ISNUMBER(SEARCH(", "&amp;$B305&amp;", ", ", "&amp;INDEX('Form Responses'!$R$1:$R$200,12)&amp;", "))),1,""))</f>
        <v/>
      </c>
      <c r="O305">
        <f>IF(Wizards!$A$13="","",IF(OR(ISNUMBER(SEARCH(", "&amp;$B305&amp;", ", ", "&amp;INDEX('Form Responses'!$I$1:$Q$200,13,$A305)&amp;", ")),ISNUMBER(SEARCH(", "&amp;$B305&amp;", ", ", "&amp;INDEX('Form Responses'!$R$1:$R$200,13)&amp;", "))),1,""))</f>
        <v/>
      </c>
      <c r="P305">
        <f>IF(Wizards!$A$14="","",IF(OR(ISNUMBER(SEARCH(", "&amp;$B305&amp;", ", ", "&amp;INDEX('Form Responses'!$I$1:$Q$200,14,$A305)&amp;", ")),ISNUMBER(SEARCH(", "&amp;$B305&amp;", ", ", "&amp;INDEX('Form Responses'!$R$1:$R$200,14)&amp;", "))),1,""))</f>
        <v/>
      </c>
      <c r="Q305">
        <f>IF(Wizards!$A$15="","",IF(OR(ISNUMBER(SEARCH(", "&amp;$B305&amp;", ", ", "&amp;INDEX('Form Responses'!$I$1:$Q$200,15,$A305)&amp;", ")),ISNUMBER(SEARCH(", "&amp;$B305&amp;", ", ", "&amp;INDEX('Form Responses'!$R$1:$R$200,15)&amp;", "))),1,""))</f>
        <v/>
      </c>
      <c r="R305">
        <f>IF(Wizards!$A$16="","",IF(OR(ISNUMBER(SEARCH(", "&amp;$B305&amp;", ", ", "&amp;INDEX('Form Responses'!$I$1:$Q$200,16,$A305)&amp;", ")),ISNUMBER(SEARCH(", "&amp;$B305&amp;", ", ", "&amp;INDEX('Form Responses'!$R$1:$R$200,16)&amp;", "))),1,""))</f>
        <v/>
      </c>
      <c r="S305">
        <f>IF(Wizards!$A$17="","",IF(OR(ISNUMBER(SEARCH(", "&amp;$B305&amp;", ", ", "&amp;INDEX('Form Responses'!$I$1:$Q$200,17,$A305)&amp;", ")),ISNUMBER(SEARCH(", "&amp;$B305&amp;", ", ", "&amp;INDEX('Form Responses'!$R$1:$R$200,17)&amp;", "))),1,""))</f>
        <v/>
      </c>
      <c r="T305">
        <f>IF(Wizards!$A$18="","",IF(OR(ISNUMBER(SEARCH(", "&amp;$B305&amp;", ", ", "&amp;INDEX('Form Responses'!$I$1:$Q$200,18,$A305)&amp;", ")),ISNUMBER(SEARCH(", "&amp;$B305&amp;", ", ", "&amp;INDEX('Form Responses'!$R$1:$R$200,18)&amp;", "))),1,""))</f>
        <v/>
      </c>
      <c r="U305">
        <f>IF(Wizards!$A$19="","",IF(OR(ISNUMBER(SEARCH(", "&amp;$B305&amp;", ", ", "&amp;INDEX('Form Responses'!$I$1:$Q$200,19,$A305)&amp;", ")),ISNUMBER(SEARCH(", "&amp;$B305&amp;", ", ", "&amp;INDEX('Form Responses'!$R$1:$R$200,19)&amp;", "))),1,""))</f>
        <v/>
      </c>
      <c r="V305">
        <f>IF(Wizards!$A$20="","",IF(OR(ISNUMBER(SEARCH(", "&amp;$B305&amp;", ", ", "&amp;INDEX('Form Responses'!$I$1:$Q$200,20,$A305)&amp;", ")),ISNUMBER(SEARCH(", "&amp;$B305&amp;", ", ", "&amp;INDEX('Form Responses'!$R$1:$R$200,20)&amp;", "))),1,""))</f>
        <v/>
      </c>
      <c r="W305">
        <f>IF(Wizards!$A$21="","",IF(OR(ISNUMBER(SEARCH(", "&amp;$B305&amp;", ", ", "&amp;INDEX('Form Responses'!$I$1:$Q$200,21,$A305)&amp;", ")),ISNUMBER(SEARCH(", "&amp;$B305&amp;", ", ", "&amp;INDEX('Form Responses'!$R$1:$R$200,21)&amp;", "))),1,""))</f>
        <v/>
      </c>
      <c r="X305">
        <f>IF(Wizards!$A$22="","",IF(OR(ISNUMBER(SEARCH(", "&amp;$B305&amp;", ", ", "&amp;INDEX('Form Responses'!$I$1:$Q$200,22,$A305)&amp;", ")),ISNUMBER(SEARCH(", "&amp;$B305&amp;", ", ", "&amp;INDEX('Form Responses'!$R$1:$R$200,22)&amp;", "))),1,""))</f>
        <v/>
      </c>
      <c r="Y305">
        <f>IF(Wizards!$A$23="","",IF(OR(ISNUMBER(SEARCH(", "&amp;$B305&amp;", ", ", "&amp;INDEX('Form Responses'!$I$1:$Q$200,23,$A305)&amp;", ")),ISNUMBER(SEARCH(", "&amp;$B305&amp;", ", ", "&amp;INDEX('Form Responses'!$R$1:$R$200,23)&amp;", "))),1,""))</f>
        <v/>
      </c>
      <c r="Z305">
        <f>IF(Wizards!$A$24="","",IF(OR(ISNUMBER(SEARCH(", "&amp;$B305&amp;", ", ", "&amp;INDEX('Form Responses'!$I$1:$Q$200,24,$A305)&amp;", ")),ISNUMBER(SEARCH(", "&amp;$B305&amp;", ", ", "&amp;INDEX('Form Responses'!$R$1:$R$200,24)&amp;", "))),1,""))</f>
        <v/>
      </c>
      <c r="AA305">
        <f>IF(Wizards!$A$25="","",IF(OR(ISNUMBER(SEARCH(", "&amp;$B305&amp;", ", ", "&amp;INDEX('Form Responses'!$I$1:$Q$200,25,$A305)&amp;", ")),ISNUMBER(SEARCH(", "&amp;$B305&amp;", ", ", "&amp;INDEX('Form Responses'!$R$1:$R$200,25)&amp;", "))),1,""))</f>
        <v/>
      </c>
      <c r="AB305">
        <f>IF(D305=1,", "&amp;D$1,"")</f>
        <v/>
      </c>
      <c r="AC305">
        <f>IF(E305=1,", "&amp;E$1,"")</f>
        <v/>
      </c>
      <c r="AD305">
        <f>IF(F305=1,", "&amp;F$1,"")</f>
        <v/>
      </c>
      <c r="AE305">
        <f>IF(G305=1,", "&amp;G$1,"")</f>
        <v/>
      </c>
      <c r="AF305">
        <f>IF(H305=1,", "&amp;H$1,"")</f>
        <v/>
      </c>
      <c r="AG305">
        <f>IF(I305=1,", "&amp;I$1,"")</f>
        <v/>
      </c>
      <c r="AH305">
        <f>IF(J305=1,", "&amp;J$1,"")</f>
        <v/>
      </c>
      <c r="AI305">
        <f>IF(K305=1,", "&amp;K$1,"")</f>
        <v/>
      </c>
      <c r="AJ305">
        <f>IF(L305=1,", "&amp;L$1,"")</f>
        <v/>
      </c>
      <c r="AK305">
        <f>IF(M305=1,", "&amp;M$1,"")</f>
        <v/>
      </c>
      <c r="AL305">
        <f>IF(N305=1,", "&amp;N$1,"")</f>
        <v/>
      </c>
      <c r="AM305">
        <f>IF(O305=1,", "&amp;O$1,"")</f>
        <v/>
      </c>
      <c r="AN305">
        <f>IF(P305=1,", "&amp;P$1,"")</f>
        <v/>
      </c>
      <c r="AO305">
        <f>IF(Q305=1,", "&amp;Q$1,"")</f>
        <v/>
      </c>
      <c r="AP305">
        <f>IF(R305=1,", "&amp;R$1,"")</f>
        <v/>
      </c>
      <c r="AQ305">
        <f>IF(S305=1,", "&amp;S$1,"")</f>
        <v/>
      </c>
      <c r="AR305">
        <f>IF(T305=1,", "&amp;T$1,"")</f>
        <v/>
      </c>
      <c r="AS305">
        <f>IF(U305=1,", "&amp;U$1,"")</f>
        <v/>
      </c>
      <c r="AT305">
        <f>IF(V305=1,", "&amp;V$1,"")</f>
        <v/>
      </c>
      <c r="AU305">
        <f>IF(W305=1,", "&amp;W$1,"")</f>
        <v/>
      </c>
      <c r="AV305">
        <f>IF(X305=1,", "&amp;X$1,"")</f>
        <v/>
      </c>
      <c r="AW305">
        <f>IF(Y305=1,", "&amp;Y$1,"")</f>
        <v/>
      </c>
      <c r="AX305">
        <f>IF(Z305=1,", "&amp;Z$1,"")</f>
        <v/>
      </c>
      <c r="AY305">
        <f>IF(AA305=1,", "&amp;AA$1,"")</f>
        <v/>
      </c>
      <c r="AZ305">
        <f>MID($AB305&amp;$AC305&amp;$AD305&amp;$AE305&amp;$AF305&amp;$AG305&amp;$AH305&amp;$AI305&amp;$AJ305&amp;$AK305&amp;$AL305&amp;$AM305&amp;$AN305&amp;$AO305&amp;$AP305&amp;$AQ305&amp;$AR305&amp;$AS305&amp;$AT305&amp;$AU305&amp;$AV305&amp;$AW305&amp;$AX305&amp;$AY305,3,32767)</f>
        <v/>
      </c>
      <c r="BA305">
        <f>COUNT($D305:$AA305)</f>
        <v/>
      </c>
    </row>
    <row r="306">
      <c r="A306" t="n">
        <v>7</v>
      </c>
      <c r="B306" t="inlineStr">
        <is>
          <t>Symbol</t>
        </is>
      </c>
      <c r="C306" t="inlineStr">
        <is>
          <t>Abjuration</t>
        </is>
      </c>
      <c r="D306">
        <f>IF(Wizards!$A$2="","",IF(OR(ISNUMBER(SEARCH(", "&amp;$B306&amp;", ", ", "&amp;INDEX('Form Responses'!$I$1:$Q$200,2,$A306)&amp;", ")),ISNUMBER(SEARCH(", "&amp;$B306&amp;", ", ", "&amp;INDEX('Form Responses'!$R$1:$R$200,2)&amp;", "))),1,""))</f>
        <v/>
      </c>
      <c r="E306">
        <f>IF(Wizards!$A$3="","",IF(OR(ISNUMBER(SEARCH(", "&amp;$B306&amp;", ", ", "&amp;INDEX('Form Responses'!$I$1:$Q$200,3,$A306)&amp;", ")),ISNUMBER(SEARCH(", "&amp;$B306&amp;", ", ", "&amp;INDEX('Form Responses'!$R$1:$R$200,3)&amp;", "))),1,""))</f>
        <v/>
      </c>
      <c r="F306">
        <f>IF(Wizards!$A$4="","",IF(OR(ISNUMBER(SEARCH(", "&amp;$B306&amp;", ", ", "&amp;INDEX('Form Responses'!$I$1:$Q$200,4,$A306)&amp;", ")),ISNUMBER(SEARCH(", "&amp;$B306&amp;", ", ", "&amp;INDEX('Form Responses'!$R$1:$R$200,4)&amp;", "))),1,""))</f>
        <v/>
      </c>
      <c r="G306">
        <f>IF(Wizards!$A$5="","",IF(OR(ISNUMBER(SEARCH(", "&amp;$B306&amp;", ", ", "&amp;INDEX('Form Responses'!$I$1:$Q$200,5,$A306)&amp;", ")),ISNUMBER(SEARCH(", "&amp;$B306&amp;", ", ", "&amp;INDEX('Form Responses'!$R$1:$R$200,5)&amp;", "))),1,""))</f>
        <v/>
      </c>
      <c r="H306">
        <f>IF(Wizards!$A$6="","",IF(OR(ISNUMBER(SEARCH(", "&amp;$B306&amp;", ", ", "&amp;INDEX('Form Responses'!$I$1:$Q$200,6,$A306)&amp;", ")),ISNUMBER(SEARCH(", "&amp;$B306&amp;", ", ", "&amp;INDEX('Form Responses'!$R$1:$R$200,6)&amp;", "))),1,""))</f>
        <v/>
      </c>
      <c r="I306">
        <f>IF(Wizards!$A$7="","",IF(OR(ISNUMBER(SEARCH(", "&amp;$B306&amp;", ", ", "&amp;INDEX('Form Responses'!$I$1:$Q$200,7,$A306)&amp;", ")),ISNUMBER(SEARCH(", "&amp;$B306&amp;", ", ", "&amp;INDEX('Form Responses'!$R$1:$R$200,7)&amp;", "))),1,""))</f>
        <v/>
      </c>
      <c r="J306">
        <f>IF(Wizards!$A$8="","",IF(OR(ISNUMBER(SEARCH(", "&amp;$B306&amp;", ", ", "&amp;INDEX('Form Responses'!$I$1:$Q$200,8,$A306)&amp;", ")),ISNUMBER(SEARCH(", "&amp;$B306&amp;", ", ", "&amp;INDEX('Form Responses'!$R$1:$R$200,8)&amp;", "))),1,""))</f>
        <v/>
      </c>
      <c r="K306">
        <f>IF(Wizards!$A$9="","",IF(OR(ISNUMBER(SEARCH(", "&amp;$B306&amp;", ", ", "&amp;INDEX('Form Responses'!$I$1:$Q$200,9,$A306)&amp;", ")),ISNUMBER(SEARCH(", "&amp;$B306&amp;", ", ", "&amp;INDEX('Form Responses'!$R$1:$R$200,9)&amp;", "))),1,""))</f>
        <v/>
      </c>
      <c r="L306">
        <f>IF(Wizards!$A$10="","",IF(OR(ISNUMBER(SEARCH(", "&amp;$B306&amp;", ", ", "&amp;INDEX('Form Responses'!$I$1:$Q$200,10,$A306)&amp;", ")),ISNUMBER(SEARCH(", "&amp;$B306&amp;", ", ", "&amp;INDEX('Form Responses'!$R$1:$R$200,10)&amp;", "))),1,""))</f>
        <v/>
      </c>
      <c r="M306">
        <f>IF(Wizards!$A$11="","",IF(OR(ISNUMBER(SEARCH(", "&amp;$B306&amp;", ", ", "&amp;INDEX('Form Responses'!$I$1:$Q$200,11,$A306)&amp;", ")),ISNUMBER(SEARCH(", "&amp;$B306&amp;", ", ", "&amp;INDEX('Form Responses'!$R$1:$R$200,11)&amp;", "))),1,""))</f>
        <v/>
      </c>
      <c r="N306">
        <f>IF(Wizards!$A$12="","",IF(OR(ISNUMBER(SEARCH(", "&amp;$B306&amp;", ", ", "&amp;INDEX('Form Responses'!$I$1:$Q$200,12,$A306)&amp;", ")),ISNUMBER(SEARCH(", "&amp;$B306&amp;", ", ", "&amp;INDEX('Form Responses'!$R$1:$R$200,12)&amp;", "))),1,""))</f>
        <v/>
      </c>
      <c r="O306">
        <f>IF(Wizards!$A$13="","",IF(OR(ISNUMBER(SEARCH(", "&amp;$B306&amp;", ", ", "&amp;INDEX('Form Responses'!$I$1:$Q$200,13,$A306)&amp;", ")),ISNUMBER(SEARCH(", "&amp;$B306&amp;", ", ", "&amp;INDEX('Form Responses'!$R$1:$R$200,13)&amp;", "))),1,""))</f>
        <v/>
      </c>
      <c r="P306">
        <f>IF(Wizards!$A$14="","",IF(OR(ISNUMBER(SEARCH(", "&amp;$B306&amp;", ", ", "&amp;INDEX('Form Responses'!$I$1:$Q$200,14,$A306)&amp;", ")),ISNUMBER(SEARCH(", "&amp;$B306&amp;", ", ", "&amp;INDEX('Form Responses'!$R$1:$R$200,14)&amp;", "))),1,""))</f>
        <v/>
      </c>
      <c r="Q306">
        <f>IF(Wizards!$A$15="","",IF(OR(ISNUMBER(SEARCH(", "&amp;$B306&amp;", ", ", "&amp;INDEX('Form Responses'!$I$1:$Q$200,15,$A306)&amp;", ")),ISNUMBER(SEARCH(", "&amp;$B306&amp;", ", ", "&amp;INDEX('Form Responses'!$R$1:$R$200,15)&amp;", "))),1,""))</f>
        <v/>
      </c>
      <c r="R306">
        <f>IF(Wizards!$A$16="","",IF(OR(ISNUMBER(SEARCH(", "&amp;$B306&amp;", ", ", "&amp;INDEX('Form Responses'!$I$1:$Q$200,16,$A306)&amp;", ")),ISNUMBER(SEARCH(", "&amp;$B306&amp;", ", ", "&amp;INDEX('Form Responses'!$R$1:$R$200,16)&amp;", "))),1,""))</f>
        <v/>
      </c>
      <c r="S306">
        <f>IF(Wizards!$A$17="","",IF(OR(ISNUMBER(SEARCH(", "&amp;$B306&amp;", ", ", "&amp;INDEX('Form Responses'!$I$1:$Q$200,17,$A306)&amp;", ")),ISNUMBER(SEARCH(", "&amp;$B306&amp;", ", ", "&amp;INDEX('Form Responses'!$R$1:$R$200,17)&amp;", "))),1,""))</f>
        <v/>
      </c>
      <c r="T306">
        <f>IF(Wizards!$A$18="","",IF(OR(ISNUMBER(SEARCH(", "&amp;$B306&amp;", ", ", "&amp;INDEX('Form Responses'!$I$1:$Q$200,18,$A306)&amp;", ")),ISNUMBER(SEARCH(", "&amp;$B306&amp;", ", ", "&amp;INDEX('Form Responses'!$R$1:$R$200,18)&amp;", "))),1,""))</f>
        <v/>
      </c>
      <c r="U306">
        <f>IF(Wizards!$A$19="","",IF(OR(ISNUMBER(SEARCH(", "&amp;$B306&amp;", ", ", "&amp;INDEX('Form Responses'!$I$1:$Q$200,19,$A306)&amp;", ")),ISNUMBER(SEARCH(", "&amp;$B306&amp;", ", ", "&amp;INDEX('Form Responses'!$R$1:$R$200,19)&amp;", "))),1,""))</f>
        <v/>
      </c>
      <c r="V306">
        <f>IF(Wizards!$A$20="","",IF(OR(ISNUMBER(SEARCH(", "&amp;$B306&amp;", ", ", "&amp;INDEX('Form Responses'!$I$1:$Q$200,20,$A306)&amp;", ")),ISNUMBER(SEARCH(", "&amp;$B306&amp;", ", ", "&amp;INDEX('Form Responses'!$R$1:$R$200,20)&amp;", "))),1,""))</f>
        <v/>
      </c>
      <c r="W306">
        <f>IF(Wizards!$A$21="","",IF(OR(ISNUMBER(SEARCH(", "&amp;$B306&amp;", ", ", "&amp;INDEX('Form Responses'!$I$1:$Q$200,21,$A306)&amp;", ")),ISNUMBER(SEARCH(", "&amp;$B306&amp;", ", ", "&amp;INDEX('Form Responses'!$R$1:$R$200,21)&amp;", "))),1,""))</f>
        <v/>
      </c>
      <c r="X306">
        <f>IF(Wizards!$A$22="","",IF(OR(ISNUMBER(SEARCH(", "&amp;$B306&amp;", ", ", "&amp;INDEX('Form Responses'!$I$1:$Q$200,22,$A306)&amp;", ")),ISNUMBER(SEARCH(", "&amp;$B306&amp;", ", ", "&amp;INDEX('Form Responses'!$R$1:$R$200,22)&amp;", "))),1,""))</f>
        <v/>
      </c>
      <c r="Y306">
        <f>IF(Wizards!$A$23="","",IF(OR(ISNUMBER(SEARCH(", "&amp;$B306&amp;", ", ", "&amp;INDEX('Form Responses'!$I$1:$Q$200,23,$A306)&amp;", ")),ISNUMBER(SEARCH(", "&amp;$B306&amp;", ", ", "&amp;INDEX('Form Responses'!$R$1:$R$200,23)&amp;", "))),1,""))</f>
        <v/>
      </c>
      <c r="Z306">
        <f>IF(Wizards!$A$24="","",IF(OR(ISNUMBER(SEARCH(", "&amp;$B306&amp;", ", ", "&amp;INDEX('Form Responses'!$I$1:$Q$200,24,$A306)&amp;", ")),ISNUMBER(SEARCH(", "&amp;$B306&amp;", ", ", "&amp;INDEX('Form Responses'!$R$1:$R$200,24)&amp;", "))),1,""))</f>
        <v/>
      </c>
      <c r="AA306">
        <f>IF(Wizards!$A$25="","",IF(OR(ISNUMBER(SEARCH(", "&amp;$B306&amp;", ", ", "&amp;INDEX('Form Responses'!$I$1:$Q$200,25,$A306)&amp;", ")),ISNUMBER(SEARCH(", "&amp;$B306&amp;", ", ", "&amp;INDEX('Form Responses'!$R$1:$R$200,25)&amp;", "))),1,""))</f>
        <v/>
      </c>
      <c r="AB306">
        <f>IF(D306=1,", "&amp;D$1,"")</f>
        <v/>
      </c>
      <c r="AC306">
        <f>IF(E306=1,", "&amp;E$1,"")</f>
        <v/>
      </c>
      <c r="AD306">
        <f>IF(F306=1,", "&amp;F$1,"")</f>
        <v/>
      </c>
      <c r="AE306">
        <f>IF(G306=1,", "&amp;G$1,"")</f>
        <v/>
      </c>
      <c r="AF306">
        <f>IF(H306=1,", "&amp;H$1,"")</f>
        <v/>
      </c>
      <c r="AG306">
        <f>IF(I306=1,", "&amp;I$1,"")</f>
        <v/>
      </c>
      <c r="AH306">
        <f>IF(J306=1,", "&amp;J$1,"")</f>
        <v/>
      </c>
      <c r="AI306">
        <f>IF(K306=1,", "&amp;K$1,"")</f>
        <v/>
      </c>
      <c r="AJ306">
        <f>IF(L306=1,", "&amp;L$1,"")</f>
        <v/>
      </c>
      <c r="AK306">
        <f>IF(M306=1,", "&amp;M$1,"")</f>
        <v/>
      </c>
      <c r="AL306">
        <f>IF(N306=1,", "&amp;N$1,"")</f>
        <v/>
      </c>
      <c r="AM306">
        <f>IF(O306=1,", "&amp;O$1,"")</f>
        <v/>
      </c>
      <c r="AN306">
        <f>IF(P306=1,", "&amp;P$1,"")</f>
        <v/>
      </c>
      <c r="AO306">
        <f>IF(Q306=1,", "&amp;Q$1,"")</f>
        <v/>
      </c>
      <c r="AP306">
        <f>IF(R306=1,", "&amp;R$1,"")</f>
        <v/>
      </c>
      <c r="AQ306">
        <f>IF(S306=1,", "&amp;S$1,"")</f>
        <v/>
      </c>
      <c r="AR306">
        <f>IF(T306=1,", "&amp;T$1,"")</f>
        <v/>
      </c>
      <c r="AS306">
        <f>IF(U306=1,", "&amp;U$1,"")</f>
        <v/>
      </c>
      <c r="AT306">
        <f>IF(V306=1,", "&amp;V$1,"")</f>
        <v/>
      </c>
      <c r="AU306">
        <f>IF(W306=1,", "&amp;W$1,"")</f>
        <v/>
      </c>
      <c r="AV306">
        <f>IF(X306=1,", "&amp;X$1,"")</f>
        <v/>
      </c>
      <c r="AW306">
        <f>IF(Y306=1,", "&amp;Y$1,"")</f>
        <v/>
      </c>
      <c r="AX306">
        <f>IF(Z306=1,", "&amp;Z$1,"")</f>
        <v/>
      </c>
      <c r="AY306">
        <f>IF(AA306=1,", "&amp;AA$1,"")</f>
        <v/>
      </c>
      <c r="AZ306">
        <f>MID($AB306&amp;$AC306&amp;$AD306&amp;$AE306&amp;$AF306&amp;$AG306&amp;$AH306&amp;$AI306&amp;$AJ306&amp;$AK306&amp;$AL306&amp;$AM306&amp;$AN306&amp;$AO306&amp;$AP306&amp;$AQ306&amp;$AR306&amp;$AS306&amp;$AT306&amp;$AU306&amp;$AV306&amp;$AW306&amp;$AX306&amp;$AY306,3,32767)</f>
        <v/>
      </c>
      <c r="BA306">
        <f>COUNT($D306:$AA306)</f>
        <v/>
      </c>
    </row>
    <row r="307">
      <c r="A307" t="n">
        <v>7</v>
      </c>
      <c r="B307" t="inlineStr">
        <is>
          <t>Teleport</t>
        </is>
      </c>
      <c r="C307" t="inlineStr">
        <is>
          <t>Conjuration</t>
        </is>
      </c>
      <c r="D307">
        <f>IF(Wizards!$A$2="","",IF(OR(ISNUMBER(SEARCH(", "&amp;$B307&amp;", ", ", "&amp;INDEX('Form Responses'!$I$1:$Q$200,2,$A307)&amp;", ")),ISNUMBER(SEARCH(", "&amp;$B307&amp;", ", ", "&amp;INDEX('Form Responses'!$R$1:$R$200,2)&amp;", "))),1,""))</f>
        <v/>
      </c>
      <c r="E307">
        <f>IF(Wizards!$A$3="","",IF(OR(ISNUMBER(SEARCH(", "&amp;$B307&amp;", ", ", "&amp;INDEX('Form Responses'!$I$1:$Q$200,3,$A307)&amp;", ")),ISNUMBER(SEARCH(", "&amp;$B307&amp;", ", ", "&amp;INDEX('Form Responses'!$R$1:$R$200,3)&amp;", "))),1,""))</f>
        <v/>
      </c>
      <c r="F307">
        <f>IF(Wizards!$A$4="","",IF(OR(ISNUMBER(SEARCH(", "&amp;$B307&amp;", ", ", "&amp;INDEX('Form Responses'!$I$1:$Q$200,4,$A307)&amp;", ")),ISNUMBER(SEARCH(", "&amp;$B307&amp;", ", ", "&amp;INDEX('Form Responses'!$R$1:$R$200,4)&amp;", "))),1,""))</f>
        <v/>
      </c>
      <c r="G307">
        <f>IF(Wizards!$A$5="","",IF(OR(ISNUMBER(SEARCH(", "&amp;$B307&amp;", ", ", "&amp;INDEX('Form Responses'!$I$1:$Q$200,5,$A307)&amp;", ")),ISNUMBER(SEARCH(", "&amp;$B307&amp;", ", ", "&amp;INDEX('Form Responses'!$R$1:$R$200,5)&amp;", "))),1,""))</f>
        <v/>
      </c>
      <c r="H307">
        <f>IF(Wizards!$A$6="","",IF(OR(ISNUMBER(SEARCH(", "&amp;$B307&amp;", ", ", "&amp;INDEX('Form Responses'!$I$1:$Q$200,6,$A307)&amp;", ")),ISNUMBER(SEARCH(", "&amp;$B307&amp;", ", ", "&amp;INDEX('Form Responses'!$R$1:$R$200,6)&amp;", "))),1,""))</f>
        <v/>
      </c>
      <c r="I307">
        <f>IF(Wizards!$A$7="","",IF(OR(ISNUMBER(SEARCH(", "&amp;$B307&amp;", ", ", "&amp;INDEX('Form Responses'!$I$1:$Q$200,7,$A307)&amp;", ")),ISNUMBER(SEARCH(", "&amp;$B307&amp;", ", ", "&amp;INDEX('Form Responses'!$R$1:$R$200,7)&amp;", "))),1,""))</f>
        <v/>
      </c>
      <c r="J307">
        <f>IF(Wizards!$A$8="","",IF(OR(ISNUMBER(SEARCH(", "&amp;$B307&amp;", ", ", "&amp;INDEX('Form Responses'!$I$1:$Q$200,8,$A307)&amp;", ")),ISNUMBER(SEARCH(", "&amp;$B307&amp;", ", ", "&amp;INDEX('Form Responses'!$R$1:$R$200,8)&amp;", "))),1,""))</f>
        <v/>
      </c>
      <c r="K307">
        <f>IF(Wizards!$A$9="","",IF(OR(ISNUMBER(SEARCH(", "&amp;$B307&amp;", ", ", "&amp;INDEX('Form Responses'!$I$1:$Q$200,9,$A307)&amp;", ")),ISNUMBER(SEARCH(", "&amp;$B307&amp;", ", ", "&amp;INDEX('Form Responses'!$R$1:$R$200,9)&amp;", "))),1,""))</f>
        <v/>
      </c>
      <c r="L307">
        <f>IF(Wizards!$A$10="","",IF(OR(ISNUMBER(SEARCH(", "&amp;$B307&amp;", ", ", "&amp;INDEX('Form Responses'!$I$1:$Q$200,10,$A307)&amp;", ")),ISNUMBER(SEARCH(", "&amp;$B307&amp;", ", ", "&amp;INDEX('Form Responses'!$R$1:$R$200,10)&amp;", "))),1,""))</f>
        <v/>
      </c>
      <c r="M307">
        <f>IF(Wizards!$A$11="","",IF(OR(ISNUMBER(SEARCH(", "&amp;$B307&amp;", ", ", "&amp;INDEX('Form Responses'!$I$1:$Q$200,11,$A307)&amp;", ")),ISNUMBER(SEARCH(", "&amp;$B307&amp;", ", ", "&amp;INDEX('Form Responses'!$R$1:$R$200,11)&amp;", "))),1,""))</f>
        <v/>
      </c>
      <c r="N307">
        <f>IF(Wizards!$A$12="","",IF(OR(ISNUMBER(SEARCH(", "&amp;$B307&amp;", ", ", "&amp;INDEX('Form Responses'!$I$1:$Q$200,12,$A307)&amp;", ")),ISNUMBER(SEARCH(", "&amp;$B307&amp;", ", ", "&amp;INDEX('Form Responses'!$R$1:$R$200,12)&amp;", "))),1,""))</f>
        <v/>
      </c>
      <c r="O307">
        <f>IF(Wizards!$A$13="","",IF(OR(ISNUMBER(SEARCH(", "&amp;$B307&amp;", ", ", "&amp;INDEX('Form Responses'!$I$1:$Q$200,13,$A307)&amp;", ")),ISNUMBER(SEARCH(", "&amp;$B307&amp;", ", ", "&amp;INDEX('Form Responses'!$R$1:$R$200,13)&amp;", "))),1,""))</f>
        <v/>
      </c>
      <c r="P307">
        <f>IF(Wizards!$A$14="","",IF(OR(ISNUMBER(SEARCH(", "&amp;$B307&amp;", ", ", "&amp;INDEX('Form Responses'!$I$1:$Q$200,14,$A307)&amp;", ")),ISNUMBER(SEARCH(", "&amp;$B307&amp;", ", ", "&amp;INDEX('Form Responses'!$R$1:$R$200,14)&amp;", "))),1,""))</f>
        <v/>
      </c>
      <c r="Q307">
        <f>IF(Wizards!$A$15="","",IF(OR(ISNUMBER(SEARCH(", "&amp;$B307&amp;", ", ", "&amp;INDEX('Form Responses'!$I$1:$Q$200,15,$A307)&amp;", ")),ISNUMBER(SEARCH(", "&amp;$B307&amp;", ", ", "&amp;INDEX('Form Responses'!$R$1:$R$200,15)&amp;", "))),1,""))</f>
        <v/>
      </c>
      <c r="R307">
        <f>IF(Wizards!$A$16="","",IF(OR(ISNUMBER(SEARCH(", "&amp;$B307&amp;", ", ", "&amp;INDEX('Form Responses'!$I$1:$Q$200,16,$A307)&amp;", ")),ISNUMBER(SEARCH(", "&amp;$B307&amp;", ", ", "&amp;INDEX('Form Responses'!$R$1:$R$200,16)&amp;", "))),1,""))</f>
        <v/>
      </c>
      <c r="S307">
        <f>IF(Wizards!$A$17="","",IF(OR(ISNUMBER(SEARCH(", "&amp;$B307&amp;", ", ", "&amp;INDEX('Form Responses'!$I$1:$Q$200,17,$A307)&amp;", ")),ISNUMBER(SEARCH(", "&amp;$B307&amp;", ", ", "&amp;INDEX('Form Responses'!$R$1:$R$200,17)&amp;", "))),1,""))</f>
        <v/>
      </c>
      <c r="T307">
        <f>IF(Wizards!$A$18="","",IF(OR(ISNUMBER(SEARCH(", "&amp;$B307&amp;", ", ", "&amp;INDEX('Form Responses'!$I$1:$Q$200,18,$A307)&amp;", ")),ISNUMBER(SEARCH(", "&amp;$B307&amp;", ", ", "&amp;INDEX('Form Responses'!$R$1:$R$200,18)&amp;", "))),1,""))</f>
        <v/>
      </c>
      <c r="U307">
        <f>IF(Wizards!$A$19="","",IF(OR(ISNUMBER(SEARCH(", "&amp;$B307&amp;", ", ", "&amp;INDEX('Form Responses'!$I$1:$Q$200,19,$A307)&amp;", ")),ISNUMBER(SEARCH(", "&amp;$B307&amp;", ", ", "&amp;INDEX('Form Responses'!$R$1:$R$200,19)&amp;", "))),1,""))</f>
        <v/>
      </c>
      <c r="V307">
        <f>IF(Wizards!$A$20="","",IF(OR(ISNUMBER(SEARCH(", "&amp;$B307&amp;", ", ", "&amp;INDEX('Form Responses'!$I$1:$Q$200,20,$A307)&amp;", ")),ISNUMBER(SEARCH(", "&amp;$B307&amp;", ", ", "&amp;INDEX('Form Responses'!$R$1:$R$200,20)&amp;", "))),1,""))</f>
        <v/>
      </c>
      <c r="W307">
        <f>IF(Wizards!$A$21="","",IF(OR(ISNUMBER(SEARCH(", "&amp;$B307&amp;", ", ", "&amp;INDEX('Form Responses'!$I$1:$Q$200,21,$A307)&amp;", ")),ISNUMBER(SEARCH(", "&amp;$B307&amp;", ", ", "&amp;INDEX('Form Responses'!$R$1:$R$200,21)&amp;", "))),1,""))</f>
        <v/>
      </c>
      <c r="X307">
        <f>IF(Wizards!$A$22="","",IF(OR(ISNUMBER(SEARCH(", "&amp;$B307&amp;", ", ", "&amp;INDEX('Form Responses'!$I$1:$Q$200,22,$A307)&amp;", ")),ISNUMBER(SEARCH(", "&amp;$B307&amp;", ", ", "&amp;INDEX('Form Responses'!$R$1:$R$200,22)&amp;", "))),1,""))</f>
        <v/>
      </c>
      <c r="Y307">
        <f>IF(Wizards!$A$23="","",IF(OR(ISNUMBER(SEARCH(", "&amp;$B307&amp;", ", ", "&amp;INDEX('Form Responses'!$I$1:$Q$200,23,$A307)&amp;", ")),ISNUMBER(SEARCH(", "&amp;$B307&amp;", ", ", "&amp;INDEX('Form Responses'!$R$1:$R$200,23)&amp;", "))),1,""))</f>
        <v/>
      </c>
      <c r="Z307">
        <f>IF(Wizards!$A$24="","",IF(OR(ISNUMBER(SEARCH(", "&amp;$B307&amp;", ", ", "&amp;INDEX('Form Responses'!$I$1:$Q$200,24,$A307)&amp;", ")),ISNUMBER(SEARCH(", "&amp;$B307&amp;", ", ", "&amp;INDEX('Form Responses'!$R$1:$R$200,24)&amp;", "))),1,""))</f>
        <v/>
      </c>
      <c r="AA307">
        <f>IF(Wizards!$A$25="","",IF(OR(ISNUMBER(SEARCH(", "&amp;$B307&amp;", ", ", "&amp;INDEX('Form Responses'!$I$1:$Q$200,25,$A307)&amp;", ")),ISNUMBER(SEARCH(", "&amp;$B307&amp;", ", ", "&amp;INDEX('Form Responses'!$R$1:$R$200,25)&amp;", "))),1,""))</f>
        <v/>
      </c>
      <c r="AB307">
        <f>IF(D307=1,", "&amp;D$1,"")</f>
        <v/>
      </c>
      <c r="AC307">
        <f>IF(E307=1,", "&amp;E$1,"")</f>
        <v/>
      </c>
      <c r="AD307">
        <f>IF(F307=1,", "&amp;F$1,"")</f>
        <v/>
      </c>
      <c r="AE307">
        <f>IF(G307=1,", "&amp;G$1,"")</f>
        <v/>
      </c>
      <c r="AF307">
        <f>IF(H307=1,", "&amp;H$1,"")</f>
        <v/>
      </c>
      <c r="AG307">
        <f>IF(I307=1,", "&amp;I$1,"")</f>
        <v/>
      </c>
      <c r="AH307">
        <f>IF(J307=1,", "&amp;J$1,"")</f>
        <v/>
      </c>
      <c r="AI307">
        <f>IF(K307=1,", "&amp;K$1,"")</f>
        <v/>
      </c>
      <c r="AJ307">
        <f>IF(L307=1,", "&amp;L$1,"")</f>
        <v/>
      </c>
      <c r="AK307">
        <f>IF(M307=1,", "&amp;M$1,"")</f>
        <v/>
      </c>
      <c r="AL307">
        <f>IF(N307=1,", "&amp;N$1,"")</f>
        <v/>
      </c>
      <c r="AM307">
        <f>IF(O307=1,", "&amp;O$1,"")</f>
        <v/>
      </c>
      <c r="AN307">
        <f>IF(P307=1,", "&amp;P$1,"")</f>
        <v/>
      </c>
      <c r="AO307">
        <f>IF(Q307=1,", "&amp;Q$1,"")</f>
        <v/>
      </c>
      <c r="AP307">
        <f>IF(R307=1,", "&amp;R$1,"")</f>
        <v/>
      </c>
      <c r="AQ307">
        <f>IF(S307=1,", "&amp;S$1,"")</f>
        <v/>
      </c>
      <c r="AR307">
        <f>IF(T307=1,", "&amp;T$1,"")</f>
        <v/>
      </c>
      <c r="AS307">
        <f>IF(U307=1,", "&amp;U$1,"")</f>
        <v/>
      </c>
      <c r="AT307">
        <f>IF(V307=1,", "&amp;V$1,"")</f>
        <v/>
      </c>
      <c r="AU307">
        <f>IF(W307=1,", "&amp;W$1,"")</f>
        <v/>
      </c>
      <c r="AV307">
        <f>IF(X307=1,", "&amp;X$1,"")</f>
        <v/>
      </c>
      <c r="AW307">
        <f>IF(Y307=1,", "&amp;Y$1,"")</f>
        <v/>
      </c>
      <c r="AX307">
        <f>IF(Z307=1,", "&amp;Z$1,"")</f>
        <v/>
      </c>
      <c r="AY307">
        <f>IF(AA307=1,", "&amp;AA$1,"")</f>
        <v/>
      </c>
      <c r="AZ307">
        <f>MID($AB307&amp;$AC307&amp;$AD307&amp;$AE307&amp;$AF307&amp;$AG307&amp;$AH307&amp;$AI307&amp;$AJ307&amp;$AK307&amp;$AL307&amp;$AM307&amp;$AN307&amp;$AO307&amp;$AP307&amp;$AQ307&amp;$AR307&amp;$AS307&amp;$AT307&amp;$AU307&amp;$AV307&amp;$AW307&amp;$AX307&amp;$AY307,3,32767)</f>
        <v/>
      </c>
      <c r="BA307">
        <f>COUNT($D307:$AA307)</f>
        <v/>
      </c>
    </row>
    <row r="308">
      <c r="A308" t="n">
        <v>7</v>
      </c>
      <c r="B308" t="inlineStr">
        <is>
          <t>Transfix</t>
        </is>
      </c>
      <c r="C308" t="inlineStr">
        <is>
          <t>Enchantment</t>
        </is>
      </c>
      <c r="D308">
        <f>IF(Wizards!$A$2="","",IF(OR(ISNUMBER(SEARCH(", "&amp;$B308&amp;", ", ", "&amp;INDEX('Form Responses'!$I$1:$Q$200,2,$A308)&amp;", ")),ISNUMBER(SEARCH(", "&amp;$B308&amp;", ", ", "&amp;INDEX('Form Responses'!$R$1:$R$200,2)&amp;", "))),1,""))</f>
        <v/>
      </c>
      <c r="E308">
        <f>IF(Wizards!$A$3="","",IF(OR(ISNUMBER(SEARCH(", "&amp;$B308&amp;", ", ", "&amp;INDEX('Form Responses'!$I$1:$Q$200,3,$A308)&amp;", ")),ISNUMBER(SEARCH(", "&amp;$B308&amp;", ", ", "&amp;INDEX('Form Responses'!$R$1:$R$200,3)&amp;", "))),1,""))</f>
        <v/>
      </c>
      <c r="F308">
        <f>IF(Wizards!$A$4="","",IF(OR(ISNUMBER(SEARCH(", "&amp;$B308&amp;", ", ", "&amp;INDEX('Form Responses'!$I$1:$Q$200,4,$A308)&amp;", ")),ISNUMBER(SEARCH(", "&amp;$B308&amp;", ", ", "&amp;INDEX('Form Responses'!$R$1:$R$200,4)&amp;", "))),1,""))</f>
        <v/>
      </c>
      <c r="G308">
        <f>IF(Wizards!$A$5="","",IF(OR(ISNUMBER(SEARCH(", "&amp;$B308&amp;", ", ", "&amp;INDEX('Form Responses'!$I$1:$Q$200,5,$A308)&amp;", ")),ISNUMBER(SEARCH(", "&amp;$B308&amp;", ", ", "&amp;INDEX('Form Responses'!$R$1:$R$200,5)&amp;", "))),1,""))</f>
        <v/>
      </c>
      <c r="H308">
        <f>IF(Wizards!$A$6="","",IF(OR(ISNUMBER(SEARCH(", "&amp;$B308&amp;", ", ", "&amp;INDEX('Form Responses'!$I$1:$Q$200,6,$A308)&amp;", ")),ISNUMBER(SEARCH(", "&amp;$B308&amp;", ", ", "&amp;INDEX('Form Responses'!$R$1:$R$200,6)&amp;", "))),1,""))</f>
        <v/>
      </c>
      <c r="I308">
        <f>IF(Wizards!$A$7="","",IF(OR(ISNUMBER(SEARCH(", "&amp;$B308&amp;", ", ", "&amp;INDEX('Form Responses'!$I$1:$Q$200,7,$A308)&amp;", ")),ISNUMBER(SEARCH(", "&amp;$B308&amp;", ", ", "&amp;INDEX('Form Responses'!$R$1:$R$200,7)&amp;", "))),1,""))</f>
        <v/>
      </c>
      <c r="J308">
        <f>IF(Wizards!$A$8="","",IF(OR(ISNUMBER(SEARCH(", "&amp;$B308&amp;", ", ", "&amp;INDEX('Form Responses'!$I$1:$Q$200,8,$A308)&amp;", ")),ISNUMBER(SEARCH(", "&amp;$B308&amp;", ", ", "&amp;INDEX('Form Responses'!$R$1:$R$200,8)&amp;", "))),1,""))</f>
        <v/>
      </c>
      <c r="K308">
        <f>IF(Wizards!$A$9="","",IF(OR(ISNUMBER(SEARCH(", "&amp;$B308&amp;", ", ", "&amp;INDEX('Form Responses'!$I$1:$Q$200,9,$A308)&amp;", ")),ISNUMBER(SEARCH(", "&amp;$B308&amp;", ", ", "&amp;INDEX('Form Responses'!$R$1:$R$200,9)&amp;", "))),1,""))</f>
        <v/>
      </c>
      <c r="L308">
        <f>IF(Wizards!$A$10="","",IF(OR(ISNUMBER(SEARCH(", "&amp;$B308&amp;", ", ", "&amp;INDEX('Form Responses'!$I$1:$Q$200,10,$A308)&amp;", ")),ISNUMBER(SEARCH(", "&amp;$B308&amp;", ", ", "&amp;INDEX('Form Responses'!$R$1:$R$200,10)&amp;", "))),1,""))</f>
        <v/>
      </c>
      <c r="M308">
        <f>IF(Wizards!$A$11="","",IF(OR(ISNUMBER(SEARCH(", "&amp;$B308&amp;", ", ", "&amp;INDEX('Form Responses'!$I$1:$Q$200,11,$A308)&amp;", ")),ISNUMBER(SEARCH(", "&amp;$B308&amp;", ", ", "&amp;INDEX('Form Responses'!$R$1:$R$200,11)&amp;", "))),1,""))</f>
        <v/>
      </c>
      <c r="N308">
        <f>IF(Wizards!$A$12="","",IF(OR(ISNUMBER(SEARCH(", "&amp;$B308&amp;", ", ", "&amp;INDEX('Form Responses'!$I$1:$Q$200,12,$A308)&amp;", ")),ISNUMBER(SEARCH(", "&amp;$B308&amp;", ", ", "&amp;INDEX('Form Responses'!$R$1:$R$200,12)&amp;", "))),1,""))</f>
        <v/>
      </c>
      <c r="O308">
        <f>IF(Wizards!$A$13="","",IF(OR(ISNUMBER(SEARCH(", "&amp;$B308&amp;", ", ", "&amp;INDEX('Form Responses'!$I$1:$Q$200,13,$A308)&amp;", ")),ISNUMBER(SEARCH(", "&amp;$B308&amp;", ", ", "&amp;INDEX('Form Responses'!$R$1:$R$200,13)&amp;", "))),1,""))</f>
        <v/>
      </c>
      <c r="P308">
        <f>IF(Wizards!$A$14="","",IF(OR(ISNUMBER(SEARCH(", "&amp;$B308&amp;", ", ", "&amp;INDEX('Form Responses'!$I$1:$Q$200,14,$A308)&amp;", ")),ISNUMBER(SEARCH(", "&amp;$B308&amp;", ", ", "&amp;INDEX('Form Responses'!$R$1:$R$200,14)&amp;", "))),1,""))</f>
        <v/>
      </c>
      <c r="Q308">
        <f>IF(Wizards!$A$15="","",IF(OR(ISNUMBER(SEARCH(", "&amp;$B308&amp;", ", ", "&amp;INDEX('Form Responses'!$I$1:$Q$200,15,$A308)&amp;", ")),ISNUMBER(SEARCH(", "&amp;$B308&amp;", ", ", "&amp;INDEX('Form Responses'!$R$1:$R$200,15)&amp;", "))),1,""))</f>
        <v/>
      </c>
      <c r="R308">
        <f>IF(Wizards!$A$16="","",IF(OR(ISNUMBER(SEARCH(", "&amp;$B308&amp;", ", ", "&amp;INDEX('Form Responses'!$I$1:$Q$200,16,$A308)&amp;", ")),ISNUMBER(SEARCH(", "&amp;$B308&amp;", ", ", "&amp;INDEX('Form Responses'!$R$1:$R$200,16)&amp;", "))),1,""))</f>
        <v/>
      </c>
      <c r="S308">
        <f>IF(Wizards!$A$17="","",IF(OR(ISNUMBER(SEARCH(", "&amp;$B308&amp;", ", ", "&amp;INDEX('Form Responses'!$I$1:$Q$200,17,$A308)&amp;", ")),ISNUMBER(SEARCH(", "&amp;$B308&amp;", ", ", "&amp;INDEX('Form Responses'!$R$1:$R$200,17)&amp;", "))),1,""))</f>
        <v/>
      </c>
      <c r="T308">
        <f>IF(Wizards!$A$18="","",IF(OR(ISNUMBER(SEARCH(", "&amp;$B308&amp;", ", ", "&amp;INDEX('Form Responses'!$I$1:$Q$200,18,$A308)&amp;", ")),ISNUMBER(SEARCH(", "&amp;$B308&amp;", ", ", "&amp;INDEX('Form Responses'!$R$1:$R$200,18)&amp;", "))),1,""))</f>
        <v/>
      </c>
      <c r="U308">
        <f>IF(Wizards!$A$19="","",IF(OR(ISNUMBER(SEARCH(", "&amp;$B308&amp;", ", ", "&amp;INDEX('Form Responses'!$I$1:$Q$200,19,$A308)&amp;", ")),ISNUMBER(SEARCH(", "&amp;$B308&amp;", ", ", "&amp;INDEX('Form Responses'!$R$1:$R$200,19)&amp;", "))),1,""))</f>
        <v/>
      </c>
      <c r="V308">
        <f>IF(Wizards!$A$20="","",IF(OR(ISNUMBER(SEARCH(", "&amp;$B308&amp;", ", ", "&amp;INDEX('Form Responses'!$I$1:$Q$200,20,$A308)&amp;", ")),ISNUMBER(SEARCH(", "&amp;$B308&amp;", ", ", "&amp;INDEX('Form Responses'!$R$1:$R$200,20)&amp;", "))),1,""))</f>
        <v/>
      </c>
      <c r="W308">
        <f>IF(Wizards!$A$21="","",IF(OR(ISNUMBER(SEARCH(", "&amp;$B308&amp;", ", ", "&amp;INDEX('Form Responses'!$I$1:$Q$200,21,$A308)&amp;", ")),ISNUMBER(SEARCH(", "&amp;$B308&amp;", ", ", "&amp;INDEX('Form Responses'!$R$1:$R$200,21)&amp;", "))),1,""))</f>
        <v/>
      </c>
      <c r="X308">
        <f>IF(Wizards!$A$22="","",IF(OR(ISNUMBER(SEARCH(", "&amp;$B308&amp;", ", ", "&amp;INDEX('Form Responses'!$I$1:$Q$200,22,$A308)&amp;", ")),ISNUMBER(SEARCH(", "&amp;$B308&amp;", ", ", "&amp;INDEX('Form Responses'!$R$1:$R$200,22)&amp;", "))),1,""))</f>
        <v/>
      </c>
      <c r="Y308">
        <f>IF(Wizards!$A$23="","",IF(OR(ISNUMBER(SEARCH(", "&amp;$B308&amp;", ", ", "&amp;INDEX('Form Responses'!$I$1:$Q$200,23,$A308)&amp;", ")),ISNUMBER(SEARCH(", "&amp;$B308&amp;", ", ", "&amp;INDEX('Form Responses'!$R$1:$R$200,23)&amp;", "))),1,""))</f>
        <v/>
      </c>
      <c r="Z308">
        <f>IF(Wizards!$A$24="","",IF(OR(ISNUMBER(SEARCH(", "&amp;$B308&amp;", ", ", "&amp;INDEX('Form Responses'!$I$1:$Q$200,24,$A308)&amp;", ")),ISNUMBER(SEARCH(", "&amp;$B308&amp;", ", ", "&amp;INDEX('Form Responses'!$R$1:$R$200,24)&amp;", "))),1,""))</f>
        <v/>
      </c>
      <c r="AA308">
        <f>IF(Wizards!$A$25="","",IF(OR(ISNUMBER(SEARCH(", "&amp;$B308&amp;", ", ", "&amp;INDEX('Form Responses'!$I$1:$Q$200,25,$A308)&amp;", ")),ISNUMBER(SEARCH(", "&amp;$B308&amp;", ", ", "&amp;INDEX('Form Responses'!$R$1:$R$200,25)&amp;", "))),1,""))</f>
        <v/>
      </c>
      <c r="AB308">
        <f>IF(D308=1,", "&amp;D$1,"")</f>
        <v/>
      </c>
      <c r="AC308">
        <f>IF(E308=1,", "&amp;E$1,"")</f>
        <v/>
      </c>
      <c r="AD308">
        <f>IF(F308=1,", "&amp;F$1,"")</f>
        <v/>
      </c>
      <c r="AE308">
        <f>IF(G308=1,", "&amp;G$1,"")</f>
        <v/>
      </c>
      <c r="AF308">
        <f>IF(H308=1,", "&amp;H$1,"")</f>
        <v/>
      </c>
      <c r="AG308">
        <f>IF(I308=1,", "&amp;I$1,"")</f>
        <v/>
      </c>
      <c r="AH308">
        <f>IF(J308=1,", "&amp;J$1,"")</f>
        <v/>
      </c>
      <c r="AI308">
        <f>IF(K308=1,", "&amp;K$1,"")</f>
        <v/>
      </c>
      <c r="AJ308">
        <f>IF(L308=1,", "&amp;L$1,"")</f>
        <v/>
      </c>
      <c r="AK308">
        <f>IF(M308=1,", "&amp;M$1,"")</f>
        <v/>
      </c>
      <c r="AL308">
        <f>IF(N308=1,", "&amp;N$1,"")</f>
        <v/>
      </c>
      <c r="AM308">
        <f>IF(O308=1,", "&amp;O$1,"")</f>
        <v/>
      </c>
      <c r="AN308">
        <f>IF(P308=1,", "&amp;P$1,"")</f>
        <v/>
      </c>
      <c r="AO308">
        <f>IF(Q308=1,", "&amp;Q$1,"")</f>
        <v/>
      </c>
      <c r="AP308">
        <f>IF(R308=1,", "&amp;R$1,"")</f>
        <v/>
      </c>
      <c r="AQ308">
        <f>IF(S308=1,", "&amp;S$1,"")</f>
        <v/>
      </c>
      <c r="AR308">
        <f>IF(T308=1,", "&amp;T$1,"")</f>
        <v/>
      </c>
      <c r="AS308">
        <f>IF(U308=1,", "&amp;U$1,"")</f>
        <v/>
      </c>
      <c r="AT308">
        <f>IF(V308=1,", "&amp;V$1,"")</f>
        <v/>
      </c>
      <c r="AU308">
        <f>IF(W308=1,", "&amp;W$1,"")</f>
        <v/>
      </c>
      <c r="AV308">
        <f>IF(X308=1,", "&amp;X$1,"")</f>
        <v/>
      </c>
      <c r="AW308">
        <f>IF(Y308=1,", "&amp;Y$1,"")</f>
        <v/>
      </c>
      <c r="AX308">
        <f>IF(Z308=1,", "&amp;Z$1,"")</f>
        <v/>
      </c>
      <c r="AY308">
        <f>IF(AA308=1,", "&amp;AA$1,"")</f>
        <v/>
      </c>
      <c r="AZ308">
        <f>MID($AB308&amp;$AC308&amp;$AD308&amp;$AE308&amp;$AF308&amp;$AG308&amp;$AH308&amp;$AI308&amp;$AJ308&amp;$AK308&amp;$AL308&amp;$AM308&amp;$AN308&amp;$AO308&amp;$AP308&amp;$AQ308&amp;$AR308&amp;$AS308&amp;$AT308&amp;$AU308&amp;$AV308&amp;$AW308&amp;$AX308&amp;$AY308,3,32767)</f>
        <v/>
      </c>
      <c r="BA308">
        <f>COUNT($D308:$AA308)</f>
        <v/>
      </c>
    </row>
    <row r="309">
      <c r="A309" t="n">
        <v>7</v>
      </c>
      <c r="B309" t="inlineStr">
        <is>
          <t>Whirlwind</t>
        </is>
      </c>
      <c r="C309" t="inlineStr">
        <is>
          <t>Evocation</t>
        </is>
      </c>
      <c r="D309">
        <f>IF(Wizards!$A$2="","",IF(OR(ISNUMBER(SEARCH(", "&amp;$B309&amp;", ", ", "&amp;INDEX('Form Responses'!$I$1:$Q$200,2,$A309)&amp;", ")),ISNUMBER(SEARCH(", "&amp;$B309&amp;", ", ", "&amp;INDEX('Form Responses'!$R$1:$R$200,2)&amp;", "))),1,""))</f>
        <v/>
      </c>
      <c r="E309">
        <f>IF(Wizards!$A$3="","",IF(OR(ISNUMBER(SEARCH(", "&amp;$B309&amp;", ", ", "&amp;INDEX('Form Responses'!$I$1:$Q$200,3,$A309)&amp;", ")),ISNUMBER(SEARCH(", "&amp;$B309&amp;", ", ", "&amp;INDEX('Form Responses'!$R$1:$R$200,3)&amp;", "))),1,""))</f>
        <v/>
      </c>
      <c r="F309">
        <f>IF(Wizards!$A$4="","",IF(OR(ISNUMBER(SEARCH(", "&amp;$B309&amp;", ", ", "&amp;INDEX('Form Responses'!$I$1:$Q$200,4,$A309)&amp;", ")),ISNUMBER(SEARCH(", "&amp;$B309&amp;", ", ", "&amp;INDEX('Form Responses'!$R$1:$R$200,4)&amp;", "))),1,""))</f>
        <v/>
      </c>
      <c r="G309">
        <f>IF(Wizards!$A$5="","",IF(OR(ISNUMBER(SEARCH(", "&amp;$B309&amp;", ", ", "&amp;INDEX('Form Responses'!$I$1:$Q$200,5,$A309)&amp;", ")),ISNUMBER(SEARCH(", "&amp;$B309&amp;", ", ", "&amp;INDEX('Form Responses'!$R$1:$R$200,5)&amp;", "))),1,""))</f>
        <v/>
      </c>
      <c r="H309">
        <f>IF(Wizards!$A$6="","",IF(OR(ISNUMBER(SEARCH(", "&amp;$B309&amp;", ", ", "&amp;INDEX('Form Responses'!$I$1:$Q$200,6,$A309)&amp;", ")),ISNUMBER(SEARCH(", "&amp;$B309&amp;", ", ", "&amp;INDEX('Form Responses'!$R$1:$R$200,6)&amp;", "))),1,""))</f>
        <v/>
      </c>
      <c r="I309">
        <f>IF(Wizards!$A$7="","",IF(OR(ISNUMBER(SEARCH(", "&amp;$B309&amp;", ", ", "&amp;INDEX('Form Responses'!$I$1:$Q$200,7,$A309)&amp;", ")),ISNUMBER(SEARCH(", "&amp;$B309&amp;", ", ", "&amp;INDEX('Form Responses'!$R$1:$R$200,7)&amp;", "))),1,""))</f>
        <v/>
      </c>
      <c r="J309">
        <f>IF(Wizards!$A$8="","",IF(OR(ISNUMBER(SEARCH(", "&amp;$B309&amp;", ", ", "&amp;INDEX('Form Responses'!$I$1:$Q$200,8,$A309)&amp;", ")),ISNUMBER(SEARCH(", "&amp;$B309&amp;", ", ", "&amp;INDEX('Form Responses'!$R$1:$R$200,8)&amp;", "))),1,""))</f>
        <v/>
      </c>
      <c r="K309">
        <f>IF(Wizards!$A$9="","",IF(OR(ISNUMBER(SEARCH(", "&amp;$B309&amp;", ", ", "&amp;INDEX('Form Responses'!$I$1:$Q$200,9,$A309)&amp;", ")),ISNUMBER(SEARCH(", "&amp;$B309&amp;", ", ", "&amp;INDEX('Form Responses'!$R$1:$R$200,9)&amp;", "))),1,""))</f>
        <v/>
      </c>
      <c r="L309">
        <f>IF(Wizards!$A$10="","",IF(OR(ISNUMBER(SEARCH(", "&amp;$B309&amp;", ", ", "&amp;INDEX('Form Responses'!$I$1:$Q$200,10,$A309)&amp;", ")),ISNUMBER(SEARCH(", "&amp;$B309&amp;", ", ", "&amp;INDEX('Form Responses'!$R$1:$R$200,10)&amp;", "))),1,""))</f>
        <v/>
      </c>
      <c r="M309">
        <f>IF(Wizards!$A$11="","",IF(OR(ISNUMBER(SEARCH(", "&amp;$B309&amp;", ", ", "&amp;INDEX('Form Responses'!$I$1:$Q$200,11,$A309)&amp;", ")),ISNUMBER(SEARCH(", "&amp;$B309&amp;", ", ", "&amp;INDEX('Form Responses'!$R$1:$R$200,11)&amp;", "))),1,""))</f>
        <v/>
      </c>
      <c r="N309">
        <f>IF(Wizards!$A$12="","",IF(OR(ISNUMBER(SEARCH(", "&amp;$B309&amp;", ", ", "&amp;INDEX('Form Responses'!$I$1:$Q$200,12,$A309)&amp;", ")),ISNUMBER(SEARCH(", "&amp;$B309&amp;", ", ", "&amp;INDEX('Form Responses'!$R$1:$R$200,12)&amp;", "))),1,""))</f>
        <v/>
      </c>
      <c r="O309">
        <f>IF(Wizards!$A$13="","",IF(OR(ISNUMBER(SEARCH(", "&amp;$B309&amp;", ", ", "&amp;INDEX('Form Responses'!$I$1:$Q$200,13,$A309)&amp;", ")),ISNUMBER(SEARCH(", "&amp;$B309&amp;", ", ", "&amp;INDEX('Form Responses'!$R$1:$R$200,13)&amp;", "))),1,""))</f>
        <v/>
      </c>
      <c r="P309">
        <f>IF(Wizards!$A$14="","",IF(OR(ISNUMBER(SEARCH(", "&amp;$B309&amp;", ", ", "&amp;INDEX('Form Responses'!$I$1:$Q$200,14,$A309)&amp;", ")),ISNUMBER(SEARCH(", "&amp;$B309&amp;", ", ", "&amp;INDEX('Form Responses'!$R$1:$R$200,14)&amp;", "))),1,""))</f>
        <v/>
      </c>
      <c r="Q309">
        <f>IF(Wizards!$A$15="","",IF(OR(ISNUMBER(SEARCH(", "&amp;$B309&amp;", ", ", "&amp;INDEX('Form Responses'!$I$1:$Q$200,15,$A309)&amp;", ")),ISNUMBER(SEARCH(", "&amp;$B309&amp;", ", ", "&amp;INDEX('Form Responses'!$R$1:$R$200,15)&amp;", "))),1,""))</f>
        <v/>
      </c>
      <c r="R309">
        <f>IF(Wizards!$A$16="","",IF(OR(ISNUMBER(SEARCH(", "&amp;$B309&amp;", ", ", "&amp;INDEX('Form Responses'!$I$1:$Q$200,16,$A309)&amp;", ")),ISNUMBER(SEARCH(", "&amp;$B309&amp;", ", ", "&amp;INDEX('Form Responses'!$R$1:$R$200,16)&amp;", "))),1,""))</f>
        <v/>
      </c>
      <c r="S309">
        <f>IF(Wizards!$A$17="","",IF(OR(ISNUMBER(SEARCH(", "&amp;$B309&amp;", ", ", "&amp;INDEX('Form Responses'!$I$1:$Q$200,17,$A309)&amp;", ")),ISNUMBER(SEARCH(", "&amp;$B309&amp;", ", ", "&amp;INDEX('Form Responses'!$R$1:$R$200,17)&amp;", "))),1,""))</f>
        <v/>
      </c>
      <c r="T309">
        <f>IF(Wizards!$A$18="","",IF(OR(ISNUMBER(SEARCH(", "&amp;$B309&amp;", ", ", "&amp;INDEX('Form Responses'!$I$1:$Q$200,18,$A309)&amp;", ")),ISNUMBER(SEARCH(", "&amp;$B309&amp;", ", ", "&amp;INDEX('Form Responses'!$R$1:$R$200,18)&amp;", "))),1,""))</f>
        <v/>
      </c>
      <c r="U309">
        <f>IF(Wizards!$A$19="","",IF(OR(ISNUMBER(SEARCH(", "&amp;$B309&amp;", ", ", "&amp;INDEX('Form Responses'!$I$1:$Q$200,19,$A309)&amp;", ")),ISNUMBER(SEARCH(", "&amp;$B309&amp;", ", ", "&amp;INDEX('Form Responses'!$R$1:$R$200,19)&amp;", "))),1,""))</f>
        <v/>
      </c>
      <c r="V309">
        <f>IF(Wizards!$A$20="","",IF(OR(ISNUMBER(SEARCH(", "&amp;$B309&amp;", ", ", "&amp;INDEX('Form Responses'!$I$1:$Q$200,20,$A309)&amp;", ")),ISNUMBER(SEARCH(", "&amp;$B309&amp;", ", ", "&amp;INDEX('Form Responses'!$R$1:$R$200,20)&amp;", "))),1,""))</f>
        <v/>
      </c>
      <c r="W309">
        <f>IF(Wizards!$A$21="","",IF(OR(ISNUMBER(SEARCH(", "&amp;$B309&amp;", ", ", "&amp;INDEX('Form Responses'!$I$1:$Q$200,21,$A309)&amp;", ")),ISNUMBER(SEARCH(", "&amp;$B309&amp;", ", ", "&amp;INDEX('Form Responses'!$R$1:$R$200,21)&amp;", "))),1,""))</f>
        <v/>
      </c>
      <c r="X309">
        <f>IF(Wizards!$A$22="","",IF(OR(ISNUMBER(SEARCH(", "&amp;$B309&amp;", ", ", "&amp;INDEX('Form Responses'!$I$1:$Q$200,22,$A309)&amp;", ")),ISNUMBER(SEARCH(", "&amp;$B309&amp;", ", ", "&amp;INDEX('Form Responses'!$R$1:$R$200,22)&amp;", "))),1,""))</f>
        <v/>
      </c>
      <c r="Y309">
        <f>IF(Wizards!$A$23="","",IF(OR(ISNUMBER(SEARCH(", "&amp;$B309&amp;", ", ", "&amp;INDEX('Form Responses'!$I$1:$Q$200,23,$A309)&amp;", ")),ISNUMBER(SEARCH(", "&amp;$B309&amp;", ", ", "&amp;INDEX('Form Responses'!$R$1:$R$200,23)&amp;", "))),1,""))</f>
        <v/>
      </c>
      <c r="Z309">
        <f>IF(Wizards!$A$24="","",IF(OR(ISNUMBER(SEARCH(", "&amp;$B309&amp;", ", ", "&amp;INDEX('Form Responses'!$I$1:$Q$200,24,$A309)&amp;", ")),ISNUMBER(SEARCH(", "&amp;$B309&amp;", ", ", "&amp;INDEX('Form Responses'!$R$1:$R$200,24)&amp;", "))),1,""))</f>
        <v/>
      </c>
      <c r="AA309">
        <f>IF(Wizards!$A$25="","",IF(OR(ISNUMBER(SEARCH(", "&amp;$B309&amp;", ", ", "&amp;INDEX('Form Responses'!$I$1:$Q$200,25,$A309)&amp;", ")),ISNUMBER(SEARCH(", "&amp;$B309&amp;", ", ", "&amp;INDEX('Form Responses'!$R$1:$R$200,25)&amp;", "))),1,""))</f>
        <v/>
      </c>
      <c r="AB309">
        <f>IF(D309=1,", "&amp;D$1,"")</f>
        <v/>
      </c>
      <c r="AC309">
        <f>IF(E309=1,", "&amp;E$1,"")</f>
        <v/>
      </c>
      <c r="AD309">
        <f>IF(F309=1,", "&amp;F$1,"")</f>
        <v/>
      </c>
      <c r="AE309">
        <f>IF(G309=1,", "&amp;G$1,"")</f>
        <v/>
      </c>
      <c r="AF309">
        <f>IF(H309=1,", "&amp;H$1,"")</f>
        <v/>
      </c>
      <c r="AG309">
        <f>IF(I309=1,", "&amp;I$1,"")</f>
        <v/>
      </c>
      <c r="AH309">
        <f>IF(J309=1,", "&amp;J$1,"")</f>
        <v/>
      </c>
      <c r="AI309">
        <f>IF(K309=1,", "&amp;K$1,"")</f>
        <v/>
      </c>
      <c r="AJ309">
        <f>IF(L309=1,", "&amp;L$1,"")</f>
        <v/>
      </c>
      <c r="AK309">
        <f>IF(M309=1,", "&amp;M$1,"")</f>
        <v/>
      </c>
      <c r="AL309">
        <f>IF(N309=1,", "&amp;N$1,"")</f>
        <v/>
      </c>
      <c r="AM309">
        <f>IF(O309=1,", "&amp;O$1,"")</f>
        <v/>
      </c>
      <c r="AN309">
        <f>IF(P309=1,", "&amp;P$1,"")</f>
        <v/>
      </c>
      <c r="AO309">
        <f>IF(Q309=1,", "&amp;Q$1,"")</f>
        <v/>
      </c>
      <c r="AP309">
        <f>IF(R309=1,", "&amp;R$1,"")</f>
        <v/>
      </c>
      <c r="AQ309">
        <f>IF(S309=1,", "&amp;S$1,"")</f>
        <v/>
      </c>
      <c r="AR309">
        <f>IF(T309=1,", "&amp;T$1,"")</f>
        <v/>
      </c>
      <c r="AS309">
        <f>IF(U309=1,", "&amp;U$1,"")</f>
        <v/>
      </c>
      <c r="AT309">
        <f>IF(V309=1,", "&amp;V$1,"")</f>
        <v/>
      </c>
      <c r="AU309">
        <f>IF(W309=1,", "&amp;W$1,"")</f>
        <v/>
      </c>
      <c r="AV309">
        <f>IF(X309=1,", "&amp;X$1,"")</f>
        <v/>
      </c>
      <c r="AW309">
        <f>IF(Y309=1,", "&amp;Y$1,"")</f>
        <v/>
      </c>
      <c r="AX309">
        <f>IF(Z309=1,", "&amp;Z$1,"")</f>
        <v/>
      </c>
      <c r="AY309">
        <f>IF(AA309=1,", "&amp;AA$1,"")</f>
        <v/>
      </c>
      <c r="AZ309">
        <f>MID($AB309&amp;$AC309&amp;$AD309&amp;$AE309&amp;$AF309&amp;$AG309&amp;$AH309&amp;$AI309&amp;$AJ309&amp;$AK309&amp;$AL309&amp;$AM309&amp;$AN309&amp;$AO309&amp;$AP309&amp;$AQ309&amp;$AR309&amp;$AS309&amp;$AT309&amp;$AU309&amp;$AV309&amp;$AW309&amp;$AX309&amp;$AY309,3,32767)</f>
        <v/>
      </c>
      <c r="BA309">
        <f>COUNT($D309:$AA309)</f>
        <v/>
      </c>
    </row>
    <row r="310">
      <c r="A310" t="n">
        <v>8</v>
      </c>
      <c r="B310" t="inlineStr">
        <is>
          <t>Abi-Dalzim's Horrid Wilting</t>
        </is>
      </c>
      <c r="C310" t="inlineStr">
        <is>
          <t>Necromancy</t>
        </is>
      </c>
      <c r="D310">
        <f>IF(Wizards!$A$2="","",IF(OR(ISNUMBER(SEARCH(", "&amp;$B310&amp;", ", ", "&amp;INDEX('Form Responses'!$I$1:$Q$200,2,$A310)&amp;", ")),ISNUMBER(SEARCH(", "&amp;$B310&amp;", ", ", "&amp;INDEX('Form Responses'!$R$1:$R$200,2)&amp;", "))),1,""))</f>
        <v/>
      </c>
      <c r="E310">
        <f>IF(Wizards!$A$3="","",IF(OR(ISNUMBER(SEARCH(", "&amp;$B310&amp;", ", ", "&amp;INDEX('Form Responses'!$I$1:$Q$200,3,$A310)&amp;", ")),ISNUMBER(SEARCH(", "&amp;$B310&amp;", ", ", "&amp;INDEX('Form Responses'!$R$1:$R$200,3)&amp;", "))),1,""))</f>
        <v/>
      </c>
      <c r="F310">
        <f>IF(Wizards!$A$4="","",IF(OR(ISNUMBER(SEARCH(", "&amp;$B310&amp;", ", ", "&amp;INDEX('Form Responses'!$I$1:$Q$200,4,$A310)&amp;", ")),ISNUMBER(SEARCH(", "&amp;$B310&amp;", ", ", "&amp;INDEX('Form Responses'!$R$1:$R$200,4)&amp;", "))),1,""))</f>
        <v/>
      </c>
      <c r="G310">
        <f>IF(Wizards!$A$5="","",IF(OR(ISNUMBER(SEARCH(", "&amp;$B310&amp;", ", ", "&amp;INDEX('Form Responses'!$I$1:$Q$200,5,$A310)&amp;", ")),ISNUMBER(SEARCH(", "&amp;$B310&amp;", ", ", "&amp;INDEX('Form Responses'!$R$1:$R$200,5)&amp;", "))),1,""))</f>
        <v/>
      </c>
      <c r="H310">
        <f>IF(Wizards!$A$6="","",IF(OR(ISNUMBER(SEARCH(", "&amp;$B310&amp;", ", ", "&amp;INDEX('Form Responses'!$I$1:$Q$200,6,$A310)&amp;", ")),ISNUMBER(SEARCH(", "&amp;$B310&amp;", ", ", "&amp;INDEX('Form Responses'!$R$1:$R$200,6)&amp;", "))),1,""))</f>
        <v/>
      </c>
      <c r="I310">
        <f>IF(Wizards!$A$7="","",IF(OR(ISNUMBER(SEARCH(", "&amp;$B310&amp;", ", ", "&amp;INDEX('Form Responses'!$I$1:$Q$200,7,$A310)&amp;", ")),ISNUMBER(SEARCH(", "&amp;$B310&amp;", ", ", "&amp;INDEX('Form Responses'!$R$1:$R$200,7)&amp;", "))),1,""))</f>
        <v/>
      </c>
      <c r="J310">
        <f>IF(Wizards!$A$8="","",IF(OR(ISNUMBER(SEARCH(", "&amp;$B310&amp;", ", ", "&amp;INDEX('Form Responses'!$I$1:$Q$200,8,$A310)&amp;", ")),ISNUMBER(SEARCH(", "&amp;$B310&amp;", ", ", "&amp;INDEX('Form Responses'!$R$1:$R$200,8)&amp;", "))),1,""))</f>
        <v/>
      </c>
      <c r="K310">
        <f>IF(Wizards!$A$9="","",IF(OR(ISNUMBER(SEARCH(", "&amp;$B310&amp;", ", ", "&amp;INDEX('Form Responses'!$I$1:$Q$200,9,$A310)&amp;", ")),ISNUMBER(SEARCH(", "&amp;$B310&amp;", ", ", "&amp;INDEX('Form Responses'!$R$1:$R$200,9)&amp;", "))),1,""))</f>
        <v/>
      </c>
      <c r="L310">
        <f>IF(Wizards!$A$10="","",IF(OR(ISNUMBER(SEARCH(", "&amp;$B310&amp;", ", ", "&amp;INDEX('Form Responses'!$I$1:$Q$200,10,$A310)&amp;", ")),ISNUMBER(SEARCH(", "&amp;$B310&amp;", ", ", "&amp;INDEX('Form Responses'!$R$1:$R$200,10)&amp;", "))),1,""))</f>
        <v/>
      </c>
      <c r="M310">
        <f>IF(Wizards!$A$11="","",IF(OR(ISNUMBER(SEARCH(", "&amp;$B310&amp;", ", ", "&amp;INDEX('Form Responses'!$I$1:$Q$200,11,$A310)&amp;", ")),ISNUMBER(SEARCH(", "&amp;$B310&amp;", ", ", "&amp;INDEX('Form Responses'!$R$1:$R$200,11)&amp;", "))),1,""))</f>
        <v/>
      </c>
      <c r="N310">
        <f>IF(Wizards!$A$12="","",IF(OR(ISNUMBER(SEARCH(", "&amp;$B310&amp;", ", ", "&amp;INDEX('Form Responses'!$I$1:$Q$200,12,$A310)&amp;", ")),ISNUMBER(SEARCH(", "&amp;$B310&amp;", ", ", "&amp;INDEX('Form Responses'!$R$1:$R$200,12)&amp;", "))),1,""))</f>
        <v/>
      </c>
      <c r="O310">
        <f>IF(Wizards!$A$13="","",IF(OR(ISNUMBER(SEARCH(", "&amp;$B310&amp;", ", ", "&amp;INDEX('Form Responses'!$I$1:$Q$200,13,$A310)&amp;", ")),ISNUMBER(SEARCH(", "&amp;$B310&amp;", ", ", "&amp;INDEX('Form Responses'!$R$1:$R$200,13)&amp;", "))),1,""))</f>
        <v/>
      </c>
      <c r="P310">
        <f>IF(Wizards!$A$14="","",IF(OR(ISNUMBER(SEARCH(", "&amp;$B310&amp;", ", ", "&amp;INDEX('Form Responses'!$I$1:$Q$200,14,$A310)&amp;", ")),ISNUMBER(SEARCH(", "&amp;$B310&amp;", ", ", "&amp;INDEX('Form Responses'!$R$1:$R$200,14)&amp;", "))),1,""))</f>
        <v/>
      </c>
      <c r="Q310">
        <f>IF(Wizards!$A$15="","",IF(OR(ISNUMBER(SEARCH(", "&amp;$B310&amp;", ", ", "&amp;INDEX('Form Responses'!$I$1:$Q$200,15,$A310)&amp;", ")),ISNUMBER(SEARCH(", "&amp;$B310&amp;", ", ", "&amp;INDEX('Form Responses'!$R$1:$R$200,15)&amp;", "))),1,""))</f>
        <v/>
      </c>
      <c r="R310">
        <f>IF(Wizards!$A$16="","",IF(OR(ISNUMBER(SEARCH(", "&amp;$B310&amp;", ", ", "&amp;INDEX('Form Responses'!$I$1:$Q$200,16,$A310)&amp;", ")),ISNUMBER(SEARCH(", "&amp;$B310&amp;", ", ", "&amp;INDEX('Form Responses'!$R$1:$R$200,16)&amp;", "))),1,""))</f>
        <v/>
      </c>
      <c r="S310">
        <f>IF(Wizards!$A$17="","",IF(OR(ISNUMBER(SEARCH(", "&amp;$B310&amp;", ", ", "&amp;INDEX('Form Responses'!$I$1:$Q$200,17,$A310)&amp;", ")),ISNUMBER(SEARCH(", "&amp;$B310&amp;", ", ", "&amp;INDEX('Form Responses'!$R$1:$R$200,17)&amp;", "))),1,""))</f>
        <v/>
      </c>
      <c r="T310">
        <f>IF(Wizards!$A$18="","",IF(OR(ISNUMBER(SEARCH(", "&amp;$B310&amp;", ", ", "&amp;INDEX('Form Responses'!$I$1:$Q$200,18,$A310)&amp;", ")),ISNUMBER(SEARCH(", "&amp;$B310&amp;", ", ", "&amp;INDEX('Form Responses'!$R$1:$R$200,18)&amp;", "))),1,""))</f>
        <v/>
      </c>
      <c r="U310">
        <f>IF(Wizards!$A$19="","",IF(OR(ISNUMBER(SEARCH(", "&amp;$B310&amp;", ", ", "&amp;INDEX('Form Responses'!$I$1:$Q$200,19,$A310)&amp;", ")),ISNUMBER(SEARCH(", "&amp;$B310&amp;", ", ", "&amp;INDEX('Form Responses'!$R$1:$R$200,19)&amp;", "))),1,""))</f>
        <v/>
      </c>
      <c r="V310">
        <f>IF(Wizards!$A$20="","",IF(OR(ISNUMBER(SEARCH(", "&amp;$B310&amp;", ", ", "&amp;INDEX('Form Responses'!$I$1:$Q$200,20,$A310)&amp;", ")),ISNUMBER(SEARCH(", "&amp;$B310&amp;", ", ", "&amp;INDEX('Form Responses'!$R$1:$R$200,20)&amp;", "))),1,""))</f>
        <v/>
      </c>
      <c r="W310">
        <f>IF(Wizards!$A$21="","",IF(OR(ISNUMBER(SEARCH(", "&amp;$B310&amp;", ", ", "&amp;INDEX('Form Responses'!$I$1:$Q$200,21,$A310)&amp;", ")),ISNUMBER(SEARCH(", "&amp;$B310&amp;", ", ", "&amp;INDEX('Form Responses'!$R$1:$R$200,21)&amp;", "))),1,""))</f>
        <v/>
      </c>
      <c r="X310">
        <f>IF(Wizards!$A$22="","",IF(OR(ISNUMBER(SEARCH(", "&amp;$B310&amp;", ", ", "&amp;INDEX('Form Responses'!$I$1:$Q$200,22,$A310)&amp;", ")),ISNUMBER(SEARCH(", "&amp;$B310&amp;", ", ", "&amp;INDEX('Form Responses'!$R$1:$R$200,22)&amp;", "))),1,""))</f>
        <v/>
      </c>
      <c r="Y310">
        <f>IF(Wizards!$A$23="","",IF(OR(ISNUMBER(SEARCH(", "&amp;$B310&amp;", ", ", "&amp;INDEX('Form Responses'!$I$1:$Q$200,23,$A310)&amp;", ")),ISNUMBER(SEARCH(", "&amp;$B310&amp;", ", ", "&amp;INDEX('Form Responses'!$R$1:$R$200,23)&amp;", "))),1,""))</f>
        <v/>
      </c>
      <c r="Z310">
        <f>IF(Wizards!$A$24="","",IF(OR(ISNUMBER(SEARCH(", "&amp;$B310&amp;", ", ", "&amp;INDEX('Form Responses'!$I$1:$Q$200,24,$A310)&amp;", ")),ISNUMBER(SEARCH(", "&amp;$B310&amp;", ", ", "&amp;INDEX('Form Responses'!$R$1:$R$200,24)&amp;", "))),1,""))</f>
        <v/>
      </c>
      <c r="AA310">
        <f>IF(Wizards!$A$25="","",IF(OR(ISNUMBER(SEARCH(", "&amp;$B310&amp;", ", ", "&amp;INDEX('Form Responses'!$I$1:$Q$200,25,$A310)&amp;", ")),ISNUMBER(SEARCH(", "&amp;$B310&amp;", ", ", "&amp;INDEX('Form Responses'!$R$1:$R$200,25)&amp;", "))),1,""))</f>
        <v/>
      </c>
      <c r="AB310">
        <f>IF(D310=1,", "&amp;D$1,"")</f>
        <v/>
      </c>
      <c r="AC310">
        <f>IF(E310=1,", "&amp;E$1,"")</f>
        <v/>
      </c>
      <c r="AD310">
        <f>IF(F310=1,", "&amp;F$1,"")</f>
        <v/>
      </c>
      <c r="AE310">
        <f>IF(G310=1,", "&amp;G$1,"")</f>
        <v/>
      </c>
      <c r="AF310">
        <f>IF(H310=1,", "&amp;H$1,"")</f>
        <v/>
      </c>
      <c r="AG310">
        <f>IF(I310=1,", "&amp;I$1,"")</f>
        <v/>
      </c>
      <c r="AH310">
        <f>IF(J310=1,", "&amp;J$1,"")</f>
        <v/>
      </c>
      <c r="AI310">
        <f>IF(K310=1,", "&amp;K$1,"")</f>
        <v/>
      </c>
      <c r="AJ310">
        <f>IF(L310=1,", "&amp;L$1,"")</f>
        <v/>
      </c>
      <c r="AK310">
        <f>IF(M310=1,", "&amp;M$1,"")</f>
        <v/>
      </c>
      <c r="AL310">
        <f>IF(N310=1,", "&amp;N$1,"")</f>
        <v/>
      </c>
      <c r="AM310">
        <f>IF(O310=1,", "&amp;O$1,"")</f>
        <v/>
      </c>
      <c r="AN310">
        <f>IF(P310=1,", "&amp;P$1,"")</f>
        <v/>
      </c>
      <c r="AO310">
        <f>IF(Q310=1,", "&amp;Q$1,"")</f>
        <v/>
      </c>
      <c r="AP310">
        <f>IF(R310=1,", "&amp;R$1,"")</f>
        <v/>
      </c>
      <c r="AQ310">
        <f>IF(S310=1,", "&amp;S$1,"")</f>
        <v/>
      </c>
      <c r="AR310">
        <f>IF(T310=1,", "&amp;T$1,"")</f>
        <v/>
      </c>
      <c r="AS310">
        <f>IF(U310=1,", "&amp;U$1,"")</f>
        <v/>
      </c>
      <c r="AT310">
        <f>IF(V310=1,", "&amp;V$1,"")</f>
        <v/>
      </c>
      <c r="AU310">
        <f>IF(W310=1,", "&amp;W$1,"")</f>
        <v/>
      </c>
      <c r="AV310">
        <f>IF(X310=1,", "&amp;X$1,"")</f>
        <v/>
      </c>
      <c r="AW310">
        <f>IF(Y310=1,", "&amp;Y$1,"")</f>
        <v/>
      </c>
      <c r="AX310">
        <f>IF(Z310=1,", "&amp;Z$1,"")</f>
        <v/>
      </c>
      <c r="AY310">
        <f>IF(AA310=1,", "&amp;AA$1,"")</f>
        <v/>
      </c>
      <c r="AZ310">
        <f>MID($AB310&amp;$AC310&amp;$AD310&amp;$AE310&amp;$AF310&amp;$AG310&amp;$AH310&amp;$AI310&amp;$AJ310&amp;$AK310&amp;$AL310&amp;$AM310&amp;$AN310&amp;$AO310&amp;$AP310&amp;$AQ310&amp;$AR310&amp;$AS310&amp;$AT310&amp;$AU310&amp;$AV310&amp;$AW310&amp;$AX310&amp;$AY310,3,32767)</f>
        <v/>
      </c>
      <c r="BA310">
        <f>COUNT($D310:$AA310)</f>
        <v/>
      </c>
    </row>
    <row r="311">
      <c r="A311" t="n">
        <v>8</v>
      </c>
      <c r="B311" t="inlineStr">
        <is>
          <t>Antimagic Field</t>
        </is>
      </c>
      <c r="C311" t="inlineStr">
        <is>
          <t>Abjuration</t>
        </is>
      </c>
      <c r="D311">
        <f>IF(Wizards!$A$2="","",IF(OR(ISNUMBER(SEARCH(", "&amp;$B311&amp;", ", ", "&amp;INDEX('Form Responses'!$I$1:$Q$200,2,$A311)&amp;", ")),ISNUMBER(SEARCH(", "&amp;$B311&amp;", ", ", "&amp;INDEX('Form Responses'!$R$1:$R$200,2)&amp;", "))),1,""))</f>
        <v/>
      </c>
      <c r="E311">
        <f>IF(Wizards!$A$3="","",IF(OR(ISNUMBER(SEARCH(", "&amp;$B311&amp;", ", ", "&amp;INDEX('Form Responses'!$I$1:$Q$200,3,$A311)&amp;", ")),ISNUMBER(SEARCH(", "&amp;$B311&amp;", ", ", "&amp;INDEX('Form Responses'!$R$1:$R$200,3)&amp;", "))),1,""))</f>
        <v/>
      </c>
      <c r="F311">
        <f>IF(Wizards!$A$4="","",IF(OR(ISNUMBER(SEARCH(", "&amp;$B311&amp;", ", ", "&amp;INDEX('Form Responses'!$I$1:$Q$200,4,$A311)&amp;", ")),ISNUMBER(SEARCH(", "&amp;$B311&amp;", ", ", "&amp;INDEX('Form Responses'!$R$1:$R$200,4)&amp;", "))),1,""))</f>
        <v/>
      </c>
      <c r="G311">
        <f>IF(Wizards!$A$5="","",IF(OR(ISNUMBER(SEARCH(", "&amp;$B311&amp;", ", ", "&amp;INDEX('Form Responses'!$I$1:$Q$200,5,$A311)&amp;", ")),ISNUMBER(SEARCH(", "&amp;$B311&amp;", ", ", "&amp;INDEX('Form Responses'!$R$1:$R$200,5)&amp;", "))),1,""))</f>
        <v/>
      </c>
      <c r="H311">
        <f>IF(Wizards!$A$6="","",IF(OR(ISNUMBER(SEARCH(", "&amp;$B311&amp;", ", ", "&amp;INDEX('Form Responses'!$I$1:$Q$200,6,$A311)&amp;", ")),ISNUMBER(SEARCH(", "&amp;$B311&amp;", ", ", "&amp;INDEX('Form Responses'!$R$1:$R$200,6)&amp;", "))),1,""))</f>
        <v/>
      </c>
      <c r="I311">
        <f>IF(Wizards!$A$7="","",IF(OR(ISNUMBER(SEARCH(", "&amp;$B311&amp;", ", ", "&amp;INDEX('Form Responses'!$I$1:$Q$200,7,$A311)&amp;", ")),ISNUMBER(SEARCH(", "&amp;$B311&amp;", ", ", "&amp;INDEX('Form Responses'!$R$1:$R$200,7)&amp;", "))),1,""))</f>
        <v/>
      </c>
      <c r="J311">
        <f>IF(Wizards!$A$8="","",IF(OR(ISNUMBER(SEARCH(", "&amp;$B311&amp;", ", ", "&amp;INDEX('Form Responses'!$I$1:$Q$200,8,$A311)&amp;", ")),ISNUMBER(SEARCH(", "&amp;$B311&amp;", ", ", "&amp;INDEX('Form Responses'!$R$1:$R$200,8)&amp;", "))),1,""))</f>
        <v/>
      </c>
      <c r="K311">
        <f>IF(Wizards!$A$9="","",IF(OR(ISNUMBER(SEARCH(", "&amp;$B311&amp;", ", ", "&amp;INDEX('Form Responses'!$I$1:$Q$200,9,$A311)&amp;", ")),ISNUMBER(SEARCH(", "&amp;$B311&amp;", ", ", "&amp;INDEX('Form Responses'!$R$1:$R$200,9)&amp;", "))),1,""))</f>
        <v/>
      </c>
      <c r="L311">
        <f>IF(Wizards!$A$10="","",IF(OR(ISNUMBER(SEARCH(", "&amp;$B311&amp;", ", ", "&amp;INDEX('Form Responses'!$I$1:$Q$200,10,$A311)&amp;", ")),ISNUMBER(SEARCH(", "&amp;$B311&amp;", ", ", "&amp;INDEX('Form Responses'!$R$1:$R$200,10)&amp;", "))),1,""))</f>
        <v/>
      </c>
      <c r="M311">
        <f>IF(Wizards!$A$11="","",IF(OR(ISNUMBER(SEARCH(", "&amp;$B311&amp;", ", ", "&amp;INDEX('Form Responses'!$I$1:$Q$200,11,$A311)&amp;", ")),ISNUMBER(SEARCH(", "&amp;$B311&amp;", ", ", "&amp;INDEX('Form Responses'!$R$1:$R$200,11)&amp;", "))),1,""))</f>
        <v/>
      </c>
      <c r="N311">
        <f>IF(Wizards!$A$12="","",IF(OR(ISNUMBER(SEARCH(", "&amp;$B311&amp;", ", ", "&amp;INDEX('Form Responses'!$I$1:$Q$200,12,$A311)&amp;", ")),ISNUMBER(SEARCH(", "&amp;$B311&amp;", ", ", "&amp;INDEX('Form Responses'!$R$1:$R$200,12)&amp;", "))),1,""))</f>
        <v/>
      </c>
      <c r="O311">
        <f>IF(Wizards!$A$13="","",IF(OR(ISNUMBER(SEARCH(", "&amp;$B311&amp;", ", ", "&amp;INDEX('Form Responses'!$I$1:$Q$200,13,$A311)&amp;", ")),ISNUMBER(SEARCH(", "&amp;$B311&amp;", ", ", "&amp;INDEX('Form Responses'!$R$1:$R$200,13)&amp;", "))),1,""))</f>
        <v/>
      </c>
      <c r="P311">
        <f>IF(Wizards!$A$14="","",IF(OR(ISNUMBER(SEARCH(", "&amp;$B311&amp;", ", ", "&amp;INDEX('Form Responses'!$I$1:$Q$200,14,$A311)&amp;", ")),ISNUMBER(SEARCH(", "&amp;$B311&amp;", ", ", "&amp;INDEX('Form Responses'!$R$1:$R$200,14)&amp;", "))),1,""))</f>
        <v/>
      </c>
      <c r="Q311">
        <f>IF(Wizards!$A$15="","",IF(OR(ISNUMBER(SEARCH(", "&amp;$B311&amp;", ", ", "&amp;INDEX('Form Responses'!$I$1:$Q$200,15,$A311)&amp;", ")),ISNUMBER(SEARCH(", "&amp;$B311&amp;", ", ", "&amp;INDEX('Form Responses'!$R$1:$R$200,15)&amp;", "))),1,""))</f>
        <v/>
      </c>
      <c r="R311">
        <f>IF(Wizards!$A$16="","",IF(OR(ISNUMBER(SEARCH(", "&amp;$B311&amp;", ", ", "&amp;INDEX('Form Responses'!$I$1:$Q$200,16,$A311)&amp;", ")),ISNUMBER(SEARCH(", "&amp;$B311&amp;", ", ", "&amp;INDEX('Form Responses'!$R$1:$R$200,16)&amp;", "))),1,""))</f>
        <v/>
      </c>
      <c r="S311">
        <f>IF(Wizards!$A$17="","",IF(OR(ISNUMBER(SEARCH(", "&amp;$B311&amp;", ", ", "&amp;INDEX('Form Responses'!$I$1:$Q$200,17,$A311)&amp;", ")),ISNUMBER(SEARCH(", "&amp;$B311&amp;", ", ", "&amp;INDEX('Form Responses'!$R$1:$R$200,17)&amp;", "))),1,""))</f>
        <v/>
      </c>
      <c r="T311">
        <f>IF(Wizards!$A$18="","",IF(OR(ISNUMBER(SEARCH(", "&amp;$B311&amp;", ", ", "&amp;INDEX('Form Responses'!$I$1:$Q$200,18,$A311)&amp;", ")),ISNUMBER(SEARCH(", "&amp;$B311&amp;", ", ", "&amp;INDEX('Form Responses'!$R$1:$R$200,18)&amp;", "))),1,""))</f>
        <v/>
      </c>
      <c r="U311">
        <f>IF(Wizards!$A$19="","",IF(OR(ISNUMBER(SEARCH(", "&amp;$B311&amp;", ", ", "&amp;INDEX('Form Responses'!$I$1:$Q$200,19,$A311)&amp;", ")),ISNUMBER(SEARCH(", "&amp;$B311&amp;", ", ", "&amp;INDEX('Form Responses'!$R$1:$R$200,19)&amp;", "))),1,""))</f>
        <v/>
      </c>
      <c r="V311">
        <f>IF(Wizards!$A$20="","",IF(OR(ISNUMBER(SEARCH(", "&amp;$B311&amp;", ", ", "&amp;INDEX('Form Responses'!$I$1:$Q$200,20,$A311)&amp;", ")),ISNUMBER(SEARCH(", "&amp;$B311&amp;", ", ", "&amp;INDEX('Form Responses'!$R$1:$R$200,20)&amp;", "))),1,""))</f>
        <v/>
      </c>
      <c r="W311">
        <f>IF(Wizards!$A$21="","",IF(OR(ISNUMBER(SEARCH(", "&amp;$B311&amp;", ", ", "&amp;INDEX('Form Responses'!$I$1:$Q$200,21,$A311)&amp;", ")),ISNUMBER(SEARCH(", "&amp;$B311&amp;", ", ", "&amp;INDEX('Form Responses'!$R$1:$R$200,21)&amp;", "))),1,""))</f>
        <v/>
      </c>
      <c r="X311">
        <f>IF(Wizards!$A$22="","",IF(OR(ISNUMBER(SEARCH(", "&amp;$B311&amp;", ", ", "&amp;INDEX('Form Responses'!$I$1:$Q$200,22,$A311)&amp;", ")),ISNUMBER(SEARCH(", "&amp;$B311&amp;", ", ", "&amp;INDEX('Form Responses'!$R$1:$R$200,22)&amp;", "))),1,""))</f>
        <v/>
      </c>
      <c r="Y311">
        <f>IF(Wizards!$A$23="","",IF(OR(ISNUMBER(SEARCH(", "&amp;$B311&amp;", ", ", "&amp;INDEX('Form Responses'!$I$1:$Q$200,23,$A311)&amp;", ")),ISNUMBER(SEARCH(", "&amp;$B311&amp;", ", ", "&amp;INDEX('Form Responses'!$R$1:$R$200,23)&amp;", "))),1,""))</f>
        <v/>
      </c>
      <c r="Z311">
        <f>IF(Wizards!$A$24="","",IF(OR(ISNUMBER(SEARCH(", "&amp;$B311&amp;", ", ", "&amp;INDEX('Form Responses'!$I$1:$Q$200,24,$A311)&amp;", ")),ISNUMBER(SEARCH(", "&amp;$B311&amp;", ", ", "&amp;INDEX('Form Responses'!$R$1:$R$200,24)&amp;", "))),1,""))</f>
        <v/>
      </c>
      <c r="AA311">
        <f>IF(Wizards!$A$25="","",IF(OR(ISNUMBER(SEARCH(", "&amp;$B311&amp;", ", ", "&amp;INDEX('Form Responses'!$I$1:$Q$200,25,$A311)&amp;", ")),ISNUMBER(SEARCH(", "&amp;$B311&amp;", ", ", "&amp;INDEX('Form Responses'!$R$1:$R$200,25)&amp;", "))),1,""))</f>
        <v/>
      </c>
      <c r="AB311">
        <f>IF(D311=1,", "&amp;D$1,"")</f>
        <v/>
      </c>
      <c r="AC311">
        <f>IF(E311=1,", "&amp;E$1,"")</f>
        <v/>
      </c>
      <c r="AD311">
        <f>IF(F311=1,", "&amp;F$1,"")</f>
        <v/>
      </c>
      <c r="AE311">
        <f>IF(G311=1,", "&amp;G$1,"")</f>
        <v/>
      </c>
      <c r="AF311">
        <f>IF(H311=1,", "&amp;H$1,"")</f>
        <v/>
      </c>
      <c r="AG311">
        <f>IF(I311=1,", "&amp;I$1,"")</f>
        <v/>
      </c>
      <c r="AH311">
        <f>IF(J311=1,", "&amp;J$1,"")</f>
        <v/>
      </c>
      <c r="AI311">
        <f>IF(K311=1,", "&amp;K$1,"")</f>
        <v/>
      </c>
      <c r="AJ311">
        <f>IF(L311=1,", "&amp;L$1,"")</f>
        <v/>
      </c>
      <c r="AK311">
        <f>IF(M311=1,", "&amp;M$1,"")</f>
        <v/>
      </c>
      <c r="AL311">
        <f>IF(N311=1,", "&amp;N$1,"")</f>
        <v/>
      </c>
      <c r="AM311">
        <f>IF(O311=1,", "&amp;O$1,"")</f>
        <v/>
      </c>
      <c r="AN311">
        <f>IF(P311=1,", "&amp;P$1,"")</f>
        <v/>
      </c>
      <c r="AO311">
        <f>IF(Q311=1,", "&amp;Q$1,"")</f>
        <v/>
      </c>
      <c r="AP311">
        <f>IF(R311=1,", "&amp;R$1,"")</f>
        <v/>
      </c>
      <c r="AQ311">
        <f>IF(S311=1,", "&amp;S$1,"")</f>
        <v/>
      </c>
      <c r="AR311">
        <f>IF(T311=1,", "&amp;T$1,"")</f>
        <v/>
      </c>
      <c r="AS311">
        <f>IF(U311=1,", "&amp;U$1,"")</f>
        <v/>
      </c>
      <c r="AT311">
        <f>IF(V311=1,", "&amp;V$1,"")</f>
        <v/>
      </c>
      <c r="AU311">
        <f>IF(W311=1,", "&amp;W$1,"")</f>
        <v/>
      </c>
      <c r="AV311">
        <f>IF(X311=1,", "&amp;X$1,"")</f>
        <v/>
      </c>
      <c r="AW311">
        <f>IF(Y311=1,", "&amp;Y$1,"")</f>
        <v/>
      </c>
      <c r="AX311">
        <f>IF(Z311=1,", "&amp;Z$1,"")</f>
        <v/>
      </c>
      <c r="AY311">
        <f>IF(AA311=1,", "&amp;AA$1,"")</f>
        <v/>
      </c>
      <c r="AZ311">
        <f>MID($AB311&amp;$AC311&amp;$AD311&amp;$AE311&amp;$AF311&amp;$AG311&amp;$AH311&amp;$AI311&amp;$AJ311&amp;$AK311&amp;$AL311&amp;$AM311&amp;$AN311&amp;$AO311&amp;$AP311&amp;$AQ311&amp;$AR311&amp;$AS311&amp;$AT311&amp;$AU311&amp;$AV311&amp;$AW311&amp;$AX311&amp;$AY311,3,32767)</f>
        <v/>
      </c>
      <c r="BA311">
        <f>COUNT($D311:$AA311)</f>
        <v/>
      </c>
    </row>
    <row r="312">
      <c r="A312" t="n">
        <v>8</v>
      </c>
      <c r="B312" t="inlineStr">
        <is>
          <t>Antipathy/Sympathy</t>
        </is>
      </c>
      <c r="C312" t="inlineStr">
        <is>
          <t>Enchantment</t>
        </is>
      </c>
      <c r="D312">
        <f>IF(Wizards!$A$2="","",IF(OR(ISNUMBER(SEARCH(", "&amp;$B312&amp;", ", ", "&amp;INDEX('Form Responses'!$I$1:$Q$200,2,$A312)&amp;", ")),ISNUMBER(SEARCH(", "&amp;$B312&amp;", ", ", "&amp;INDEX('Form Responses'!$R$1:$R$200,2)&amp;", "))),1,""))</f>
        <v/>
      </c>
      <c r="E312">
        <f>IF(Wizards!$A$3="","",IF(OR(ISNUMBER(SEARCH(", "&amp;$B312&amp;", ", ", "&amp;INDEX('Form Responses'!$I$1:$Q$200,3,$A312)&amp;", ")),ISNUMBER(SEARCH(", "&amp;$B312&amp;", ", ", "&amp;INDEX('Form Responses'!$R$1:$R$200,3)&amp;", "))),1,""))</f>
        <v/>
      </c>
      <c r="F312">
        <f>IF(Wizards!$A$4="","",IF(OR(ISNUMBER(SEARCH(", "&amp;$B312&amp;", ", ", "&amp;INDEX('Form Responses'!$I$1:$Q$200,4,$A312)&amp;", ")),ISNUMBER(SEARCH(", "&amp;$B312&amp;", ", ", "&amp;INDEX('Form Responses'!$R$1:$R$200,4)&amp;", "))),1,""))</f>
        <v/>
      </c>
      <c r="G312">
        <f>IF(Wizards!$A$5="","",IF(OR(ISNUMBER(SEARCH(", "&amp;$B312&amp;", ", ", "&amp;INDEX('Form Responses'!$I$1:$Q$200,5,$A312)&amp;", ")),ISNUMBER(SEARCH(", "&amp;$B312&amp;", ", ", "&amp;INDEX('Form Responses'!$R$1:$R$200,5)&amp;", "))),1,""))</f>
        <v/>
      </c>
      <c r="H312">
        <f>IF(Wizards!$A$6="","",IF(OR(ISNUMBER(SEARCH(", "&amp;$B312&amp;", ", ", "&amp;INDEX('Form Responses'!$I$1:$Q$200,6,$A312)&amp;", ")),ISNUMBER(SEARCH(", "&amp;$B312&amp;", ", ", "&amp;INDEX('Form Responses'!$R$1:$R$200,6)&amp;", "))),1,""))</f>
        <v/>
      </c>
      <c r="I312">
        <f>IF(Wizards!$A$7="","",IF(OR(ISNUMBER(SEARCH(", "&amp;$B312&amp;", ", ", "&amp;INDEX('Form Responses'!$I$1:$Q$200,7,$A312)&amp;", ")),ISNUMBER(SEARCH(", "&amp;$B312&amp;", ", ", "&amp;INDEX('Form Responses'!$R$1:$R$200,7)&amp;", "))),1,""))</f>
        <v/>
      </c>
      <c r="J312">
        <f>IF(Wizards!$A$8="","",IF(OR(ISNUMBER(SEARCH(", "&amp;$B312&amp;", ", ", "&amp;INDEX('Form Responses'!$I$1:$Q$200,8,$A312)&amp;", ")),ISNUMBER(SEARCH(", "&amp;$B312&amp;", ", ", "&amp;INDEX('Form Responses'!$R$1:$R$200,8)&amp;", "))),1,""))</f>
        <v/>
      </c>
      <c r="K312">
        <f>IF(Wizards!$A$9="","",IF(OR(ISNUMBER(SEARCH(", "&amp;$B312&amp;", ", ", "&amp;INDEX('Form Responses'!$I$1:$Q$200,9,$A312)&amp;", ")),ISNUMBER(SEARCH(", "&amp;$B312&amp;", ", ", "&amp;INDEX('Form Responses'!$R$1:$R$200,9)&amp;", "))),1,""))</f>
        <v/>
      </c>
      <c r="L312">
        <f>IF(Wizards!$A$10="","",IF(OR(ISNUMBER(SEARCH(", "&amp;$B312&amp;", ", ", "&amp;INDEX('Form Responses'!$I$1:$Q$200,10,$A312)&amp;", ")),ISNUMBER(SEARCH(", "&amp;$B312&amp;", ", ", "&amp;INDEX('Form Responses'!$R$1:$R$200,10)&amp;", "))),1,""))</f>
        <v/>
      </c>
      <c r="M312">
        <f>IF(Wizards!$A$11="","",IF(OR(ISNUMBER(SEARCH(", "&amp;$B312&amp;", ", ", "&amp;INDEX('Form Responses'!$I$1:$Q$200,11,$A312)&amp;", ")),ISNUMBER(SEARCH(", "&amp;$B312&amp;", ", ", "&amp;INDEX('Form Responses'!$R$1:$R$200,11)&amp;", "))),1,""))</f>
        <v/>
      </c>
      <c r="N312">
        <f>IF(Wizards!$A$12="","",IF(OR(ISNUMBER(SEARCH(", "&amp;$B312&amp;", ", ", "&amp;INDEX('Form Responses'!$I$1:$Q$200,12,$A312)&amp;", ")),ISNUMBER(SEARCH(", "&amp;$B312&amp;", ", ", "&amp;INDEX('Form Responses'!$R$1:$R$200,12)&amp;", "))),1,""))</f>
        <v/>
      </c>
      <c r="O312">
        <f>IF(Wizards!$A$13="","",IF(OR(ISNUMBER(SEARCH(", "&amp;$B312&amp;", ", ", "&amp;INDEX('Form Responses'!$I$1:$Q$200,13,$A312)&amp;", ")),ISNUMBER(SEARCH(", "&amp;$B312&amp;", ", ", "&amp;INDEX('Form Responses'!$R$1:$R$200,13)&amp;", "))),1,""))</f>
        <v/>
      </c>
      <c r="P312">
        <f>IF(Wizards!$A$14="","",IF(OR(ISNUMBER(SEARCH(", "&amp;$B312&amp;", ", ", "&amp;INDEX('Form Responses'!$I$1:$Q$200,14,$A312)&amp;", ")),ISNUMBER(SEARCH(", "&amp;$B312&amp;", ", ", "&amp;INDEX('Form Responses'!$R$1:$R$200,14)&amp;", "))),1,""))</f>
        <v/>
      </c>
      <c r="Q312">
        <f>IF(Wizards!$A$15="","",IF(OR(ISNUMBER(SEARCH(", "&amp;$B312&amp;", ", ", "&amp;INDEX('Form Responses'!$I$1:$Q$200,15,$A312)&amp;", ")),ISNUMBER(SEARCH(", "&amp;$B312&amp;", ", ", "&amp;INDEX('Form Responses'!$R$1:$R$200,15)&amp;", "))),1,""))</f>
        <v/>
      </c>
      <c r="R312">
        <f>IF(Wizards!$A$16="","",IF(OR(ISNUMBER(SEARCH(", "&amp;$B312&amp;", ", ", "&amp;INDEX('Form Responses'!$I$1:$Q$200,16,$A312)&amp;", ")),ISNUMBER(SEARCH(", "&amp;$B312&amp;", ", ", "&amp;INDEX('Form Responses'!$R$1:$R$200,16)&amp;", "))),1,""))</f>
        <v/>
      </c>
      <c r="S312">
        <f>IF(Wizards!$A$17="","",IF(OR(ISNUMBER(SEARCH(", "&amp;$B312&amp;", ", ", "&amp;INDEX('Form Responses'!$I$1:$Q$200,17,$A312)&amp;", ")),ISNUMBER(SEARCH(", "&amp;$B312&amp;", ", ", "&amp;INDEX('Form Responses'!$R$1:$R$200,17)&amp;", "))),1,""))</f>
        <v/>
      </c>
      <c r="T312">
        <f>IF(Wizards!$A$18="","",IF(OR(ISNUMBER(SEARCH(", "&amp;$B312&amp;", ", ", "&amp;INDEX('Form Responses'!$I$1:$Q$200,18,$A312)&amp;", ")),ISNUMBER(SEARCH(", "&amp;$B312&amp;", ", ", "&amp;INDEX('Form Responses'!$R$1:$R$200,18)&amp;", "))),1,""))</f>
        <v/>
      </c>
      <c r="U312">
        <f>IF(Wizards!$A$19="","",IF(OR(ISNUMBER(SEARCH(", "&amp;$B312&amp;", ", ", "&amp;INDEX('Form Responses'!$I$1:$Q$200,19,$A312)&amp;", ")),ISNUMBER(SEARCH(", "&amp;$B312&amp;", ", ", "&amp;INDEX('Form Responses'!$R$1:$R$200,19)&amp;", "))),1,""))</f>
        <v/>
      </c>
      <c r="V312">
        <f>IF(Wizards!$A$20="","",IF(OR(ISNUMBER(SEARCH(", "&amp;$B312&amp;", ", ", "&amp;INDEX('Form Responses'!$I$1:$Q$200,20,$A312)&amp;", ")),ISNUMBER(SEARCH(", "&amp;$B312&amp;", ", ", "&amp;INDEX('Form Responses'!$R$1:$R$200,20)&amp;", "))),1,""))</f>
        <v/>
      </c>
      <c r="W312">
        <f>IF(Wizards!$A$21="","",IF(OR(ISNUMBER(SEARCH(", "&amp;$B312&amp;", ", ", "&amp;INDEX('Form Responses'!$I$1:$Q$200,21,$A312)&amp;", ")),ISNUMBER(SEARCH(", "&amp;$B312&amp;", ", ", "&amp;INDEX('Form Responses'!$R$1:$R$200,21)&amp;", "))),1,""))</f>
        <v/>
      </c>
      <c r="X312">
        <f>IF(Wizards!$A$22="","",IF(OR(ISNUMBER(SEARCH(", "&amp;$B312&amp;", ", ", "&amp;INDEX('Form Responses'!$I$1:$Q$200,22,$A312)&amp;", ")),ISNUMBER(SEARCH(", "&amp;$B312&amp;", ", ", "&amp;INDEX('Form Responses'!$R$1:$R$200,22)&amp;", "))),1,""))</f>
        <v/>
      </c>
      <c r="Y312">
        <f>IF(Wizards!$A$23="","",IF(OR(ISNUMBER(SEARCH(", "&amp;$B312&amp;", ", ", "&amp;INDEX('Form Responses'!$I$1:$Q$200,23,$A312)&amp;", ")),ISNUMBER(SEARCH(", "&amp;$B312&amp;", ", ", "&amp;INDEX('Form Responses'!$R$1:$R$200,23)&amp;", "))),1,""))</f>
        <v/>
      </c>
      <c r="Z312">
        <f>IF(Wizards!$A$24="","",IF(OR(ISNUMBER(SEARCH(", "&amp;$B312&amp;", ", ", "&amp;INDEX('Form Responses'!$I$1:$Q$200,24,$A312)&amp;", ")),ISNUMBER(SEARCH(", "&amp;$B312&amp;", ", ", "&amp;INDEX('Form Responses'!$R$1:$R$200,24)&amp;", "))),1,""))</f>
        <v/>
      </c>
      <c r="AA312">
        <f>IF(Wizards!$A$25="","",IF(OR(ISNUMBER(SEARCH(", "&amp;$B312&amp;", ", ", "&amp;INDEX('Form Responses'!$I$1:$Q$200,25,$A312)&amp;", ")),ISNUMBER(SEARCH(", "&amp;$B312&amp;", ", ", "&amp;INDEX('Form Responses'!$R$1:$R$200,25)&amp;", "))),1,""))</f>
        <v/>
      </c>
      <c r="AB312">
        <f>IF(D312=1,", "&amp;D$1,"")</f>
        <v/>
      </c>
      <c r="AC312">
        <f>IF(E312=1,", "&amp;E$1,"")</f>
        <v/>
      </c>
      <c r="AD312">
        <f>IF(F312=1,", "&amp;F$1,"")</f>
        <v/>
      </c>
      <c r="AE312">
        <f>IF(G312=1,", "&amp;G$1,"")</f>
        <v/>
      </c>
      <c r="AF312">
        <f>IF(H312=1,", "&amp;H$1,"")</f>
        <v/>
      </c>
      <c r="AG312">
        <f>IF(I312=1,", "&amp;I$1,"")</f>
        <v/>
      </c>
      <c r="AH312">
        <f>IF(J312=1,", "&amp;J$1,"")</f>
        <v/>
      </c>
      <c r="AI312">
        <f>IF(K312=1,", "&amp;K$1,"")</f>
        <v/>
      </c>
      <c r="AJ312">
        <f>IF(L312=1,", "&amp;L$1,"")</f>
        <v/>
      </c>
      <c r="AK312">
        <f>IF(M312=1,", "&amp;M$1,"")</f>
        <v/>
      </c>
      <c r="AL312">
        <f>IF(N312=1,", "&amp;N$1,"")</f>
        <v/>
      </c>
      <c r="AM312">
        <f>IF(O312=1,", "&amp;O$1,"")</f>
        <v/>
      </c>
      <c r="AN312">
        <f>IF(P312=1,", "&amp;P$1,"")</f>
        <v/>
      </c>
      <c r="AO312">
        <f>IF(Q312=1,", "&amp;Q$1,"")</f>
        <v/>
      </c>
      <c r="AP312">
        <f>IF(R312=1,", "&amp;R$1,"")</f>
        <v/>
      </c>
      <c r="AQ312">
        <f>IF(S312=1,", "&amp;S$1,"")</f>
        <v/>
      </c>
      <c r="AR312">
        <f>IF(T312=1,", "&amp;T$1,"")</f>
        <v/>
      </c>
      <c r="AS312">
        <f>IF(U312=1,", "&amp;U$1,"")</f>
        <v/>
      </c>
      <c r="AT312">
        <f>IF(V312=1,", "&amp;V$1,"")</f>
        <v/>
      </c>
      <c r="AU312">
        <f>IF(W312=1,", "&amp;W$1,"")</f>
        <v/>
      </c>
      <c r="AV312">
        <f>IF(X312=1,", "&amp;X$1,"")</f>
        <v/>
      </c>
      <c r="AW312">
        <f>IF(Y312=1,", "&amp;Y$1,"")</f>
        <v/>
      </c>
      <c r="AX312">
        <f>IF(Z312=1,", "&amp;Z$1,"")</f>
        <v/>
      </c>
      <c r="AY312">
        <f>IF(AA312=1,", "&amp;AA$1,"")</f>
        <v/>
      </c>
      <c r="AZ312">
        <f>MID($AB312&amp;$AC312&amp;$AD312&amp;$AE312&amp;$AF312&amp;$AG312&amp;$AH312&amp;$AI312&amp;$AJ312&amp;$AK312&amp;$AL312&amp;$AM312&amp;$AN312&amp;$AO312&amp;$AP312&amp;$AQ312&amp;$AR312&amp;$AS312&amp;$AT312&amp;$AU312&amp;$AV312&amp;$AW312&amp;$AX312&amp;$AY312,3,32767)</f>
        <v/>
      </c>
      <c r="BA312">
        <f>COUNT($D312:$AA312)</f>
        <v/>
      </c>
    </row>
    <row r="313">
      <c r="A313" t="n">
        <v>8</v>
      </c>
      <c r="B313" t="inlineStr">
        <is>
          <t>Befuddlement</t>
        </is>
      </c>
      <c r="C313" t="inlineStr">
        <is>
          <t>Enchantment</t>
        </is>
      </c>
      <c r="D313">
        <f>IF(Wizards!$A$2="","",IF(OR(ISNUMBER(SEARCH(", "&amp;$B313&amp;", ", ", "&amp;INDEX('Form Responses'!$I$1:$Q$200,2,$A313)&amp;", ")),ISNUMBER(SEARCH(", "&amp;$B313&amp;", ", ", "&amp;INDEX('Form Responses'!$R$1:$R$200,2)&amp;", "))),1,""))</f>
        <v/>
      </c>
      <c r="E313">
        <f>IF(Wizards!$A$3="","",IF(OR(ISNUMBER(SEARCH(", "&amp;$B313&amp;", ", ", "&amp;INDEX('Form Responses'!$I$1:$Q$200,3,$A313)&amp;", ")),ISNUMBER(SEARCH(", "&amp;$B313&amp;", ", ", "&amp;INDEX('Form Responses'!$R$1:$R$200,3)&amp;", "))),1,""))</f>
        <v/>
      </c>
      <c r="F313">
        <f>IF(Wizards!$A$4="","",IF(OR(ISNUMBER(SEARCH(", "&amp;$B313&amp;", ", ", "&amp;INDEX('Form Responses'!$I$1:$Q$200,4,$A313)&amp;", ")),ISNUMBER(SEARCH(", "&amp;$B313&amp;", ", ", "&amp;INDEX('Form Responses'!$R$1:$R$200,4)&amp;", "))),1,""))</f>
        <v/>
      </c>
      <c r="G313">
        <f>IF(Wizards!$A$5="","",IF(OR(ISNUMBER(SEARCH(", "&amp;$B313&amp;", ", ", "&amp;INDEX('Form Responses'!$I$1:$Q$200,5,$A313)&amp;", ")),ISNUMBER(SEARCH(", "&amp;$B313&amp;", ", ", "&amp;INDEX('Form Responses'!$R$1:$R$200,5)&amp;", "))),1,""))</f>
        <v/>
      </c>
      <c r="H313">
        <f>IF(Wizards!$A$6="","",IF(OR(ISNUMBER(SEARCH(", "&amp;$B313&amp;", ", ", "&amp;INDEX('Form Responses'!$I$1:$Q$200,6,$A313)&amp;", ")),ISNUMBER(SEARCH(", "&amp;$B313&amp;", ", ", "&amp;INDEX('Form Responses'!$R$1:$R$200,6)&amp;", "))),1,""))</f>
        <v/>
      </c>
      <c r="I313">
        <f>IF(Wizards!$A$7="","",IF(OR(ISNUMBER(SEARCH(", "&amp;$B313&amp;", ", ", "&amp;INDEX('Form Responses'!$I$1:$Q$200,7,$A313)&amp;", ")),ISNUMBER(SEARCH(", "&amp;$B313&amp;", ", ", "&amp;INDEX('Form Responses'!$R$1:$R$200,7)&amp;", "))),1,""))</f>
        <v/>
      </c>
      <c r="J313">
        <f>IF(Wizards!$A$8="","",IF(OR(ISNUMBER(SEARCH(", "&amp;$B313&amp;", ", ", "&amp;INDEX('Form Responses'!$I$1:$Q$200,8,$A313)&amp;", ")),ISNUMBER(SEARCH(", "&amp;$B313&amp;", ", ", "&amp;INDEX('Form Responses'!$R$1:$R$200,8)&amp;", "))),1,""))</f>
        <v/>
      </c>
      <c r="K313">
        <f>IF(Wizards!$A$9="","",IF(OR(ISNUMBER(SEARCH(", "&amp;$B313&amp;", ", ", "&amp;INDEX('Form Responses'!$I$1:$Q$200,9,$A313)&amp;", ")),ISNUMBER(SEARCH(", "&amp;$B313&amp;", ", ", "&amp;INDEX('Form Responses'!$R$1:$R$200,9)&amp;", "))),1,""))</f>
        <v/>
      </c>
      <c r="L313">
        <f>IF(Wizards!$A$10="","",IF(OR(ISNUMBER(SEARCH(", "&amp;$B313&amp;", ", ", "&amp;INDEX('Form Responses'!$I$1:$Q$200,10,$A313)&amp;", ")),ISNUMBER(SEARCH(", "&amp;$B313&amp;", ", ", "&amp;INDEX('Form Responses'!$R$1:$R$200,10)&amp;", "))),1,""))</f>
        <v/>
      </c>
      <c r="M313">
        <f>IF(Wizards!$A$11="","",IF(OR(ISNUMBER(SEARCH(", "&amp;$B313&amp;", ", ", "&amp;INDEX('Form Responses'!$I$1:$Q$200,11,$A313)&amp;", ")),ISNUMBER(SEARCH(", "&amp;$B313&amp;", ", ", "&amp;INDEX('Form Responses'!$R$1:$R$200,11)&amp;", "))),1,""))</f>
        <v/>
      </c>
      <c r="N313">
        <f>IF(Wizards!$A$12="","",IF(OR(ISNUMBER(SEARCH(", "&amp;$B313&amp;", ", ", "&amp;INDEX('Form Responses'!$I$1:$Q$200,12,$A313)&amp;", ")),ISNUMBER(SEARCH(", "&amp;$B313&amp;", ", ", "&amp;INDEX('Form Responses'!$R$1:$R$200,12)&amp;", "))),1,""))</f>
        <v/>
      </c>
      <c r="O313">
        <f>IF(Wizards!$A$13="","",IF(OR(ISNUMBER(SEARCH(", "&amp;$B313&amp;", ", ", "&amp;INDEX('Form Responses'!$I$1:$Q$200,13,$A313)&amp;", ")),ISNUMBER(SEARCH(", "&amp;$B313&amp;", ", ", "&amp;INDEX('Form Responses'!$R$1:$R$200,13)&amp;", "))),1,""))</f>
        <v/>
      </c>
      <c r="P313">
        <f>IF(Wizards!$A$14="","",IF(OR(ISNUMBER(SEARCH(", "&amp;$B313&amp;", ", ", "&amp;INDEX('Form Responses'!$I$1:$Q$200,14,$A313)&amp;", ")),ISNUMBER(SEARCH(", "&amp;$B313&amp;", ", ", "&amp;INDEX('Form Responses'!$R$1:$R$200,14)&amp;", "))),1,""))</f>
        <v/>
      </c>
      <c r="Q313">
        <f>IF(Wizards!$A$15="","",IF(OR(ISNUMBER(SEARCH(", "&amp;$B313&amp;", ", ", "&amp;INDEX('Form Responses'!$I$1:$Q$200,15,$A313)&amp;", ")),ISNUMBER(SEARCH(", "&amp;$B313&amp;", ", ", "&amp;INDEX('Form Responses'!$R$1:$R$200,15)&amp;", "))),1,""))</f>
        <v/>
      </c>
      <c r="R313">
        <f>IF(Wizards!$A$16="","",IF(OR(ISNUMBER(SEARCH(", "&amp;$B313&amp;", ", ", "&amp;INDEX('Form Responses'!$I$1:$Q$200,16,$A313)&amp;", ")),ISNUMBER(SEARCH(", "&amp;$B313&amp;", ", ", "&amp;INDEX('Form Responses'!$R$1:$R$200,16)&amp;", "))),1,""))</f>
        <v/>
      </c>
      <c r="S313">
        <f>IF(Wizards!$A$17="","",IF(OR(ISNUMBER(SEARCH(", "&amp;$B313&amp;", ", ", "&amp;INDEX('Form Responses'!$I$1:$Q$200,17,$A313)&amp;", ")),ISNUMBER(SEARCH(", "&amp;$B313&amp;", ", ", "&amp;INDEX('Form Responses'!$R$1:$R$200,17)&amp;", "))),1,""))</f>
        <v/>
      </c>
      <c r="T313">
        <f>IF(Wizards!$A$18="","",IF(OR(ISNUMBER(SEARCH(", "&amp;$B313&amp;", ", ", "&amp;INDEX('Form Responses'!$I$1:$Q$200,18,$A313)&amp;", ")),ISNUMBER(SEARCH(", "&amp;$B313&amp;", ", ", "&amp;INDEX('Form Responses'!$R$1:$R$200,18)&amp;", "))),1,""))</f>
        <v/>
      </c>
      <c r="U313">
        <f>IF(Wizards!$A$19="","",IF(OR(ISNUMBER(SEARCH(", "&amp;$B313&amp;", ", ", "&amp;INDEX('Form Responses'!$I$1:$Q$200,19,$A313)&amp;", ")),ISNUMBER(SEARCH(", "&amp;$B313&amp;", ", ", "&amp;INDEX('Form Responses'!$R$1:$R$200,19)&amp;", "))),1,""))</f>
        <v/>
      </c>
      <c r="V313">
        <f>IF(Wizards!$A$20="","",IF(OR(ISNUMBER(SEARCH(", "&amp;$B313&amp;", ", ", "&amp;INDEX('Form Responses'!$I$1:$Q$200,20,$A313)&amp;", ")),ISNUMBER(SEARCH(", "&amp;$B313&amp;", ", ", "&amp;INDEX('Form Responses'!$R$1:$R$200,20)&amp;", "))),1,""))</f>
        <v/>
      </c>
      <c r="W313">
        <f>IF(Wizards!$A$21="","",IF(OR(ISNUMBER(SEARCH(", "&amp;$B313&amp;", ", ", "&amp;INDEX('Form Responses'!$I$1:$Q$200,21,$A313)&amp;", ")),ISNUMBER(SEARCH(", "&amp;$B313&amp;", ", ", "&amp;INDEX('Form Responses'!$R$1:$R$200,21)&amp;", "))),1,""))</f>
        <v/>
      </c>
      <c r="X313">
        <f>IF(Wizards!$A$22="","",IF(OR(ISNUMBER(SEARCH(", "&amp;$B313&amp;", ", ", "&amp;INDEX('Form Responses'!$I$1:$Q$200,22,$A313)&amp;", ")),ISNUMBER(SEARCH(", "&amp;$B313&amp;", ", ", "&amp;INDEX('Form Responses'!$R$1:$R$200,22)&amp;", "))),1,""))</f>
        <v/>
      </c>
      <c r="Y313">
        <f>IF(Wizards!$A$23="","",IF(OR(ISNUMBER(SEARCH(", "&amp;$B313&amp;", ", ", "&amp;INDEX('Form Responses'!$I$1:$Q$200,23,$A313)&amp;", ")),ISNUMBER(SEARCH(", "&amp;$B313&amp;", ", ", "&amp;INDEX('Form Responses'!$R$1:$R$200,23)&amp;", "))),1,""))</f>
        <v/>
      </c>
      <c r="Z313">
        <f>IF(Wizards!$A$24="","",IF(OR(ISNUMBER(SEARCH(", "&amp;$B313&amp;", ", ", "&amp;INDEX('Form Responses'!$I$1:$Q$200,24,$A313)&amp;", ")),ISNUMBER(SEARCH(", "&amp;$B313&amp;", ", ", "&amp;INDEX('Form Responses'!$R$1:$R$200,24)&amp;", "))),1,""))</f>
        <v/>
      </c>
      <c r="AA313">
        <f>IF(Wizards!$A$25="","",IF(OR(ISNUMBER(SEARCH(", "&amp;$B313&amp;", ", ", "&amp;INDEX('Form Responses'!$I$1:$Q$200,25,$A313)&amp;", ")),ISNUMBER(SEARCH(", "&amp;$B313&amp;", ", ", "&amp;INDEX('Form Responses'!$R$1:$R$200,25)&amp;", "))),1,""))</f>
        <v/>
      </c>
      <c r="AB313">
        <f>IF(D313=1,", "&amp;D$1,"")</f>
        <v/>
      </c>
      <c r="AC313">
        <f>IF(E313=1,", "&amp;E$1,"")</f>
        <v/>
      </c>
      <c r="AD313">
        <f>IF(F313=1,", "&amp;F$1,"")</f>
        <v/>
      </c>
      <c r="AE313">
        <f>IF(G313=1,", "&amp;G$1,"")</f>
        <v/>
      </c>
      <c r="AF313">
        <f>IF(H313=1,", "&amp;H$1,"")</f>
        <v/>
      </c>
      <c r="AG313">
        <f>IF(I313=1,", "&amp;I$1,"")</f>
        <v/>
      </c>
      <c r="AH313">
        <f>IF(J313=1,", "&amp;J$1,"")</f>
        <v/>
      </c>
      <c r="AI313">
        <f>IF(K313=1,", "&amp;K$1,"")</f>
        <v/>
      </c>
      <c r="AJ313">
        <f>IF(L313=1,", "&amp;L$1,"")</f>
        <v/>
      </c>
      <c r="AK313">
        <f>IF(M313=1,", "&amp;M$1,"")</f>
        <v/>
      </c>
      <c r="AL313">
        <f>IF(N313=1,", "&amp;N$1,"")</f>
        <v/>
      </c>
      <c r="AM313">
        <f>IF(O313=1,", "&amp;O$1,"")</f>
        <v/>
      </c>
      <c r="AN313">
        <f>IF(P313=1,", "&amp;P$1,"")</f>
        <v/>
      </c>
      <c r="AO313">
        <f>IF(Q313=1,", "&amp;Q$1,"")</f>
        <v/>
      </c>
      <c r="AP313">
        <f>IF(R313=1,", "&amp;R$1,"")</f>
        <v/>
      </c>
      <c r="AQ313">
        <f>IF(S313=1,", "&amp;S$1,"")</f>
        <v/>
      </c>
      <c r="AR313">
        <f>IF(T313=1,", "&amp;T$1,"")</f>
        <v/>
      </c>
      <c r="AS313">
        <f>IF(U313=1,", "&amp;U$1,"")</f>
        <v/>
      </c>
      <c r="AT313">
        <f>IF(V313=1,", "&amp;V$1,"")</f>
        <v/>
      </c>
      <c r="AU313">
        <f>IF(W313=1,", "&amp;W$1,"")</f>
        <v/>
      </c>
      <c r="AV313">
        <f>IF(X313=1,", "&amp;X$1,"")</f>
        <v/>
      </c>
      <c r="AW313">
        <f>IF(Y313=1,", "&amp;Y$1,"")</f>
        <v/>
      </c>
      <c r="AX313">
        <f>IF(Z313=1,", "&amp;Z$1,"")</f>
        <v/>
      </c>
      <c r="AY313">
        <f>IF(AA313=1,", "&amp;AA$1,"")</f>
        <v/>
      </c>
      <c r="AZ313">
        <f>MID($AB313&amp;$AC313&amp;$AD313&amp;$AE313&amp;$AF313&amp;$AG313&amp;$AH313&amp;$AI313&amp;$AJ313&amp;$AK313&amp;$AL313&amp;$AM313&amp;$AN313&amp;$AO313&amp;$AP313&amp;$AQ313&amp;$AR313&amp;$AS313&amp;$AT313&amp;$AU313&amp;$AV313&amp;$AW313&amp;$AX313&amp;$AY313,3,32767)</f>
        <v/>
      </c>
      <c r="BA313">
        <f>COUNT($D313:$AA313)</f>
        <v/>
      </c>
    </row>
    <row r="314">
      <c r="A314" t="n">
        <v>8</v>
      </c>
      <c r="B314" t="inlineStr">
        <is>
          <t>Clone</t>
        </is>
      </c>
      <c r="C314" t="inlineStr">
        <is>
          <t>Necromancy</t>
        </is>
      </c>
      <c r="D314">
        <f>IF(Wizards!$A$2="","",IF(OR(ISNUMBER(SEARCH(", "&amp;$B314&amp;", ", ", "&amp;INDEX('Form Responses'!$I$1:$Q$200,2,$A314)&amp;", ")),ISNUMBER(SEARCH(", "&amp;$B314&amp;", ", ", "&amp;INDEX('Form Responses'!$R$1:$R$200,2)&amp;", "))),1,""))</f>
        <v/>
      </c>
      <c r="E314">
        <f>IF(Wizards!$A$3="","",IF(OR(ISNUMBER(SEARCH(", "&amp;$B314&amp;", ", ", "&amp;INDEX('Form Responses'!$I$1:$Q$200,3,$A314)&amp;", ")),ISNUMBER(SEARCH(", "&amp;$B314&amp;", ", ", "&amp;INDEX('Form Responses'!$R$1:$R$200,3)&amp;", "))),1,""))</f>
        <v/>
      </c>
      <c r="F314">
        <f>IF(Wizards!$A$4="","",IF(OR(ISNUMBER(SEARCH(", "&amp;$B314&amp;", ", ", "&amp;INDEX('Form Responses'!$I$1:$Q$200,4,$A314)&amp;", ")),ISNUMBER(SEARCH(", "&amp;$B314&amp;", ", ", "&amp;INDEX('Form Responses'!$R$1:$R$200,4)&amp;", "))),1,""))</f>
        <v/>
      </c>
      <c r="G314">
        <f>IF(Wizards!$A$5="","",IF(OR(ISNUMBER(SEARCH(", "&amp;$B314&amp;", ", ", "&amp;INDEX('Form Responses'!$I$1:$Q$200,5,$A314)&amp;", ")),ISNUMBER(SEARCH(", "&amp;$B314&amp;", ", ", "&amp;INDEX('Form Responses'!$R$1:$R$200,5)&amp;", "))),1,""))</f>
        <v/>
      </c>
      <c r="H314">
        <f>IF(Wizards!$A$6="","",IF(OR(ISNUMBER(SEARCH(", "&amp;$B314&amp;", ", ", "&amp;INDEX('Form Responses'!$I$1:$Q$200,6,$A314)&amp;", ")),ISNUMBER(SEARCH(", "&amp;$B314&amp;", ", ", "&amp;INDEX('Form Responses'!$R$1:$R$200,6)&amp;", "))),1,""))</f>
        <v/>
      </c>
      <c r="I314">
        <f>IF(Wizards!$A$7="","",IF(OR(ISNUMBER(SEARCH(", "&amp;$B314&amp;", ", ", "&amp;INDEX('Form Responses'!$I$1:$Q$200,7,$A314)&amp;", ")),ISNUMBER(SEARCH(", "&amp;$B314&amp;", ", ", "&amp;INDEX('Form Responses'!$R$1:$R$200,7)&amp;", "))),1,""))</f>
        <v/>
      </c>
      <c r="J314">
        <f>IF(Wizards!$A$8="","",IF(OR(ISNUMBER(SEARCH(", "&amp;$B314&amp;", ", ", "&amp;INDEX('Form Responses'!$I$1:$Q$200,8,$A314)&amp;", ")),ISNUMBER(SEARCH(", "&amp;$B314&amp;", ", ", "&amp;INDEX('Form Responses'!$R$1:$R$200,8)&amp;", "))),1,""))</f>
        <v/>
      </c>
      <c r="K314">
        <f>IF(Wizards!$A$9="","",IF(OR(ISNUMBER(SEARCH(", "&amp;$B314&amp;", ", ", "&amp;INDEX('Form Responses'!$I$1:$Q$200,9,$A314)&amp;", ")),ISNUMBER(SEARCH(", "&amp;$B314&amp;", ", ", "&amp;INDEX('Form Responses'!$R$1:$R$200,9)&amp;", "))),1,""))</f>
        <v/>
      </c>
      <c r="L314">
        <f>IF(Wizards!$A$10="","",IF(OR(ISNUMBER(SEARCH(", "&amp;$B314&amp;", ", ", "&amp;INDEX('Form Responses'!$I$1:$Q$200,10,$A314)&amp;", ")),ISNUMBER(SEARCH(", "&amp;$B314&amp;", ", ", "&amp;INDEX('Form Responses'!$R$1:$R$200,10)&amp;", "))),1,""))</f>
        <v/>
      </c>
      <c r="M314">
        <f>IF(Wizards!$A$11="","",IF(OR(ISNUMBER(SEARCH(", "&amp;$B314&amp;", ", ", "&amp;INDEX('Form Responses'!$I$1:$Q$200,11,$A314)&amp;", ")),ISNUMBER(SEARCH(", "&amp;$B314&amp;", ", ", "&amp;INDEX('Form Responses'!$R$1:$R$200,11)&amp;", "))),1,""))</f>
        <v/>
      </c>
      <c r="N314">
        <f>IF(Wizards!$A$12="","",IF(OR(ISNUMBER(SEARCH(", "&amp;$B314&amp;", ", ", "&amp;INDEX('Form Responses'!$I$1:$Q$200,12,$A314)&amp;", ")),ISNUMBER(SEARCH(", "&amp;$B314&amp;", ", ", "&amp;INDEX('Form Responses'!$R$1:$R$200,12)&amp;", "))),1,""))</f>
        <v/>
      </c>
      <c r="O314">
        <f>IF(Wizards!$A$13="","",IF(OR(ISNUMBER(SEARCH(", "&amp;$B314&amp;", ", ", "&amp;INDEX('Form Responses'!$I$1:$Q$200,13,$A314)&amp;", ")),ISNUMBER(SEARCH(", "&amp;$B314&amp;", ", ", "&amp;INDEX('Form Responses'!$R$1:$R$200,13)&amp;", "))),1,""))</f>
        <v/>
      </c>
      <c r="P314">
        <f>IF(Wizards!$A$14="","",IF(OR(ISNUMBER(SEARCH(", "&amp;$B314&amp;", ", ", "&amp;INDEX('Form Responses'!$I$1:$Q$200,14,$A314)&amp;", ")),ISNUMBER(SEARCH(", "&amp;$B314&amp;", ", ", "&amp;INDEX('Form Responses'!$R$1:$R$200,14)&amp;", "))),1,""))</f>
        <v/>
      </c>
      <c r="Q314">
        <f>IF(Wizards!$A$15="","",IF(OR(ISNUMBER(SEARCH(", "&amp;$B314&amp;", ", ", "&amp;INDEX('Form Responses'!$I$1:$Q$200,15,$A314)&amp;", ")),ISNUMBER(SEARCH(", "&amp;$B314&amp;", ", ", "&amp;INDEX('Form Responses'!$R$1:$R$200,15)&amp;", "))),1,""))</f>
        <v/>
      </c>
      <c r="R314">
        <f>IF(Wizards!$A$16="","",IF(OR(ISNUMBER(SEARCH(", "&amp;$B314&amp;", ", ", "&amp;INDEX('Form Responses'!$I$1:$Q$200,16,$A314)&amp;", ")),ISNUMBER(SEARCH(", "&amp;$B314&amp;", ", ", "&amp;INDEX('Form Responses'!$R$1:$R$200,16)&amp;", "))),1,""))</f>
        <v/>
      </c>
      <c r="S314">
        <f>IF(Wizards!$A$17="","",IF(OR(ISNUMBER(SEARCH(", "&amp;$B314&amp;", ", ", "&amp;INDEX('Form Responses'!$I$1:$Q$200,17,$A314)&amp;", ")),ISNUMBER(SEARCH(", "&amp;$B314&amp;", ", ", "&amp;INDEX('Form Responses'!$R$1:$R$200,17)&amp;", "))),1,""))</f>
        <v/>
      </c>
      <c r="T314">
        <f>IF(Wizards!$A$18="","",IF(OR(ISNUMBER(SEARCH(", "&amp;$B314&amp;", ", ", "&amp;INDEX('Form Responses'!$I$1:$Q$200,18,$A314)&amp;", ")),ISNUMBER(SEARCH(", "&amp;$B314&amp;", ", ", "&amp;INDEX('Form Responses'!$R$1:$R$200,18)&amp;", "))),1,""))</f>
        <v/>
      </c>
      <c r="U314">
        <f>IF(Wizards!$A$19="","",IF(OR(ISNUMBER(SEARCH(", "&amp;$B314&amp;", ", ", "&amp;INDEX('Form Responses'!$I$1:$Q$200,19,$A314)&amp;", ")),ISNUMBER(SEARCH(", "&amp;$B314&amp;", ", ", "&amp;INDEX('Form Responses'!$R$1:$R$200,19)&amp;", "))),1,""))</f>
        <v/>
      </c>
      <c r="V314">
        <f>IF(Wizards!$A$20="","",IF(OR(ISNUMBER(SEARCH(", "&amp;$B314&amp;", ", ", "&amp;INDEX('Form Responses'!$I$1:$Q$200,20,$A314)&amp;", ")),ISNUMBER(SEARCH(", "&amp;$B314&amp;", ", ", "&amp;INDEX('Form Responses'!$R$1:$R$200,20)&amp;", "))),1,""))</f>
        <v/>
      </c>
      <c r="W314">
        <f>IF(Wizards!$A$21="","",IF(OR(ISNUMBER(SEARCH(", "&amp;$B314&amp;", ", ", "&amp;INDEX('Form Responses'!$I$1:$Q$200,21,$A314)&amp;", ")),ISNUMBER(SEARCH(", "&amp;$B314&amp;", ", ", "&amp;INDEX('Form Responses'!$R$1:$R$200,21)&amp;", "))),1,""))</f>
        <v/>
      </c>
      <c r="X314">
        <f>IF(Wizards!$A$22="","",IF(OR(ISNUMBER(SEARCH(", "&amp;$B314&amp;", ", ", "&amp;INDEX('Form Responses'!$I$1:$Q$200,22,$A314)&amp;", ")),ISNUMBER(SEARCH(", "&amp;$B314&amp;", ", ", "&amp;INDEX('Form Responses'!$R$1:$R$200,22)&amp;", "))),1,""))</f>
        <v/>
      </c>
      <c r="Y314">
        <f>IF(Wizards!$A$23="","",IF(OR(ISNUMBER(SEARCH(", "&amp;$B314&amp;", ", ", "&amp;INDEX('Form Responses'!$I$1:$Q$200,23,$A314)&amp;", ")),ISNUMBER(SEARCH(", "&amp;$B314&amp;", ", ", "&amp;INDEX('Form Responses'!$R$1:$R$200,23)&amp;", "))),1,""))</f>
        <v/>
      </c>
      <c r="Z314">
        <f>IF(Wizards!$A$24="","",IF(OR(ISNUMBER(SEARCH(", "&amp;$B314&amp;", ", ", "&amp;INDEX('Form Responses'!$I$1:$Q$200,24,$A314)&amp;", ")),ISNUMBER(SEARCH(", "&amp;$B314&amp;", ", ", "&amp;INDEX('Form Responses'!$R$1:$R$200,24)&amp;", "))),1,""))</f>
        <v/>
      </c>
      <c r="AA314">
        <f>IF(Wizards!$A$25="","",IF(OR(ISNUMBER(SEARCH(", "&amp;$B314&amp;", ", ", "&amp;INDEX('Form Responses'!$I$1:$Q$200,25,$A314)&amp;", ")),ISNUMBER(SEARCH(", "&amp;$B314&amp;", ", ", "&amp;INDEX('Form Responses'!$R$1:$R$200,25)&amp;", "))),1,""))</f>
        <v/>
      </c>
      <c r="AB314">
        <f>IF(D314=1,", "&amp;D$1,"")</f>
        <v/>
      </c>
      <c r="AC314">
        <f>IF(E314=1,", "&amp;E$1,"")</f>
        <v/>
      </c>
      <c r="AD314">
        <f>IF(F314=1,", "&amp;F$1,"")</f>
        <v/>
      </c>
      <c r="AE314">
        <f>IF(G314=1,", "&amp;G$1,"")</f>
        <v/>
      </c>
      <c r="AF314">
        <f>IF(H314=1,", "&amp;H$1,"")</f>
        <v/>
      </c>
      <c r="AG314">
        <f>IF(I314=1,", "&amp;I$1,"")</f>
        <v/>
      </c>
      <c r="AH314">
        <f>IF(J314=1,", "&amp;J$1,"")</f>
        <v/>
      </c>
      <c r="AI314">
        <f>IF(K314=1,", "&amp;K$1,"")</f>
        <v/>
      </c>
      <c r="AJ314">
        <f>IF(L314=1,", "&amp;L$1,"")</f>
        <v/>
      </c>
      <c r="AK314">
        <f>IF(M314=1,", "&amp;M$1,"")</f>
        <v/>
      </c>
      <c r="AL314">
        <f>IF(N314=1,", "&amp;N$1,"")</f>
        <v/>
      </c>
      <c r="AM314">
        <f>IF(O314=1,", "&amp;O$1,"")</f>
        <v/>
      </c>
      <c r="AN314">
        <f>IF(P314=1,", "&amp;P$1,"")</f>
        <v/>
      </c>
      <c r="AO314">
        <f>IF(Q314=1,", "&amp;Q$1,"")</f>
        <v/>
      </c>
      <c r="AP314">
        <f>IF(R314=1,", "&amp;R$1,"")</f>
        <v/>
      </c>
      <c r="AQ314">
        <f>IF(S314=1,", "&amp;S$1,"")</f>
        <v/>
      </c>
      <c r="AR314">
        <f>IF(T314=1,", "&amp;T$1,"")</f>
        <v/>
      </c>
      <c r="AS314">
        <f>IF(U314=1,", "&amp;U$1,"")</f>
        <v/>
      </c>
      <c r="AT314">
        <f>IF(V314=1,", "&amp;V$1,"")</f>
        <v/>
      </c>
      <c r="AU314">
        <f>IF(W314=1,", "&amp;W$1,"")</f>
        <v/>
      </c>
      <c r="AV314">
        <f>IF(X314=1,", "&amp;X$1,"")</f>
        <v/>
      </c>
      <c r="AW314">
        <f>IF(Y314=1,", "&amp;Y$1,"")</f>
        <v/>
      </c>
      <c r="AX314">
        <f>IF(Z314=1,", "&amp;Z$1,"")</f>
        <v/>
      </c>
      <c r="AY314">
        <f>IF(AA314=1,", "&amp;AA$1,"")</f>
        <v/>
      </c>
      <c r="AZ314">
        <f>MID($AB314&amp;$AC314&amp;$AD314&amp;$AE314&amp;$AF314&amp;$AG314&amp;$AH314&amp;$AI314&amp;$AJ314&amp;$AK314&amp;$AL314&amp;$AM314&amp;$AN314&amp;$AO314&amp;$AP314&amp;$AQ314&amp;$AR314&amp;$AS314&amp;$AT314&amp;$AU314&amp;$AV314&amp;$AW314&amp;$AX314&amp;$AY314,3,32767)</f>
        <v/>
      </c>
      <c r="BA314">
        <f>COUNT($D314:$AA314)</f>
        <v/>
      </c>
    </row>
    <row r="315">
      <c r="A315" t="n">
        <v>8</v>
      </c>
      <c r="B315" t="inlineStr">
        <is>
          <t>Control Weather</t>
        </is>
      </c>
      <c r="C315" t="inlineStr">
        <is>
          <t>Transmutation</t>
        </is>
      </c>
      <c r="D315">
        <f>IF(Wizards!$A$2="","",IF(OR(ISNUMBER(SEARCH(", "&amp;$B315&amp;", ", ", "&amp;INDEX('Form Responses'!$I$1:$Q$200,2,$A315)&amp;", ")),ISNUMBER(SEARCH(", "&amp;$B315&amp;", ", ", "&amp;INDEX('Form Responses'!$R$1:$R$200,2)&amp;", "))),1,""))</f>
        <v/>
      </c>
      <c r="E315">
        <f>IF(Wizards!$A$3="","",IF(OR(ISNUMBER(SEARCH(", "&amp;$B315&amp;", ", ", "&amp;INDEX('Form Responses'!$I$1:$Q$200,3,$A315)&amp;", ")),ISNUMBER(SEARCH(", "&amp;$B315&amp;", ", ", "&amp;INDEX('Form Responses'!$R$1:$R$200,3)&amp;", "))),1,""))</f>
        <v/>
      </c>
      <c r="F315">
        <f>IF(Wizards!$A$4="","",IF(OR(ISNUMBER(SEARCH(", "&amp;$B315&amp;", ", ", "&amp;INDEX('Form Responses'!$I$1:$Q$200,4,$A315)&amp;", ")),ISNUMBER(SEARCH(", "&amp;$B315&amp;", ", ", "&amp;INDEX('Form Responses'!$R$1:$R$200,4)&amp;", "))),1,""))</f>
        <v/>
      </c>
      <c r="G315">
        <f>IF(Wizards!$A$5="","",IF(OR(ISNUMBER(SEARCH(", "&amp;$B315&amp;", ", ", "&amp;INDEX('Form Responses'!$I$1:$Q$200,5,$A315)&amp;", ")),ISNUMBER(SEARCH(", "&amp;$B315&amp;", ", ", "&amp;INDEX('Form Responses'!$R$1:$R$200,5)&amp;", "))),1,""))</f>
        <v/>
      </c>
      <c r="H315">
        <f>IF(Wizards!$A$6="","",IF(OR(ISNUMBER(SEARCH(", "&amp;$B315&amp;", ", ", "&amp;INDEX('Form Responses'!$I$1:$Q$200,6,$A315)&amp;", ")),ISNUMBER(SEARCH(", "&amp;$B315&amp;", ", ", "&amp;INDEX('Form Responses'!$R$1:$R$200,6)&amp;", "))),1,""))</f>
        <v/>
      </c>
      <c r="I315">
        <f>IF(Wizards!$A$7="","",IF(OR(ISNUMBER(SEARCH(", "&amp;$B315&amp;", ", ", "&amp;INDEX('Form Responses'!$I$1:$Q$200,7,$A315)&amp;", ")),ISNUMBER(SEARCH(", "&amp;$B315&amp;", ", ", "&amp;INDEX('Form Responses'!$R$1:$R$200,7)&amp;", "))),1,""))</f>
        <v/>
      </c>
      <c r="J315">
        <f>IF(Wizards!$A$8="","",IF(OR(ISNUMBER(SEARCH(", "&amp;$B315&amp;", ", ", "&amp;INDEX('Form Responses'!$I$1:$Q$200,8,$A315)&amp;", ")),ISNUMBER(SEARCH(", "&amp;$B315&amp;", ", ", "&amp;INDEX('Form Responses'!$R$1:$R$200,8)&amp;", "))),1,""))</f>
        <v/>
      </c>
      <c r="K315">
        <f>IF(Wizards!$A$9="","",IF(OR(ISNUMBER(SEARCH(", "&amp;$B315&amp;", ", ", "&amp;INDEX('Form Responses'!$I$1:$Q$200,9,$A315)&amp;", ")),ISNUMBER(SEARCH(", "&amp;$B315&amp;", ", ", "&amp;INDEX('Form Responses'!$R$1:$R$200,9)&amp;", "))),1,""))</f>
        <v/>
      </c>
      <c r="L315">
        <f>IF(Wizards!$A$10="","",IF(OR(ISNUMBER(SEARCH(", "&amp;$B315&amp;", ", ", "&amp;INDEX('Form Responses'!$I$1:$Q$200,10,$A315)&amp;", ")),ISNUMBER(SEARCH(", "&amp;$B315&amp;", ", ", "&amp;INDEX('Form Responses'!$R$1:$R$200,10)&amp;", "))),1,""))</f>
        <v/>
      </c>
      <c r="M315">
        <f>IF(Wizards!$A$11="","",IF(OR(ISNUMBER(SEARCH(", "&amp;$B315&amp;", ", ", "&amp;INDEX('Form Responses'!$I$1:$Q$200,11,$A315)&amp;", ")),ISNUMBER(SEARCH(", "&amp;$B315&amp;", ", ", "&amp;INDEX('Form Responses'!$R$1:$R$200,11)&amp;", "))),1,""))</f>
        <v/>
      </c>
      <c r="N315">
        <f>IF(Wizards!$A$12="","",IF(OR(ISNUMBER(SEARCH(", "&amp;$B315&amp;", ", ", "&amp;INDEX('Form Responses'!$I$1:$Q$200,12,$A315)&amp;", ")),ISNUMBER(SEARCH(", "&amp;$B315&amp;", ", ", "&amp;INDEX('Form Responses'!$R$1:$R$200,12)&amp;", "))),1,""))</f>
        <v/>
      </c>
      <c r="O315">
        <f>IF(Wizards!$A$13="","",IF(OR(ISNUMBER(SEARCH(", "&amp;$B315&amp;", ", ", "&amp;INDEX('Form Responses'!$I$1:$Q$200,13,$A315)&amp;", ")),ISNUMBER(SEARCH(", "&amp;$B315&amp;", ", ", "&amp;INDEX('Form Responses'!$R$1:$R$200,13)&amp;", "))),1,""))</f>
        <v/>
      </c>
      <c r="P315">
        <f>IF(Wizards!$A$14="","",IF(OR(ISNUMBER(SEARCH(", "&amp;$B315&amp;", ", ", "&amp;INDEX('Form Responses'!$I$1:$Q$200,14,$A315)&amp;", ")),ISNUMBER(SEARCH(", "&amp;$B315&amp;", ", ", "&amp;INDEX('Form Responses'!$R$1:$R$200,14)&amp;", "))),1,""))</f>
        <v/>
      </c>
      <c r="Q315">
        <f>IF(Wizards!$A$15="","",IF(OR(ISNUMBER(SEARCH(", "&amp;$B315&amp;", ", ", "&amp;INDEX('Form Responses'!$I$1:$Q$200,15,$A315)&amp;", ")),ISNUMBER(SEARCH(", "&amp;$B315&amp;", ", ", "&amp;INDEX('Form Responses'!$R$1:$R$200,15)&amp;", "))),1,""))</f>
        <v/>
      </c>
      <c r="R315">
        <f>IF(Wizards!$A$16="","",IF(OR(ISNUMBER(SEARCH(", "&amp;$B315&amp;", ", ", "&amp;INDEX('Form Responses'!$I$1:$Q$200,16,$A315)&amp;", ")),ISNUMBER(SEARCH(", "&amp;$B315&amp;", ", ", "&amp;INDEX('Form Responses'!$R$1:$R$200,16)&amp;", "))),1,""))</f>
        <v/>
      </c>
      <c r="S315">
        <f>IF(Wizards!$A$17="","",IF(OR(ISNUMBER(SEARCH(", "&amp;$B315&amp;", ", ", "&amp;INDEX('Form Responses'!$I$1:$Q$200,17,$A315)&amp;", ")),ISNUMBER(SEARCH(", "&amp;$B315&amp;", ", ", "&amp;INDEX('Form Responses'!$R$1:$R$200,17)&amp;", "))),1,""))</f>
        <v/>
      </c>
      <c r="T315">
        <f>IF(Wizards!$A$18="","",IF(OR(ISNUMBER(SEARCH(", "&amp;$B315&amp;", ", ", "&amp;INDEX('Form Responses'!$I$1:$Q$200,18,$A315)&amp;", ")),ISNUMBER(SEARCH(", "&amp;$B315&amp;", ", ", "&amp;INDEX('Form Responses'!$R$1:$R$200,18)&amp;", "))),1,""))</f>
        <v/>
      </c>
      <c r="U315">
        <f>IF(Wizards!$A$19="","",IF(OR(ISNUMBER(SEARCH(", "&amp;$B315&amp;", ", ", "&amp;INDEX('Form Responses'!$I$1:$Q$200,19,$A315)&amp;", ")),ISNUMBER(SEARCH(", "&amp;$B315&amp;", ", ", "&amp;INDEX('Form Responses'!$R$1:$R$200,19)&amp;", "))),1,""))</f>
        <v/>
      </c>
      <c r="V315">
        <f>IF(Wizards!$A$20="","",IF(OR(ISNUMBER(SEARCH(", "&amp;$B315&amp;", ", ", "&amp;INDEX('Form Responses'!$I$1:$Q$200,20,$A315)&amp;", ")),ISNUMBER(SEARCH(", "&amp;$B315&amp;", ", ", "&amp;INDEX('Form Responses'!$R$1:$R$200,20)&amp;", "))),1,""))</f>
        <v/>
      </c>
      <c r="W315">
        <f>IF(Wizards!$A$21="","",IF(OR(ISNUMBER(SEARCH(", "&amp;$B315&amp;", ", ", "&amp;INDEX('Form Responses'!$I$1:$Q$200,21,$A315)&amp;", ")),ISNUMBER(SEARCH(", "&amp;$B315&amp;", ", ", "&amp;INDEX('Form Responses'!$R$1:$R$200,21)&amp;", "))),1,""))</f>
        <v/>
      </c>
      <c r="X315">
        <f>IF(Wizards!$A$22="","",IF(OR(ISNUMBER(SEARCH(", "&amp;$B315&amp;", ", ", "&amp;INDEX('Form Responses'!$I$1:$Q$200,22,$A315)&amp;", ")),ISNUMBER(SEARCH(", "&amp;$B315&amp;", ", ", "&amp;INDEX('Form Responses'!$R$1:$R$200,22)&amp;", "))),1,""))</f>
        <v/>
      </c>
      <c r="Y315">
        <f>IF(Wizards!$A$23="","",IF(OR(ISNUMBER(SEARCH(", "&amp;$B315&amp;", ", ", "&amp;INDEX('Form Responses'!$I$1:$Q$200,23,$A315)&amp;", ")),ISNUMBER(SEARCH(", "&amp;$B315&amp;", ", ", "&amp;INDEX('Form Responses'!$R$1:$R$200,23)&amp;", "))),1,""))</f>
        <v/>
      </c>
      <c r="Z315">
        <f>IF(Wizards!$A$24="","",IF(OR(ISNUMBER(SEARCH(", "&amp;$B315&amp;", ", ", "&amp;INDEX('Form Responses'!$I$1:$Q$200,24,$A315)&amp;", ")),ISNUMBER(SEARCH(", "&amp;$B315&amp;", ", ", "&amp;INDEX('Form Responses'!$R$1:$R$200,24)&amp;", "))),1,""))</f>
        <v/>
      </c>
      <c r="AA315">
        <f>IF(Wizards!$A$25="","",IF(OR(ISNUMBER(SEARCH(", "&amp;$B315&amp;", ", ", "&amp;INDEX('Form Responses'!$I$1:$Q$200,25,$A315)&amp;", ")),ISNUMBER(SEARCH(", "&amp;$B315&amp;", ", ", "&amp;INDEX('Form Responses'!$R$1:$R$200,25)&amp;", "))),1,""))</f>
        <v/>
      </c>
      <c r="AB315">
        <f>IF(D315=1,", "&amp;D$1,"")</f>
        <v/>
      </c>
      <c r="AC315">
        <f>IF(E315=1,", "&amp;E$1,"")</f>
        <v/>
      </c>
      <c r="AD315">
        <f>IF(F315=1,", "&amp;F$1,"")</f>
        <v/>
      </c>
      <c r="AE315">
        <f>IF(G315=1,", "&amp;G$1,"")</f>
        <v/>
      </c>
      <c r="AF315">
        <f>IF(H315=1,", "&amp;H$1,"")</f>
        <v/>
      </c>
      <c r="AG315">
        <f>IF(I315=1,", "&amp;I$1,"")</f>
        <v/>
      </c>
      <c r="AH315">
        <f>IF(J315=1,", "&amp;J$1,"")</f>
        <v/>
      </c>
      <c r="AI315">
        <f>IF(K315=1,", "&amp;K$1,"")</f>
        <v/>
      </c>
      <c r="AJ315">
        <f>IF(L315=1,", "&amp;L$1,"")</f>
        <v/>
      </c>
      <c r="AK315">
        <f>IF(M315=1,", "&amp;M$1,"")</f>
        <v/>
      </c>
      <c r="AL315">
        <f>IF(N315=1,", "&amp;N$1,"")</f>
        <v/>
      </c>
      <c r="AM315">
        <f>IF(O315=1,", "&amp;O$1,"")</f>
        <v/>
      </c>
      <c r="AN315">
        <f>IF(P315=1,", "&amp;P$1,"")</f>
        <v/>
      </c>
      <c r="AO315">
        <f>IF(Q315=1,", "&amp;Q$1,"")</f>
        <v/>
      </c>
      <c r="AP315">
        <f>IF(R315=1,", "&amp;R$1,"")</f>
        <v/>
      </c>
      <c r="AQ315">
        <f>IF(S315=1,", "&amp;S$1,"")</f>
        <v/>
      </c>
      <c r="AR315">
        <f>IF(T315=1,", "&amp;T$1,"")</f>
        <v/>
      </c>
      <c r="AS315">
        <f>IF(U315=1,", "&amp;U$1,"")</f>
        <v/>
      </c>
      <c r="AT315">
        <f>IF(V315=1,", "&amp;V$1,"")</f>
        <v/>
      </c>
      <c r="AU315">
        <f>IF(W315=1,", "&amp;W$1,"")</f>
        <v/>
      </c>
      <c r="AV315">
        <f>IF(X315=1,", "&amp;X$1,"")</f>
        <v/>
      </c>
      <c r="AW315">
        <f>IF(Y315=1,", "&amp;Y$1,"")</f>
        <v/>
      </c>
      <c r="AX315">
        <f>IF(Z315=1,", "&amp;Z$1,"")</f>
        <v/>
      </c>
      <c r="AY315">
        <f>IF(AA315=1,", "&amp;AA$1,"")</f>
        <v/>
      </c>
      <c r="AZ315">
        <f>MID($AB315&amp;$AC315&amp;$AD315&amp;$AE315&amp;$AF315&amp;$AG315&amp;$AH315&amp;$AI315&amp;$AJ315&amp;$AK315&amp;$AL315&amp;$AM315&amp;$AN315&amp;$AO315&amp;$AP315&amp;$AQ315&amp;$AR315&amp;$AS315&amp;$AT315&amp;$AU315&amp;$AV315&amp;$AW315&amp;$AX315&amp;$AY315,3,32767)</f>
        <v/>
      </c>
      <c r="BA315">
        <f>COUNT($D315:$AA315)</f>
        <v/>
      </c>
    </row>
    <row r="316">
      <c r="A316" t="n">
        <v>8</v>
      </c>
      <c r="B316" t="inlineStr">
        <is>
          <t>Demiplane</t>
        </is>
      </c>
      <c r="C316" t="inlineStr">
        <is>
          <t>Conjuration</t>
        </is>
      </c>
      <c r="D316">
        <f>IF(Wizards!$A$2="","",IF(OR(ISNUMBER(SEARCH(", "&amp;$B316&amp;", ", ", "&amp;INDEX('Form Responses'!$I$1:$Q$200,2,$A316)&amp;", ")),ISNUMBER(SEARCH(", "&amp;$B316&amp;", ", ", "&amp;INDEX('Form Responses'!$R$1:$R$200,2)&amp;", "))),1,""))</f>
        <v/>
      </c>
      <c r="E316">
        <f>IF(Wizards!$A$3="","",IF(OR(ISNUMBER(SEARCH(", "&amp;$B316&amp;", ", ", "&amp;INDEX('Form Responses'!$I$1:$Q$200,3,$A316)&amp;", ")),ISNUMBER(SEARCH(", "&amp;$B316&amp;", ", ", "&amp;INDEX('Form Responses'!$R$1:$R$200,3)&amp;", "))),1,""))</f>
        <v/>
      </c>
      <c r="F316">
        <f>IF(Wizards!$A$4="","",IF(OR(ISNUMBER(SEARCH(", "&amp;$B316&amp;", ", ", "&amp;INDEX('Form Responses'!$I$1:$Q$200,4,$A316)&amp;", ")),ISNUMBER(SEARCH(", "&amp;$B316&amp;", ", ", "&amp;INDEX('Form Responses'!$R$1:$R$200,4)&amp;", "))),1,""))</f>
        <v/>
      </c>
      <c r="G316">
        <f>IF(Wizards!$A$5="","",IF(OR(ISNUMBER(SEARCH(", "&amp;$B316&amp;", ", ", "&amp;INDEX('Form Responses'!$I$1:$Q$200,5,$A316)&amp;", ")),ISNUMBER(SEARCH(", "&amp;$B316&amp;", ", ", "&amp;INDEX('Form Responses'!$R$1:$R$200,5)&amp;", "))),1,""))</f>
        <v/>
      </c>
      <c r="H316">
        <f>IF(Wizards!$A$6="","",IF(OR(ISNUMBER(SEARCH(", "&amp;$B316&amp;", ", ", "&amp;INDEX('Form Responses'!$I$1:$Q$200,6,$A316)&amp;", ")),ISNUMBER(SEARCH(", "&amp;$B316&amp;", ", ", "&amp;INDEX('Form Responses'!$R$1:$R$200,6)&amp;", "))),1,""))</f>
        <v/>
      </c>
      <c r="I316">
        <f>IF(Wizards!$A$7="","",IF(OR(ISNUMBER(SEARCH(", "&amp;$B316&amp;", ", ", "&amp;INDEX('Form Responses'!$I$1:$Q$200,7,$A316)&amp;", ")),ISNUMBER(SEARCH(", "&amp;$B316&amp;", ", ", "&amp;INDEX('Form Responses'!$R$1:$R$200,7)&amp;", "))),1,""))</f>
        <v/>
      </c>
      <c r="J316">
        <f>IF(Wizards!$A$8="","",IF(OR(ISNUMBER(SEARCH(", "&amp;$B316&amp;", ", ", "&amp;INDEX('Form Responses'!$I$1:$Q$200,8,$A316)&amp;", ")),ISNUMBER(SEARCH(", "&amp;$B316&amp;", ", ", "&amp;INDEX('Form Responses'!$R$1:$R$200,8)&amp;", "))),1,""))</f>
        <v/>
      </c>
      <c r="K316">
        <f>IF(Wizards!$A$9="","",IF(OR(ISNUMBER(SEARCH(", "&amp;$B316&amp;", ", ", "&amp;INDEX('Form Responses'!$I$1:$Q$200,9,$A316)&amp;", ")),ISNUMBER(SEARCH(", "&amp;$B316&amp;", ", ", "&amp;INDEX('Form Responses'!$R$1:$R$200,9)&amp;", "))),1,""))</f>
        <v/>
      </c>
      <c r="L316">
        <f>IF(Wizards!$A$10="","",IF(OR(ISNUMBER(SEARCH(", "&amp;$B316&amp;", ", ", "&amp;INDEX('Form Responses'!$I$1:$Q$200,10,$A316)&amp;", ")),ISNUMBER(SEARCH(", "&amp;$B316&amp;", ", ", "&amp;INDEX('Form Responses'!$R$1:$R$200,10)&amp;", "))),1,""))</f>
        <v/>
      </c>
      <c r="M316">
        <f>IF(Wizards!$A$11="","",IF(OR(ISNUMBER(SEARCH(", "&amp;$B316&amp;", ", ", "&amp;INDEX('Form Responses'!$I$1:$Q$200,11,$A316)&amp;", ")),ISNUMBER(SEARCH(", "&amp;$B316&amp;", ", ", "&amp;INDEX('Form Responses'!$R$1:$R$200,11)&amp;", "))),1,""))</f>
        <v/>
      </c>
      <c r="N316">
        <f>IF(Wizards!$A$12="","",IF(OR(ISNUMBER(SEARCH(", "&amp;$B316&amp;", ", ", "&amp;INDEX('Form Responses'!$I$1:$Q$200,12,$A316)&amp;", ")),ISNUMBER(SEARCH(", "&amp;$B316&amp;", ", ", "&amp;INDEX('Form Responses'!$R$1:$R$200,12)&amp;", "))),1,""))</f>
        <v/>
      </c>
      <c r="O316">
        <f>IF(Wizards!$A$13="","",IF(OR(ISNUMBER(SEARCH(", "&amp;$B316&amp;", ", ", "&amp;INDEX('Form Responses'!$I$1:$Q$200,13,$A316)&amp;", ")),ISNUMBER(SEARCH(", "&amp;$B316&amp;", ", ", "&amp;INDEX('Form Responses'!$R$1:$R$200,13)&amp;", "))),1,""))</f>
        <v/>
      </c>
      <c r="P316">
        <f>IF(Wizards!$A$14="","",IF(OR(ISNUMBER(SEARCH(", "&amp;$B316&amp;", ", ", "&amp;INDEX('Form Responses'!$I$1:$Q$200,14,$A316)&amp;", ")),ISNUMBER(SEARCH(", "&amp;$B316&amp;", ", ", "&amp;INDEX('Form Responses'!$R$1:$R$200,14)&amp;", "))),1,""))</f>
        <v/>
      </c>
      <c r="Q316">
        <f>IF(Wizards!$A$15="","",IF(OR(ISNUMBER(SEARCH(", "&amp;$B316&amp;", ", ", "&amp;INDEX('Form Responses'!$I$1:$Q$200,15,$A316)&amp;", ")),ISNUMBER(SEARCH(", "&amp;$B316&amp;", ", ", "&amp;INDEX('Form Responses'!$R$1:$R$200,15)&amp;", "))),1,""))</f>
        <v/>
      </c>
      <c r="R316">
        <f>IF(Wizards!$A$16="","",IF(OR(ISNUMBER(SEARCH(", "&amp;$B316&amp;", ", ", "&amp;INDEX('Form Responses'!$I$1:$Q$200,16,$A316)&amp;", ")),ISNUMBER(SEARCH(", "&amp;$B316&amp;", ", ", "&amp;INDEX('Form Responses'!$R$1:$R$200,16)&amp;", "))),1,""))</f>
        <v/>
      </c>
      <c r="S316">
        <f>IF(Wizards!$A$17="","",IF(OR(ISNUMBER(SEARCH(", "&amp;$B316&amp;", ", ", "&amp;INDEX('Form Responses'!$I$1:$Q$200,17,$A316)&amp;", ")),ISNUMBER(SEARCH(", "&amp;$B316&amp;", ", ", "&amp;INDEX('Form Responses'!$R$1:$R$200,17)&amp;", "))),1,""))</f>
        <v/>
      </c>
      <c r="T316">
        <f>IF(Wizards!$A$18="","",IF(OR(ISNUMBER(SEARCH(", "&amp;$B316&amp;", ", ", "&amp;INDEX('Form Responses'!$I$1:$Q$200,18,$A316)&amp;", ")),ISNUMBER(SEARCH(", "&amp;$B316&amp;", ", ", "&amp;INDEX('Form Responses'!$R$1:$R$200,18)&amp;", "))),1,""))</f>
        <v/>
      </c>
      <c r="U316">
        <f>IF(Wizards!$A$19="","",IF(OR(ISNUMBER(SEARCH(", "&amp;$B316&amp;", ", ", "&amp;INDEX('Form Responses'!$I$1:$Q$200,19,$A316)&amp;", ")),ISNUMBER(SEARCH(", "&amp;$B316&amp;", ", ", "&amp;INDEX('Form Responses'!$R$1:$R$200,19)&amp;", "))),1,""))</f>
        <v/>
      </c>
      <c r="V316">
        <f>IF(Wizards!$A$20="","",IF(OR(ISNUMBER(SEARCH(", "&amp;$B316&amp;", ", ", "&amp;INDEX('Form Responses'!$I$1:$Q$200,20,$A316)&amp;", ")),ISNUMBER(SEARCH(", "&amp;$B316&amp;", ", ", "&amp;INDEX('Form Responses'!$R$1:$R$200,20)&amp;", "))),1,""))</f>
        <v/>
      </c>
      <c r="W316">
        <f>IF(Wizards!$A$21="","",IF(OR(ISNUMBER(SEARCH(", "&amp;$B316&amp;", ", ", "&amp;INDEX('Form Responses'!$I$1:$Q$200,21,$A316)&amp;", ")),ISNUMBER(SEARCH(", "&amp;$B316&amp;", ", ", "&amp;INDEX('Form Responses'!$R$1:$R$200,21)&amp;", "))),1,""))</f>
        <v/>
      </c>
      <c r="X316">
        <f>IF(Wizards!$A$22="","",IF(OR(ISNUMBER(SEARCH(", "&amp;$B316&amp;", ", ", "&amp;INDEX('Form Responses'!$I$1:$Q$200,22,$A316)&amp;", ")),ISNUMBER(SEARCH(", "&amp;$B316&amp;", ", ", "&amp;INDEX('Form Responses'!$R$1:$R$200,22)&amp;", "))),1,""))</f>
        <v/>
      </c>
      <c r="Y316">
        <f>IF(Wizards!$A$23="","",IF(OR(ISNUMBER(SEARCH(", "&amp;$B316&amp;", ", ", "&amp;INDEX('Form Responses'!$I$1:$Q$200,23,$A316)&amp;", ")),ISNUMBER(SEARCH(", "&amp;$B316&amp;", ", ", "&amp;INDEX('Form Responses'!$R$1:$R$200,23)&amp;", "))),1,""))</f>
        <v/>
      </c>
      <c r="Z316">
        <f>IF(Wizards!$A$24="","",IF(OR(ISNUMBER(SEARCH(", "&amp;$B316&amp;", ", ", "&amp;INDEX('Form Responses'!$I$1:$Q$200,24,$A316)&amp;", ")),ISNUMBER(SEARCH(", "&amp;$B316&amp;", ", ", "&amp;INDEX('Form Responses'!$R$1:$R$200,24)&amp;", "))),1,""))</f>
        <v/>
      </c>
      <c r="AA316">
        <f>IF(Wizards!$A$25="","",IF(OR(ISNUMBER(SEARCH(", "&amp;$B316&amp;", ", ", "&amp;INDEX('Form Responses'!$I$1:$Q$200,25,$A316)&amp;", ")),ISNUMBER(SEARCH(", "&amp;$B316&amp;", ", ", "&amp;INDEX('Form Responses'!$R$1:$R$200,25)&amp;", "))),1,""))</f>
        <v/>
      </c>
      <c r="AB316">
        <f>IF(D316=1,", "&amp;D$1,"")</f>
        <v/>
      </c>
      <c r="AC316">
        <f>IF(E316=1,", "&amp;E$1,"")</f>
        <v/>
      </c>
      <c r="AD316">
        <f>IF(F316=1,", "&amp;F$1,"")</f>
        <v/>
      </c>
      <c r="AE316">
        <f>IF(G316=1,", "&amp;G$1,"")</f>
        <v/>
      </c>
      <c r="AF316">
        <f>IF(H316=1,", "&amp;H$1,"")</f>
        <v/>
      </c>
      <c r="AG316">
        <f>IF(I316=1,", "&amp;I$1,"")</f>
        <v/>
      </c>
      <c r="AH316">
        <f>IF(J316=1,", "&amp;J$1,"")</f>
        <v/>
      </c>
      <c r="AI316">
        <f>IF(K316=1,", "&amp;K$1,"")</f>
        <v/>
      </c>
      <c r="AJ316">
        <f>IF(L316=1,", "&amp;L$1,"")</f>
        <v/>
      </c>
      <c r="AK316">
        <f>IF(M316=1,", "&amp;M$1,"")</f>
        <v/>
      </c>
      <c r="AL316">
        <f>IF(N316=1,", "&amp;N$1,"")</f>
        <v/>
      </c>
      <c r="AM316">
        <f>IF(O316=1,", "&amp;O$1,"")</f>
        <v/>
      </c>
      <c r="AN316">
        <f>IF(P316=1,", "&amp;P$1,"")</f>
        <v/>
      </c>
      <c r="AO316">
        <f>IF(Q316=1,", "&amp;Q$1,"")</f>
        <v/>
      </c>
      <c r="AP316">
        <f>IF(R316=1,", "&amp;R$1,"")</f>
        <v/>
      </c>
      <c r="AQ316">
        <f>IF(S316=1,", "&amp;S$1,"")</f>
        <v/>
      </c>
      <c r="AR316">
        <f>IF(T316=1,", "&amp;T$1,"")</f>
        <v/>
      </c>
      <c r="AS316">
        <f>IF(U316=1,", "&amp;U$1,"")</f>
        <v/>
      </c>
      <c r="AT316">
        <f>IF(V316=1,", "&amp;V$1,"")</f>
        <v/>
      </c>
      <c r="AU316">
        <f>IF(W316=1,", "&amp;W$1,"")</f>
        <v/>
      </c>
      <c r="AV316">
        <f>IF(X316=1,", "&amp;X$1,"")</f>
        <v/>
      </c>
      <c r="AW316">
        <f>IF(Y316=1,", "&amp;Y$1,"")</f>
        <v/>
      </c>
      <c r="AX316">
        <f>IF(Z316=1,", "&amp;Z$1,"")</f>
        <v/>
      </c>
      <c r="AY316">
        <f>IF(AA316=1,", "&amp;AA$1,"")</f>
        <v/>
      </c>
      <c r="AZ316">
        <f>MID($AB316&amp;$AC316&amp;$AD316&amp;$AE316&amp;$AF316&amp;$AG316&amp;$AH316&amp;$AI316&amp;$AJ316&amp;$AK316&amp;$AL316&amp;$AM316&amp;$AN316&amp;$AO316&amp;$AP316&amp;$AQ316&amp;$AR316&amp;$AS316&amp;$AT316&amp;$AU316&amp;$AV316&amp;$AW316&amp;$AX316&amp;$AY316,3,32767)</f>
        <v/>
      </c>
      <c r="BA316">
        <f>COUNT($D316:$AA316)</f>
        <v/>
      </c>
    </row>
    <row r="317">
      <c r="A317" t="n">
        <v>8</v>
      </c>
      <c r="B317" t="inlineStr">
        <is>
          <t>Dominate Monster</t>
        </is>
      </c>
      <c r="C317" t="inlineStr">
        <is>
          <t>Enchantment</t>
        </is>
      </c>
      <c r="D317">
        <f>IF(Wizards!$A$2="","",IF(OR(ISNUMBER(SEARCH(", "&amp;$B317&amp;", ", ", "&amp;INDEX('Form Responses'!$I$1:$Q$200,2,$A317)&amp;", ")),ISNUMBER(SEARCH(", "&amp;$B317&amp;", ", ", "&amp;INDEX('Form Responses'!$R$1:$R$200,2)&amp;", "))),1,""))</f>
        <v/>
      </c>
      <c r="E317">
        <f>IF(Wizards!$A$3="","",IF(OR(ISNUMBER(SEARCH(", "&amp;$B317&amp;", ", ", "&amp;INDEX('Form Responses'!$I$1:$Q$200,3,$A317)&amp;", ")),ISNUMBER(SEARCH(", "&amp;$B317&amp;", ", ", "&amp;INDEX('Form Responses'!$R$1:$R$200,3)&amp;", "))),1,""))</f>
        <v/>
      </c>
      <c r="F317">
        <f>IF(Wizards!$A$4="","",IF(OR(ISNUMBER(SEARCH(", "&amp;$B317&amp;", ", ", "&amp;INDEX('Form Responses'!$I$1:$Q$200,4,$A317)&amp;", ")),ISNUMBER(SEARCH(", "&amp;$B317&amp;", ", ", "&amp;INDEX('Form Responses'!$R$1:$R$200,4)&amp;", "))),1,""))</f>
        <v/>
      </c>
      <c r="G317">
        <f>IF(Wizards!$A$5="","",IF(OR(ISNUMBER(SEARCH(", "&amp;$B317&amp;", ", ", "&amp;INDEX('Form Responses'!$I$1:$Q$200,5,$A317)&amp;", ")),ISNUMBER(SEARCH(", "&amp;$B317&amp;", ", ", "&amp;INDEX('Form Responses'!$R$1:$R$200,5)&amp;", "))),1,""))</f>
        <v/>
      </c>
      <c r="H317">
        <f>IF(Wizards!$A$6="","",IF(OR(ISNUMBER(SEARCH(", "&amp;$B317&amp;", ", ", "&amp;INDEX('Form Responses'!$I$1:$Q$200,6,$A317)&amp;", ")),ISNUMBER(SEARCH(", "&amp;$B317&amp;", ", ", "&amp;INDEX('Form Responses'!$R$1:$R$200,6)&amp;", "))),1,""))</f>
        <v/>
      </c>
      <c r="I317">
        <f>IF(Wizards!$A$7="","",IF(OR(ISNUMBER(SEARCH(", "&amp;$B317&amp;", ", ", "&amp;INDEX('Form Responses'!$I$1:$Q$200,7,$A317)&amp;", ")),ISNUMBER(SEARCH(", "&amp;$B317&amp;", ", ", "&amp;INDEX('Form Responses'!$R$1:$R$200,7)&amp;", "))),1,""))</f>
        <v/>
      </c>
      <c r="J317">
        <f>IF(Wizards!$A$8="","",IF(OR(ISNUMBER(SEARCH(", "&amp;$B317&amp;", ", ", "&amp;INDEX('Form Responses'!$I$1:$Q$200,8,$A317)&amp;", ")),ISNUMBER(SEARCH(", "&amp;$B317&amp;", ", ", "&amp;INDEX('Form Responses'!$R$1:$R$200,8)&amp;", "))),1,""))</f>
        <v/>
      </c>
      <c r="K317">
        <f>IF(Wizards!$A$9="","",IF(OR(ISNUMBER(SEARCH(", "&amp;$B317&amp;", ", ", "&amp;INDEX('Form Responses'!$I$1:$Q$200,9,$A317)&amp;", ")),ISNUMBER(SEARCH(", "&amp;$B317&amp;", ", ", "&amp;INDEX('Form Responses'!$R$1:$R$200,9)&amp;", "))),1,""))</f>
        <v/>
      </c>
      <c r="L317">
        <f>IF(Wizards!$A$10="","",IF(OR(ISNUMBER(SEARCH(", "&amp;$B317&amp;", ", ", "&amp;INDEX('Form Responses'!$I$1:$Q$200,10,$A317)&amp;", ")),ISNUMBER(SEARCH(", "&amp;$B317&amp;", ", ", "&amp;INDEX('Form Responses'!$R$1:$R$200,10)&amp;", "))),1,""))</f>
        <v/>
      </c>
      <c r="M317">
        <f>IF(Wizards!$A$11="","",IF(OR(ISNUMBER(SEARCH(", "&amp;$B317&amp;", ", ", "&amp;INDEX('Form Responses'!$I$1:$Q$200,11,$A317)&amp;", ")),ISNUMBER(SEARCH(", "&amp;$B317&amp;", ", ", "&amp;INDEX('Form Responses'!$R$1:$R$200,11)&amp;", "))),1,""))</f>
        <v/>
      </c>
      <c r="N317">
        <f>IF(Wizards!$A$12="","",IF(OR(ISNUMBER(SEARCH(", "&amp;$B317&amp;", ", ", "&amp;INDEX('Form Responses'!$I$1:$Q$200,12,$A317)&amp;", ")),ISNUMBER(SEARCH(", "&amp;$B317&amp;", ", ", "&amp;INDEX('Form Responses'!$R$1:$R$200,12)&amp;", "))),1,""))</f>
        <v/>
      </c>
      <c r="O317">
        <f>IF(Wizards!$A$13="","",IF(OR(ISNUMBER(SEARCH(", "&amp;$B317&amp;", ", ", "&amp;INDEX('Form Responses'!$I$1:$Q$200,13,$A317)&amp;", ")),ISNUMBER(SEARCH(", "&amp;$B317&amp;", ", ", "&amp;INDEX('Form Responses'!$R$1:$R$200,13)&amp;", "))),1,""))</f>
        <v/>
      </c>
      <c r="P317">
        <f>IF(Wizards!$A$14="","",IF(OR(ISNUMBER(SEARCH(", "&amp;$B317&amp;", ", ", "&amp;INDEX('Form Responses'!$I$1:$Q$200,14,$A317)&amp;", ")),ISNUMBER(SEARCH(", "&amp;$B317&amp;", ", ", "&amp;INDEX('Form Responses'!$R$1:$R$200,14)&amp;", "))),1,""))</f>
        <v/>
      </c>
      <c r="Q317">
        <f>IF(Wizards!$A$15="","",IF(OR(ISNUMBER(SEARCH(", "&amp;$B317&amp;", ", ", "&amp;INDEX('Form Responses'!$I$1:$Q$200,15,$A317)&amp;", ")),ISNUMBER(SEARCH(", "&amp;$B317&amp;", ", ", "&amp;INDEX('Form Responses'!$R$1:$R$200,15)&amp;", "))),1,""))</f>
        <v/>
      </c>
      <c r="R317">
        <f>IF(Wizards!$A$16="","",IF(OR(ISNUMBER(SEARCH(", "&amp;$B317&amp;", ", ", "&amp;INDEX('Form Responses'!$I$1:$Q$200,16,$A317)&amp;", ")),ISNUMBER(SEARCH(", "&amp;$B317&amp;", ", ", "&amp;INDEX('Form Responses'!$R$1:$R$200,16)&amp;", "))),1,""))</f>
        <v/>
      </c>
      <c r="S317">
        <f>IF(Wizards!$A$17="","",IF(OR(ISNUMBER(SEARCH(", "&amp;$B317&amp;", ", ", "&amp;INDEX('Form Responses'!$I$1:$Q$200,17,$A317)&amp;", ")),ISNUMBER(SEARCH(", "&amp;$B317&amp;", ", ", "&amp;INDEX('Form Responses'!$R$1:$R$200,17)&amp;", "))),1,""))</f>
        <v/>
      </c>
      <c r="T317">
        <f>IF(Wizards!$A$18="","",IF(OR(ISNUMBER(SEARCH(", "&amp;$B317&amp;", ", ", "&amp;INDEX('Form Responses'!$I$1:$Q$200,18,$A317)&amp;", ")),ISNUMBER(SEARCH(", "&amp;$B317&amp;", ", ", "&amp;INDEX('Form Responses'!$R$1:$R$200,18)&amp;", "))),1,""))</f>
        <v/>
      </c>
      <c r="U317">
        <f>IF(Wizards!$A$19="","",IF(OR(ISNUMBER(SEARCH(", "&amp;$B317&amp;", ", ", "&amp;INDEX('Form Responses'!$I$1:$Q$200,19,$A317)&amp;", ")),ISNUMBER(SEARCH(", "&amp;$B317&amp;", ", ", "&amp;INDEX('Form Responses'!$R$1:$R$200,19)&amp;", "))),1,""))</f>
        <v/>
      </c>
      <c r="V317">
        <f>IF(Wizards!$A$20="","",IF(OR(ISNUMBER(SEARCH(", "&amp;$B317&amp;", ", ", "&amp;INDEX('Form Responses'!$I$1:$Q$200,20,$A317)&amp;", ")),ISNUMBER(SEARCH(", "&amp;$B317&amp;", ", ", "&amp;INDEX('Form Responses'!$R$1:$R$200,20)&amp;", "))),1,""))</f>
        <v/>
      </c>
      <c r="W317">
        <f>IF(Wizards!$A$21="","",IF(OR(ISNUMBER(SEARCH(", "&amp;$B317&amp;", ", ", "&amp;INDEX('Form Responses'!$I$1:$Q$200,21,$A317)&amp;", ")),ISNUMBER(SEARCH(", "&amp;$B317&amp;", ", ", "&amp;INDEX('Form Responses'!$R$1:$R$200,21)&amp;", "))),1,""))</f>
        <v/>
      </c>
      <c r="X317">
        <f>IF(Wizards!$A$22="","",IF(OR(ISNUMBER(SEARCH(", "&amp;$B317&amp;", ", ", "&amp;INDEX('Form Responses'!$I$1:$Q$200,22,$A317)&amp;", ")),ISNUMBER(SEARCH(", "&amp;$B317&amp;", ", ", "&amp;INDEX('Form Responses'!$R$1:$R$200,22)&amp;", "))),1,""))</f>
        <v/>
      </c>
      <c r="Y317">
        <f>IF(Wizards!$A$23="","",IF(OR(ISNUMBER(SEARCH(", "&amp;$B317&amp;", ", ", "&amp;INDEX('Form Responses'!$I$1:$Q$200,23,$A317)&amp;", ")),ISNUMBER(SEARCH(", "&amp;$B317&amp;", ", ", "&amp;INDEX('Form Responses'!$R$1:$R$200,23)&amp;", "))),1,""))</f>
        <v/>
      </c>
      <c r="Z317">
        <f>IF(Wizards!$A$24="","",IF(OR(ISNUMBER(SEARCH(", "&amp;$B317&amp;", ", ", "&amp;INDEX('Form Responses'!$I$1:$Q$200,24,$A317)&amp;", ")),ISNUMBER(SEARCH(", "&amp;$B317&amp;", ", ", "&amp;INDEX('Form Responses'!$R$1:$R$200,24)&amp;", "))),1,""))</f>
        <v/>
      </c>
      <c r="AA317">
        <f>IF(Wizards!$A$25="","",IF(OR(ISNUMBER(SEARCH(", "&amp;$B317&amp;", ", ", "&amp;INDEX('Form Responses'!$I$1:$Q$200,25,$A317)&amp;", ")),ISNUMBER(SEARCH(", "&amp;$B317&amp;", ", ", "&amp;INDEX('Form Responses'!$R$1:$R$200,25)&amp;", "))),1,""))</f>
        <v/>
      </c>
      <c r="AB317">
        <f>IF(D317=1,", "&amp;D$1,"")</f>
        <v/>
      </c>
      <c r="AC317">
        <f>IF(E317=1,", "&amp;E$1,"")</f>
        <v/>
      </c>
      <c r="AD317">
        <f>IF(F317=1,", "&amp;F$1,"")</f>
        <v/>
      </c>
      <c r="AE317">
        <f>IF(G317=1,", "&amp;G$1,"")</f>
        <v/>
      </c>
      <c r="AF317">
        <f>IF(H317=1,", "&amp;H$1,"")</f>
        <v/>
      </c>
      <c r="AG317">
        <f>IF(I317=1,", "&amp;I$1,"")</f>
        <v/>
      </c>
      <c r="AH317">
        <f>IF(J317=1,", "&amp;J$1,"")</f>
        <v/>
      </c>
      <c r="AI317">
        <f>IF(K317=1,", "&amp;K$1,"")</f>
        <v/>
      </c>
      <c r="AJ317">
        <f>IF(L317=1,", "&amp;L$1,"")</f>
        <v/>
      </c>
      <c r="AK317">
        <f>IF(M317=1,", "&amp;M$1,"")</f>
        <v/>
      </c>
      <c r="AL317">
        <f>IF(N317=1,", "&amp;N$1,"")</f>
        <v/>
      </c>
      <c r="AM317">
        <f>IF(O317=1,", "&amp;O$1,"")</f>
        <v/>
      </c>
      <c r="AN317">
        <f>IF(P317=1,", "&amp;P$1,"")</f>
        <v/>
      </c>
      <c r="AO317">
        <f>IF(Q317=1,", "&amp;Q$1,"")</f>
        <v/>
      </c>
      <c r="AP317">
        <f>IF(R317=1,", "&amp;R$1,"")</f>
        <v/>
      </c>
      <c r="AQ317">
        <f>IF(S317=1,", "&amp;S$1,"")</f>
        <v/>
      </c>
      <c r="AR317">
        <f>IF(T317=1,", "&amp;T$1,"")</f>
        <v/>
      </c>
      <c r="AS317">
        <f>IF(U317=1,", "&amp;U$1,"")</f>
        <v/>
      </c>
      <c r="AT317">
        <f>IF(V317=1,", "&amp;V$1,"")</f>
        <v/>
      </c>
      <c r="AU317">
        <f>IF(W317=1,", "&amp;W$1,"")</f>
        <v/>
      </c>
      <c r="AV317">
        <f>IF(X317=1,", "&amp;X$1,"")</f>
        <v/>
      </c>
      <c r="AW317">
        <f>IF(Y317=1,", "&amp;Y$1,"")</f>
        <v/>
      </c>
      <c r="AX317">
        <f>IF(Z317=1,", "&amp;Z$1,"")</f>
        <v/>
      </c>
      <c r="AY317">
        <f>IF(AA317=1,", "&amp;AA$1,"")</f>
        <v/>
      </c>
      <c r="AZ317">
        <f>MID($AB317&amp;$AC317&amp;$AD317&amp;$AE317&amp;$AF317&amp;$AG317&amp;$AH317&amp;$AI317&amp;$AJ317&amp;$AK317&amp;$AL317&amp;$AM317&amp;$AN317&amp;$AO317&amp;$AP317&amp;$AQ317&amp;$AR317&amp;$AS317&amp;$AT317&amp;$AU317&amp;$AV317&amp;$AW317&amp;$AX317&amp;$AY317,3,32767)</f>
        <v/>
      </c>
      <c r="BA317">
        <f>COUNT($D317:$AA317)</f>
        <v/>
      </c>
    </row>
    <row r="318">
      <c r="A318" t="n">
        <v>8</v>
      </c>
      <c r="B318" t="inlineStr">
        <is>
          <t>Entrancing Mirrors</t>
        </is>
      </c>
      <c r="C318" t="inlineStr">
        <is>
          <t>Illusion</t>
        </is>
      </c>
      <c r="D318">
        <f>IF(Wizards!$A$2="","",IF(OR(ISNUMBER(SEARCH(", "&amp;$B318&amp;", ", ", "&amp;INDEX('Form Responses'!$I$1:$Q$200,2,$A318)&amp;", ")),ISNUMBER(SEARCH(", "&amp;$B318&amp;", ", ", "&amp;INDEX('Form Responses'!$R$1:$R$200,2)&amp;", "))),1,""))</f>
        <v/>
      </c>
      <c r="E318">
        <f>IF(Wizards!$A$3="","",IF(OR(ISNUMBER(SEARCH(", "&amp;$B318&amp;", ", ", "&amp;INDEX('Form Responses'!$I$1:$Q$200,3,$A318)&amp;", ")),ISNUMBER(SEARCH(", "&amp;$B318&amp;", ", ", "&amp;INDEX('Form Responses'!$R$1:$R$200,3)&amp;", "))),1,""))</f>
        <v/>
      </c>
      <c r="F318">
        <f>IF(Wizards!$A$4="","",IF(OR(ISNUMBER(SEARCH(", "&amp;$B318&amp;", ", ", "&amp;INDEX('Form Responses'!$I$1:$Q$200,4,$A318)&amp;", ")),ISNUMBER(SEARCH(", "&amp;$B318&amp;", ", ", "&amp;INDEX('Form Responses'!$R$1:$R$200,4)&amp;", "))),1,""))</f>
        <v/>
      </c>
      <c r="G318">
        <f>IF(Wizards!$A$5="","",IF(OR(ISNUMBER(SEARCH(", "&amp;$B318&amp;", ", ", "&amp;INDEX('Form Responses'!$I$1:$Q$200,5,$A318)&amp;", ")),ISNUMBER(SEARCH(", "&amp;$B318&amp;", ", ", "&amp;INDEX('Form Responses'!$R$1:$R$200,5)&amp;", "))),1,""))</f>
        <v/>
      </c>
      <c r="H318">
        <f>IF(Wizards!$A$6="","",IF(OR(ISNUMBER(SEARCH(", "&amp;$B318&amp;", ", ", "&amp;INDEX('Form Responses'!$I$1:$Q$200,6,$A318)&amp;", ")),ISNUMBER(SEARCH(", "&amp;$B318&amp;", ", ", "&amp;INDEX('Form Responses'!$R$1:$R$200,6)&amp;", "))),1,""))</f>
        <v/>
      </c>
      <c r="I318">
        <f>IF(Wizards!$A$7="","",IF(OR(ISNUMBER(SEARCH(", "&amp;$B318&amp;", ", ", "&amp;INDEX('Form Responses'!$I$1:$Q$200,7,$A318)&amp;", ")),ISNUMBER(SEARCH(", "&amp;$B318&amp;", ", ", "&amp;INDEX('Form Responses'!$R$1:$R$200,7)&amp;", "))),1,""))</f>
        <v/>
      </c>
      <c r="J318">
        <f>IF(Wizards!$A$8="","",IF(OR(ISNUMBER(SEARCH(", "&amp;$B318&amp;", ", ", "&amp;INDEX('Form Responses'!$I$1:$Q$200,8,$A318)&amp;", ")),ISNUMBER(SEARCH(", "&amp;$B318&amp;", ", ", "&amp;INDEX('Form Responses'!$R$1:$R$200,8)&amp;", "))),1,""))</f>
        <v/>
      </c>
      <c r="K318">
        <f>IF(Wizards!$A$9="","",IF(OR(ISNUMBER(SEARCH(", "&amp;$B318&amp;", ", ", "&amp;INDEX('Form Responses'!$I$1:$Q$200,9,$A318)&amp;", ")),ISNUMBER(SEARCH(", "&amp;$B318&amp;", ", ", "&amp;INDEX('Form Responses'!$R$1:$R$200,9)&amp;", "))),1,""))</f>
        <v/>
      </c>
      <c r="L318">
        <f>IF(Wizards!$A$10="","",IF(OR(ISNUMBER(SEARCH(", "&amp;$B318&amp;", ", ", "&amp;INDEX('Form Responses'!$I$1:$Q$200,10,$A318)&amp;", ")),ISNUMBER(SEARCH(", "&amp;$B318&amp;", ", ", "&amp;INDEX('Form Responses'!$R$1:$R$200,10)&amp;", "))),1,""))</f>
        <v/>
      </c>
      <c r="M318">
        <f>IF(Wizards!$A$11="","",IF(OR(ISNUMBER(SEARCH(", "&amp;$B318&amp;", ", ", "&amp;INDEX('Form Responses'!$I$1:$Q$200,11,$A318)&amp;", ")),ISNUMBER(SEARCH(", "&amp;$B318&amp;", ", ", "&amp;INDEX('Form Responses'!$R$1:$R$200,11)&amp;", "))),1,""))</f>
        <v/>
      </c>
      <c r="N318">
        <f>IF(Wizards!$A$12="","",IF(OR(ISNUMBER(SEARCH(", "&amp;$B318&amp;", ", ", "&amp;INDEX('Form Responses'!$I$1:$Q$200,12,$A318)&amp;", ")),ISNUMBER(SEARCH(", "&amp;$B318&amp;", ", ", "&amp;INDEX('Form Responses'!$R$1:$R$200,12)&amp;", "))),1,""))</f>
        <v/>
      </c>
      <c r="O318">
        <f>IF(Wizards!$A$13="","",IF(OR(ISNUMBER(SEARCH(", "&amp;$B318&amp;", ", ", "&amp;INDEX('Form Responses'!$I$1:$Q$200,13,$A318)&amp;", ")),ISNUMBER(SEARCH(", "&amp;$B318&amp;", ", ", "&amp;INDEX('Form Responses'!$R$1:$R$200,13)&amp;", "))),1,""))</f>
        <v/>
      </c>
      <c r="P318">
        <f>IF(Wizards!$A$14="","",IF(OR(ISNUMBER(SEARCH(", "&amp;$B318&amp;", ", ", "&amp;INDEX('Form Responses'!$I$1:$Q$200,14,$A318)&amp;", ")),ISNUMBER(SEARCH(", "&amp;$B318&amp;", ", ", "&amp;INDEX('Form Responses'!$R$1:$R$200,14)&amp;", "))),1,""))</f>
        <v/>
      </c>
      <c r="Q318">
        <f>IF(Wizards!$A$15="","",IF(OR(ISNUMBER(SEARCH(", "&amp;$B318&amp;", ", ", "&amp;INDEX('Form Responses'!$I$1:$Q$200,15,$A318)&amp;", ")),ISNUMBER(SEARCH(", "&amp;$B318&amp;", ", ", "&amp;INDEX('Form Responses'!$R$1:$R$200,15)&amp;", "))),1,""))</f>
        <v/>
      </c>
      <c r="R318">
        <f>IF(Wizards!$A$16="","",IF(OR(ISNUMBER(SEARCH(", "&amp;$B318&amp;", ", ", "&amp;INDEX('Form Responses'!$I$1:$Q$200,16,$A318)&amp;", ")),ISNUMBER(SEARCH(", "&amp;$B318&amp;", ", ", "&amp;INDEX('Form Responses'!$R$1:$R$200,16)&amp;", "))),1,""))</f>
        <v/>
      </c>
      <c r="S318">
        <f>IF(Wizards!$A$17="","",IF(OR(ISNUMBER(SEARCH(", "&amp;$B318&amp;", ", ", "&amp;INDEX('Form Responses'!$I$1:$Q$200,17,$A318)&amp;", ")),ISNUMBER(SEARCH(", "&amp;$B318&amp;", ", ", "&amp;INDEX('Form Responses'!$R$1:$R$200,17)&amp;", "))),1,""))</f>
        <v/>
      </c>
      <c r="T318">
        <f>IF(Wizards!$A$18="","",IF(OR(ISNUMBER(SEARCH(", "&amp;$B318&amp;", ", ", "&amp;INDEX('Form Responses'!$I$1:$Q$200,18,$A318)&amp;", ")),ISNUMBER(SEARCH(", "&amp;$B318&amp;", ", ", "&amp;INDEX('Form Responses'!$R$1:$R$200,18)&amp;", "))),1,""))</f>
        <v/>
      </c>
      <c r="U318">
        <f>IF(Wizards!$A$19="","",IF(OR(ISNUMBER(SEARCH(", "&amp;$B318&amp;", ", ", "&amp;INDEX('Form Responses'!$I$1:$Q$200,19,$A318)&amp;", ")),ISNUMBER(SEARCH(", "&amp;$B318&amp;", ", ", "&amp;INDEX('Form Responses'!$R$1:$R$200,19)&amp;", "))),1,""))</f>
        <v/>
      </c>
      <c r="V318">
        <f>IF(Wizards!$A$20="","",IF(OR(ISNUMBER(SEARCH(", "&amp;$B318&amp;", ", ", "&amp;INDEX('Form Responses'!$I$1:$Q$200,20,$A318)&amp;", ")),ISNUMBER(SEARCH(", "&amp;$B318&amp;", ", ", "&amp;INDEX('Form Responses'!$R$1:$R$200,20)&amp;", "))),1,""))</f>
        <v/>
      </c>
      <c r="W318">
        <f>IF(Wizards!$A$21="","",IF(OR(ISNUMBER(SEARCH(", "&amp;$B318&amp;", ", ", "&amp;INDEX('Form Responses'!$I$1:$Q$200,21,$A318)&amp;", ")),ISNUMBER(SEARCH(", "&amp;$B318&amp;", ", ", "&amp;INDEX('Form Responses'!$R$1:$R$200,21)&amp;", "))),1,""))</f>
        <v/>
      </c>
      <c r="X318">
        <f>IF(Wizards!$A$22="","",IF(OR(ISNUMBER(SEARCH(", "&amp;$B318&amp;", ", ", "&amp;INDEX('Form Responses'!$I$1:$Q$200,22,$A318)&amp;", ")),ISNUMBER(SEARCH(", "&amp;$B318&amp;", ", ", "&amp;INDEX('Form Responses'!$R$1:$R$200,22)&amp;", "))),1,""))</f>
        <v/>
      </c>
      <c r="Y318">
        <f>IF(Wizards!$A$23="","",IF(OR(ISNUMBER(SEARCH(", "&amp;$B318&amp;", ", ", "&amp;INDEX('Form Responses'!$I$1:$Q$200,23,$A318)&amp;", ")),ISNUMBER(SEARCH(", "&amp;$B318&amp;", ", ", "&amp;INDEX('Form Responses'!$R$1:$R$200,23)&amp;", "))),1,""))</f>
        <v/>
      </c>
      <c r="Z318">
        <f>IF(Wizards!$A$24="","",IF(OR(ISNUMBER(SEARCH(", "&amp;$B318&amp;", ", ", "&amp;INDEX('Form Responses'!$I$1:$Q$200,24,$A318)&amp;", ")),ISNUMBER(SEARCH(", "&amp;$B318&amp;", ", ", "&amp;INDEX('Form Responses'!$R$1:$R$200,24)&amp;", "))),1,""))</f>
        <v/>
      </c>
      <c r="AA318">
        <f>IF(Wizards!$A$25="","",IF(OR(ISNUMBER(SEARCH(", "&amp;$B318&amp;", ", ", "&amp;INDEX('Form Responses'!$I$1:$Q$200,25,$A318)&amp;", ")),ISNUMBER(SEARCH(", "&amp;$B318&amp;", ", ", "&amp;INDEX('Form Responses'!$R$1:$R$200,25)&amp;", "))),1,""))</f>
        <v/>
      </c>
      <c r="AB318">
        <f>IF(D318=1,", "&amp;D$1,"")</f>
        <v/>
      </c>
      <c r="AC318">
        <f>IF(E318=1,", "&amp;E$1,"")</f>
        <v/>
      </c>
      <c r="AD318">
        <f>IF(F318=1,", "&amp;F$1,"")</f>
        <v/>
      </c>
      <c r="AE318">
        <f>IF(G318=1,", "&amp;G$1,"")</f>
        <v/>
      </c>
      <c r="AF318">
        <f>IF(H318=1,", "&amp;H$1,"")</f>
        <v/>
      </c>
      <c r="AG318">
        <f>IF(I318=1,", "&amp;I$1,"")</f>
        <v/>
      </c>
      <c r="AH318">
        <f>IF(J318=1,", "&amp;J$1,"")</f>
        <v/>
      </c>
      <c r="AI318">
        <f>IF(K318=1,", "&amp;K$1,"")</f>
        <v/>
      </c>
      <c r="AJ318">
        <f>IF(L318=1,", "&amp;L$1,"")</f>
        <v/>
      </c>
      <c r="AK318">
        <f>IF(M318=1,", "&amp;M$1,"")</f>
        <v/>
      </c>
      <c r="AL318">
        <f>IF(N318=1,", "&amp;N$1,"")</f>
        <v/>
      </c>
      <c r="AM318">
        <f>IF(O318=1,", "&amp;O$1,"")</f>
        <v/>
      </c>
      <c r="AN318">
        <f>IF(P318=1,", "&amp;P$1,"")</f>
        <v/>
      </c>
      <c r="AO318">
        <f>IF(Q318=1,", "&amp;Q$1,"")</f>
        <v/>
      </c>
      <c r="AP318">
        <f>IF(R318=1,", "&amp;R$1,"")</f>
        <v/>
      </c>
      <c r="AQ318">
        <f>IF(S318=1,", "&amp;S$1,"")</f>
        <v/>
      </c>
      <c r="AR318">
        <f>IF(T318=1,", "&amp;T$1,"")</f>
        <v/>
      </c>
      <c r="AS318">
        <f>IF(U318=1,", "&amp;U$1,"")</f>
        <v/>
      </c>
      <c r="AT318">
        <f>IF(V318=1,", "&amp;V$1,"")</f>
        <v/>
      </c>
      <c r="AU318">
        <f>IF(W318=1,", "&amp;W$1,"")</f>
        <v/>
      </c>
      <c r="AV318">
        <f>IF(X318=1,", "&amp;X$1,"")</f>
        <v/>
      </c>
      <c r="AW318">
        <f>IF(Y318=1,", "&amp;Y$1,"")</f>
        <v/>
      </c>
      <c r="AX318">
        <f>IF(Z318=1,", "&amp;Z$1,"")</f>
        <v/>
      </c>
      <c r="AY318">
        <f>IF(AA318=1,", "&amp;AA$1,"")</f>
        <v/>
      </c>
      <c r="AZ318">
        <f>MID($AB318&amp;$AC318&amp;$AD318&amp;$AE318&amp;$AF318&amp;$AG318&amp;$AH318&amp;$AI318&amp;$AJ318&amp;$AK318&amp;$AL318&amp;$AM318&amp;$AN318&amp;$AO318&amp;$AP318&amp;$AQ318&amp;$AR318&amp;$AS318&amp;$AT318&amp;$AU318&amp;$AV318&amp;$AW318&amp;$AX318&amp;$AY318,3,32767)</f>
        <v/>
      </c>
      <c r="BA318">
        <f>COUNT($D318:$AA318)</f>
        <v/>
      </c>
    </row>
    <row r="319">
      <c r="A319" t="n">
        <v>8</v>
      </c>
      <c r="B319" t="inlineStr">
        <is>
          <t>Holy Star of Mystra</t>
        </is>
      </c>
      <c r="C319" t="inlineStr">
        <is>
          <t>Evocation</t>
        </is>
      </c>
      <c r="D319">
        <f>IF(Wizards!$A$2="","",IF(OR(ISNUMBER(SEARCH(", "&amp;$B319&amp;", ", ", "&amp;INDEX('Form Responses'!$I$1:$Q$200,2,$A319)&amp;", ")),ISNUMBER(SEARCH(", "&amp;$B319&amp;", ", ", "&amp;INDEX('Form Responses'!$R$1:$R$200,2)&amp;", "))),1,""))</f>
        <v/>
      </c>
      <c r="E319">
        <f>IF(Wizards!$A$3="","",IF(OR(ISNUMBER(SEARCH(", "&amp;$B319&amp;", ", ", "&amp;INDEX('Form Responses'!$I$1:$Q$200,3,$A319)&amp;", ")),ISNUMBER(SEARCH(", "&amp;$B319&amp;", ", ", "&amp;INDEX('Form Responses'!$R$1:$R$200,3)&amp;", "))),1,""))</f>
        <v/>
      </c>
      <c r="F319">
        <f>IF(Wizards!$A$4="","",IF(OR(ISNUMBER(SEARCH(", "&amp;$B319&amp;", ", ", "&amp;INDEX('Form Responses'!$I$1:$Q$200,4,$A319)&amp;", ")),ISNUMBER(SEARCH(", "&amp;$B319&amp;", ", ", "&amp;INDEX('Form Responses'!$R$1:$R$200,4)&amp;", "))),1,""))</f>
        <v/>
      </c>
      <c r="G319">
        <f>IF(Wizards!$A$5="","",IF(OR(ISNUMBER(SEARCH(", "&amp;$B319&amp;", ", ", "&amp;INDEX('Form Responses'!$I$1:$Q$200,5,$A319)&amp;", ")),ISNUMBER(SEARCH(", "&amp;$B319&amp;", ", ", "&amp;INDEX('Form Responses'!$R$1:$R$200,5)&amp;", "))),1,""))</f>
        <v/>
      </c>
      <c r="H319">
        <f>IF(Wizards!$A$6="","",IF(OR(ISNUMBER(SEARCH(", "&amp;$B319&amp;", ", ", "&amp;INDEX('Form Responses'!$I$1:$Q$200,6,$A319)&amp;", ")),ISNUMBER(SEARCH(", "&amp;$B319&amp;", ", ", "&amp;INDEX('Form Responses'!$R$1:$R$200,6)&amp;", "))),1,""))</f>
        <v/>
      </c>
      <c r="I319">
        <f>IF(Wizards!$A$7="","",IF(OR(ISNUMBER(SEARCH(", "&amp;$B319&amp;", ", ", "&amp;INDEX('Form Responses'!$I$1:$Q$200,7,$A319)&amp;", ")),ISNUMBER(SEARCH(", "&amp;$B319&amp;", ", ", "&amp;INDEX('Form Responses'!$R$1:$R$200,7)&amp;", "))),1,""))</f>
        <v/>
      </c>
      <c r="J319">
        <f>IF(Wizards!$A$8="","",IF(OR(ISNUMBER(SEARCH(", "&amp;$B319&amp;", ", ", "&amp;INDEX('Form Responses'!$I$1:$Q$200,8,$A319)&amp;", ")),ISNUMBER(SEARCH(", "&amp;$B319&amp;", ", ", "&amp;INDEX('Form Responses'!$R$1:$R$200,8)&amp;", "))),1,""))</f>
        <v/>
      </c>
      <c r="K319">
        <f>IF(Wizards!$A$9="","",IF(OR(ISNUMBER(SEARCH(", "&amp;$B319&amp;", ", ", "&amp;INDEX('Form Responses'!$I$1:$Q$200,9,$A319)&amp;", ")),ISNUMBER(SEARCH(", "&amp;$B319&amp;", ", ", "&amp;INDEX('Form Responses'!$R$1:$R$200,9)&amp;", "))),1,""))</f>
        <v/>
      </c>
      <c r="L319">
        <f>IF(Wizards!$A$10="","",IF(OR(ISNUMBER(SEARCH(", "&amp;$B319&amp;", ", ", "&amp;INDEX('Form Responses'!$I$1:$Q$200,10,$A319)&amp;", ")),ISNUMBER(SEARCH(", "&amp;$B319&amp;", ", ", "&amp;INDEX('Form Responses'!$R$1:$R$200,10)&amp;", "))),1,""))</f>
        <v/>
      </c>
      <c r="M319">
        <f>IF(Wizards!$A$11="","",IF(OR(ISNUMBER(SEARCH(", "&amp;$B319&amp;", ", ", "&amp;INDEX('Form Responses'!$I$1:$Q$200,11,$A319)&amp;", ")),ISNUMBER(SEARCH(", "&amp;$B319&amp;", ", ", "&amp;INDEX('Form Responses'!$R$1:$R$200,11)&amp;", "))),1,""))</f>
        <v/>
      </c>
      <c r="N319">
        <f>IF(Wizards!$A$12="","",IF(OR(ISNUMBER(SEARCH(", "&amp;$B319&amp;", ", ", "&amp;INDEX('Form Responses'!$I$1:$Q$200,12,$A319)&amp;", ")),ISNUMBER(SEARCH(", "&amp;$B319&amp;", ", ", "&amp;INDEX('Form Responses'!$R$1:$R$200,12)&amp;", "))),1,""))</f>
        <v/>
      </c>
      <c r="O319">
        <f>IF(Wizards!$A$13="","",IF(OR(ISNUMBER(SEARCH(", "&amp;$B319&amp;", ", ", "&amp;INDEX('Form Responses'!$I$1:$Q$200,13,$A319)&amp;", ")),ISNUMBER(SEARCH(", "&amp;$B319&amp;", ", ", "&amp;INDEX('Form Responses'!$R$1:$R$200,13)&amp;", "))),1,""))</f>
        <v/>
      </c>
      <c r="P319">
        <f>IF(Wizards!$A$14="","",IF(OR(ISNUMBER(SEARCH(", "&amp;$B319&amp;", ", ", "&amp;INDEX('Form Responses'!$I$1:$Q$200,14,$A319)&amp;", ")),ISNUMBER(SEARCH(", "&amp;$B319&amp;", ", ", "&amp;INDEX('Form Responses'!$R$1:$R$200,14)&amp;", "))),1,""))</f>
        <v/>
      </c>
      <c r="Q319">
        <f>IF(Wizards!$A$15="","",IF(OR(ISNUMBER(SEARCH(", "&amp;$B319&amp;", ", ", "&amp;INDEX('Form Responses'!$I$1:$Q$200,15,$A319)&amp;", ")),ISNUMBER(SEARCH(", "&amp;$B319&amp;", ", ", "&amp;INDEX('Form Responses'!$R$1:$R$200,15)&amp;", "))),1,""))</f>
        <v/>
      </c>
      <c r="R319">
        <f>IF(Wizards!$A$16="","",IF(OR(ISNUMBER(SEARCH(", "&amp;$B319&amp;", ", ", "&amp;INDEX('Form Responses'!$I$1:$Q$200,16,$A319)&amp;", ")),ISNUMBER(SEARCH(", "&amp;$B319&amp;", ", ", "&amp;INDEX('Form Responses'!$R$1:$R$200,16)&amp;", "))),1,""))</f>
        <v/>
      </c>
      <c r="S319">
        <f>IF(Wizards!$A$17="","",IF(OR(ISNUMBER(SEARCH(", "&amp;$B319&amp;", ", ", "&amp;INDEX('Form Responses'!$I$1:$Q$200,17,$A319)&amp;", ")),ISNUMBER(SEARCH(", "&amp;$B319&amp;", ", ", "&amp;INDEX('Form Responses'!$R$1:$R$200,17)&amp;", "))),1,""))</f>
        <v/>
      </c>
      <c r="T319">
        <f>IF(Wizards!$A$18="","",IF(OR(ISNUMBER(SEARCH(", "&amp;$B319&amp;", ", ", "&amp;INDEX('Form Responses'!$I$1:$Q$200,18,$A319)&amp;", ")),ISNUMBER(SEARCH(", "&amp;$B319&amp;", ", ", "&amp;INDEX('Form Responses'!$R$1:$R$200,18)&amp;", "))),1,""))</f>
        <v/>
      </c>
      <c r="U319">
        <f>IF(Wizards!$A$19="","",IF(OR(ISNUMBER(SEARCH(", "&amp;$B319&amp;", ", ", "&amp;INDEX('Form Responses'!$I$1:$Q$200,19,$A319)&amp;", ")),ISNUMBER(SEARCH(", "&amp;$B319&amp;", ", ", "&amp;INDEX('Form Responses'!$R$1:$R$200,19)&amp;", "))),1,""))</f>
        <v/>
      </c>
      <c r="V319">
        <f>IF(Wizards!$A$20="","",IF(OR(ISNUMBER(SEARCH(", "&amp;$B319&amp;", ", ", "&amp;INDEX('Form Responses'!$I$1:$Q$200,20,$A319)&amp;", ")),ISNUMBER(SEARCH(", "&amp;$B319&amp;", ", ", "&amp;INDEX('Form Responses'!$R$1:$R$200,20)&amp;", "))),1,""))</f>
        <v/>
      </c>
      <c r="W319">
        <f>IF(Wizards!$A$21="","",IF(OR(ISNUMBER(SEARCH(", "&amp;$B319&amp;", ", ", "&amp;INDEX('Form Responses'!$I$1:$Q$200,21,$A319)&amp;", ")),ISNUMBER(SEARCH(", "&amp;$B319&amp;", ", ", "&amp;INDEX('Form Responses'!$R$1:$R$200,21)&amp;", "))),1,""))</f>
        <v/>
      </c>
      <c r="X319">
        <f>IF(Wizards!$A$22="","",IF(OR(ISNUMBER(SEARCH(", "&amp;$B319&amp;", ", ", "&amp;INDEX('Form Responses'!$I$1:$Q$200,22,$A319)&amp;", ")),ISNUMBER(SEARCH(", "&amp;$B319&amp;", ", ", "&amp;INDEX('Form Responses'!$R$1:$R$200,22)&amp;", "))),1,""))</f>
        <v/>
      </c>
      <c r="Y319">
        <f>IF(Wizards!$A$23="","",IF(OR(ISNUMBER(SEARCH(", "&amp;$B319&amp;", ", ", "&amp;INDEX('Form Responses'!$I$1:$Q$200,23,$A319)&amp;", ")),ISNUMBER(SEARCH(", "&amp;$B319&amp;", ", ", "&amp;INDEX('Form Responses'!$R$1:$R$200,23)&amp;", "))),1,""))</f>
        <v/>
      </c>
      <c r="Z319">
        <f>IF(Wizards!$A$24="","",IF(OR(ISNUMBER(SEARCH(", "&amp;$B319&amp;", ", ", "&amp;INDEX('Form Responses'!$I$1:$Q$200,24,$A319)&amp;", ")),ISNUMBER(SEARCH(", "&amp;$B319&amp;", ", ", "&amp;INDEX('Form Responses'!$R$1:$R$200,24)&amp;", "))),1,""))</f>
        <v/>
      </c>
      <c r="AA319">
        <f>IF(Wizards!$A$25="","",IF(OR(ISNUMBER(SEARCH(", "&amp;$B319&amp;", ", ", "&amp;INDEX('Form Responses'!$I$1:$Q$200,25,$A319)&amp;", ")),ISNUMBER(SEARCH(", "&amp;$B319&amp;", ", ", "&amp;INDEX('Form Responses'!$R$1:$R$200,25)&amp;", "))),1,""))</f>
        <v/>
      </c>
      <c r="AB319">
        <f>IF(D319=1,", "&amp;D$1,"")</f>
        <v/>
      </c>
      <c r="AC319">
        <f>IF(E319=1,", "&amp;E$1,"")</f>
        <v/>
      </c>
      <c r="AD319">
        <f>IF(F319=1,", "&amp;F$1,"")</f>
        <v/>
      </c>
      <c r="AE319">
        <f>IF(G319=1,", "&amp;G$1,"")</f>
        <v/>
      </c>
      <c r="AF319">
        <f>IF(H319=1,", "&amp;H$1,"")</f>
        <v/>
      </c>
      <c r="AG319">
        <f>IF(I319=1,", "&amp;I$1,"")</f>
        <v/>
      </c>
      <c r="AH319">
        <f>IF(J319=1,", "&amp;J$1,"")</f>
        <v/>
      </c>
      <c r="AI319">
        <f>IF(K319=1,", "&amp;K$1,"")</f>
        <v/>
      </c>
      <c r="AJ319">
        <f>IF(L319=1,", "&amp;L$1,"")</f>
        <v/>
      </c>
      <c r="AK319">
        <f>IF(M319=1,", "&amp;M$1,"")</f>
        <v/>
      </c>
      <c r="AL319">
        <f>IF(N319=1,", "&amp;N$1,"")</f>
        <v/>
      </c>
      <c r="AM319">
        <f>IF(O319=1,", "&amp;O$1,"")</f>
        <v/>
      </c>
      <c r="AN319">
        <f>IF(P319=1,", "&amp;P$1,"")</f>
        <v/>
      </c>
      <c r="AO319">
        <f>IF(Q319=1,", "&amp;Q$1,"")</f>
        <v/>
      </c>
      <c r="AP319">
        <f>IF(R319=1,", "&amp;R$1,"")</f>
        <v/>
      </c>
      <c r="AQ319">
        <f>IF(S319=1,", "&amp;S$1,"")</f>
        <v/>
      </c>
      <c r="AR319">
        <f>IF(T319=1,", "&amp;T$1,"")</f>
        <v/>
      </c>
      <c r="AS319">
        <f>IF(U319=1,", "&amp;U$1,"")</f>
        <v/>
      </c>
      <c r="AT319">
        <f>IF(V319=1,", "&amp;V$1,"")</f>
        <v/>
      </c>
      <c r="AU319">
        <f>IF(W319=1,", "&amp;W$1,"")</f>
        <v/>
      </c>
      <c r="AV319">
        <f>IF(X319=1,", "&amp;X$1,"")</f>
        <v/>
      </c>
      <c r="AW319">
        <f>IF(Y319=1,", "&amp;Y$1,"")</f>
        <v/>
      </c>
      <c r="AX319">
        <f>IF(Z319=1,", "&amp;Z$1,"")</f>
        <v/>
      </c>
      <c r="AY319">
        <f>IF(AA319=1,", "&amp;AA$1,"")</f>
        <v/>
      </c>
      <c r="AZ319">
        <f>MID($AB319&amp;$AC319&amp;$AD319&amp;$AE319&amp;$AF319&amp;$AG319&amp;$AH319&amp;$AI319&amp;$AJ319&amp;$AK319&amp;$AL319&amp;$AM319&amp;$AN319&amp;$AO319&amp;$AP319&amp;$AQ319&amp;$AR319&amp;$AS319&amp;$AT319&amp;$AU319&amp;$AV319&amp;$AW319&amp;$AX319&amp;$AY319,3,32767)</f>
        <v/>
      </c>
      <c r="BA319">
        <f>COUNT($D319:$AA319)</f>
        <v/>
      </c>
    </row>
    <row r="320">
      <c r="A320" t="n">
        <v>8</v>
      </c>
      <c r="B320" t="inlineStr">
        <is>
          <t>Illusory Dragon</t>
        </is>
      </c>
      <c r="C320" t="inlineStr">
        <is>
          <t>Illusion</t>
        </is>
      </c>
      <c r="D320">
        <f>IF(Wizards!$A$2="","",IF(OR(ISNUMBER(SEARCH(", "&amp;$B320&amp;", ", ", "&amp;INDEX('Form Responses'!$I$1:$Q$200,2,$A320)&amp;", ")),ISNUMBER(SEARCH(", "&amp;$B320&amp;", ", ", "&amp;INDEX('Form Responses'!$R$1:$R$200,2)&amp;", "))),1,""))</f>
        <v/>
      </c>
      <c r="E320">
        <f>IF(Wizards!$A$3="","",IF(OR(ISNUMBER(SEARCH(", "&amp;$B320&amp;", ", ", "&amp;INDEX('Form Responses'!$I$1:$Q$200,3,$A320)&amp;", ")),ISNUMBER(SEARCH(", "&amp;$B320&amp;", ", ", "&amp;INDEX('Form Responses'!$R$1:$R$200,3)&amp;", "))),1,""))</f>
        <v/>
      </c>
      <c r="F320">
        <f>IF(Wizards!$A$4="","",IF(OR(ISNUMBER(SEARCH(", "&amp;$B320&amp;", ", ", "&amp;INDEX('Form Responses'!$I$1:$Q$200,4,$A320)&amp;", ")),ISNUMBER(SEARCH(", "&amp;$B320&amp;", ", ", "&amp;INDEX('Form Responses'!$R$1:$R$200,4)&amp;", "))),1,""))</f>
        <v/>
      </c>
      <c r="G320">
        <f>IF(Wizards!$A$5="","",IF(OR(ISNUMBER(SEARCH(", "&amp;$B320&amp;", ", ", "&amp;INDEX('Form Responses'!$I$1:$Q$200,5,$A320)&amp;", ")),ISNUMBER(SEARCH(", "&amp;$B320&amp;", ", ", "&amp;INDEX('Form Responses'!$R$1:$R$200,5)&amp;", "))),1,""))</f>
        <v/>
      </c>
      <c r="H320">
        <f>IF(Wizards!$A$6="","",IF(OR(ISNUMBER(SEARCH(", "&amp;$B320&amp;", ", ", "&amp;INDEX('Form Responses'!$I$1:$Q$200,6,$A320)&amp;", ")),ISNUMBER(SEARCH(", "&amp;$B320&amp;", ", ", "&amp;INDEX('Form Responses'!$R$1:$R$200,6)&amp;", "))),1,""))</f>
        <v/>
      </c>
      <c r="I320">
        <f>IF(Wizards!$A$7="","",IF(OR(ISNUMBER(SEARCH(", "&amp;$B320&amp;", ", ", "&amp;INDEX('Form Responses'!$I$1:$Q$200,7,$A320)&amp;", ")),ISNUMBER(SEARCH(", "&amp;$B320&amp;", ", ", "&amp;INDEX('Form Responses'!$R$1:$R$200,7)&amp;", "))),1,""))</f>
        <v/>
      </c>
      <c r="J320">
        <f>IF(Wizards!$A$8="","",IF(OR(ISNUMBER(SEARCH(", "&amp;$B320&amp;", ", ", "&amp;INDEX('Form Responses'!$I$1:$Q$200,8,$A320)&amp;", ")),ISNUMBER(SEARCH(", "&amp;$B320&amp;", ", ", "&amp;INDEX('Form Responses'!$R$1:$R$200,8)&amp;", "))),1,""))</f>
        <v/>
      </c>
      <c r="K320">
        <f>IF(Wizards!$A$9="","",IF(OR(ISNUMBER(SEARCH(", "&amp;$B320&amp;", ", ", "&amp;INDEX('Form Responses'!$I$1:$Q$200,9,$A320)&amp;", ")),ISNUMBER(SEARCH(", "&amp;$B320&amp;", ", ", "&amp;INDEX('Form Responses'!$R$1:$R$200,9)&amp;", "))),1,""))</f>
        <v/>
      </c>
      <c r="L320">
        <f>IF(Wizards!$A$10="","",IF(OR(ISNUMBER(SEARCH(", "&amp;$B320&amp;", ", ", "&amp;INDEX('Form Responses'!$I$1:$Q$200,10,$A320)&amp;", ")),ISNUMBER(SEARCH(", "&amp;$B320&amp;", ", ", "&amp;INDEX('Form Responses'!$R$1:$R$200,10)&amp;", "))),1,""))</f>
        <v/>
      </c>
      <c r="M320">
        <f>IF(Wizards!$A$11="","",IF(OR(ISNUMBER(SEARCH(", "&amp;$B320&amp;", ", ", "&amp;INDEX('Form Responses'!$I$1:$Q$200,11,$A320)&amp;", ")),ISNUMBER(SEARCH(", "&amp;$B320&amp;", ", ", "&amp;INDEX('Form Responses'!$R$1:$R$200,11)&amp;", "))),1,""))</f>
        <v/>
      </c>
      <c r="N320">
        <f>IF(Wizards!$A$12="","",IF(OR(ISNUMBER(SEARCH(", "&amp;$B320&amp;", ", ", "&amp;INDEX('Form Responses'!$I$1:$Q$200,12,$A320)&amp;", ")),ISNUMBER(SEARCH(", "&amp;$B320&amp;", ", ", "&amp;INDEX('Form Responses'!$R$1:$R$200,12)&amp;", "))),1,""))</f>
        <v/>
      </c>
      <c r="O320">
        <f>IF(Wizards!$A$13="","",IF(OR(ISNUMBER(SEARCH(", "&amp;$B320&amp;", ", ", "&amp;INDEX('Form Responses'!$I$1:$Q$200,13,$A320)&amp;", ")),ISNUMBER(SEARCH(", "&amp;$B320&amp;", ", ", "&amp;INDEX('Form Responses'!$R$1:$R$200,13)&amp;", "))),1,""))</f>
        <v/>
      </c>
      <c r="P320">
        <f>IF(Wizards!$A$14="","",IF(OR(ISNUMBER(SEARCH(", "&amp;$B320&amp;", ", ", "&amp;INDEX('Form Responses'!$I$1:$Q$200,14,$A320)&amp;", ")),ISNUMBER(SEARCH(", "&amp;$B320&amp;", ", ", "&amp;INDEX('Form Responses'!$R$1:$R$200,14)&amp;", "))),1,""))</f>
        <v/>
      </c>
      <c r="Q320">
        <f>IF(Wizards!$A$15="","",IF(OR(ISNUMBER(SEARCH(", "&amp;$B320&amp;", ", ", "&amp;INDEX('Form Responses'!$I$1:$Q$200,15,$A320)&amp;", ")),ISNUMBER(SEARCH(", "&amp;$B320&amp;", ", ", "&amp;INDEX('Form Responses'!$R$1:$R$200,15)&amp;", "))),1,""))</f>
        <v/>
      </c>
      <c r="R320">
        <f>IF(Wizards!$A$16="","",IF(OR(ISNUMBER(SEARCH(", "&amp;$B320&amp;", ", ", "&amp;INDEX('Form Responses'!$I$1:$Q$200,16,$A320)&amp;", ")),ISNUMBER(SEARCH(", "&amp;$B320&amp;", ", ", "&amp;INDEX('Form Responses'!$R$1:$R$200,16)&amp;", "))),1,""))</f>
        <v/>
      </c>
      <c r="S320">
        <f>IF(Wizards!$A$17="","",IF(OR(ISNUMBER(SEARCH(", "&amp;$B320&amp;", ", ", "&amp;INDEX('Form Responses'!$I$1:$Q$200,17,$A320)&amp;", ")),ISNUMBER(SEARCH(", "&amp;$B320&amp;", ", ", "&amp;INDEX('Form Responses'!$R$1:$R$200,17)&amp;", "))),1,""))</f>
        <v/>
      </c>
      <c r="T320">
        <f>IF(Wizards!$A$18="","",IF(OR(ISNUMBER(SEARCH(", "&amp;$B320&amp;", ", ", "&amp;INDEX('Form Responses'!$I$1:$Q$200,18,$A320)&amp;", ")),ISNUMBER(SEARCH(", "&amp;$B320&amp;", ", ", "&amp;INDEX('Form Responses'!$R$1:$R$200,18)&amp;", "))),1,""))</f>
        <v/>
      </c>
      <c r="U320">
        <f>IF(Wizards!$A$19="","",IF(OR(ISNUMBER(SEARCH(", "&amp;$B320&amp;", ", ", "&amp;INDEX('Form Responses'!$I$1:$Q$200,19,$A320)&amp;", ")),ISNUMBER(SEARCH(", "&amp;$B320&amp;", ", ", "&amp;INDEX('Form Responses'!$R$1:$R$200,19)&amp;", "))),1,""))</f>
        <v/>
      </c>
      <c r="V320">
        <f>IF(Wizards!$A$20="","",IF(OR(ISNUMBER(SEARCH(", "&amp;$B320&amp;", ", ", "&amp;INDEX('Form Responses'!$I$1:$Q$200,20,$A320)&amp;", ")),ISNUMBER(SEARCH(", "&amp;$B320&amp;", ", ", "&amp;INDEX('Form Responses'!$R$1:$R$200,20)&amp;", "))),1,""))</f>
        <v/>
      </c>
      <c r="W320">
        <f>IF(Wizards!$A$21="","",IF(OR(ISNUMBER(SEARCH(", "&amp;$B320&amp;", ", ", "&amp;INDEX('Form Responses'!$I$1:$Q$200,21,$A320)&amp;", ")),ISNUMBER(SEARCH(", "&amp;$B320&amp;", ", ", "&amp;INDEX('Form Responses'!$R$1:$R$200,21)&amp;", "))),1,""))</f>
        <v/>
      </c>
      <c r="X320">
        <f>IF(Wizards!$A$22="","",IF(OR(ISNUMBER(SEARCH(", "&amp;$B320&amp;", ", ", "&amp;INDEX('Form Responses'!$I$1:$Q$200,22,$A320)&amp;", ")),ISNUMBER(SEARCH(", "&amp;$B320&amp;", ", ", "&amp;INDEX('Form Responses'!$R$1:$R$200,22)&amp;", "))),1,""))</f>
        <v/>
      </c>
      <c r="Y320">
        <f>IF(Wizards!$A$23="","",IF(OR(ISNUMBER(SEARCH(", "&amp;$B320&amp;", ", ", "&amp;INDEX('Form Responses'!$I$1:$Q$200,23,$A320)&amp;", ")),ISNUMBER(SEARCH(", "&amp;$B320&amp;", ", ", "&amp;INDEX('Form Responses'!$R$1:$R$200,23)&amp;", "))),1,""))</f>
        <v/>
      </c>
      <c r="Z320">
        <f>IF(Wizards!$A$24="","",IF(OR(ISNUMBER(SEARCH(", "&amp;$B320&amp;", ", ", "&amp;INDEX('Form Responses'!$I$1:$Q$200,24,$A320)&amp;", ")),ISNUMBER(SEARCH(", "&amp;$B320&amp;", ", ", "&amp;INDEX('Form Responses'!$R$1:$R$200,24)&amp;", "))),1,""))</f>
        <v/>
      </c>
      <c r="AA320">
        <f>IF(Wizards!$A$25="","",IF(OR(ISNUMBER(SEARCH(", "&amp;$B320&amp;", ", ", "&amp;INDEX('Form Responses'!$I$1:$Q$200,25,$A320)&amp;", ")),ISNUMBER(SEARCH(", "&amp;$B320&amp;", ", ", "&amp;INDEX('Form Responses'!$R$1:$R$200,25)&amp;", "))),1,""))</f>
        <v/>
      </c>
      <c r="AB320">
        <f>IF(D320=1,", "&amp;D$1,"")</f>
        <v/>
      </c>
      <c r="AC320">
        <f>IF(E320=1,", "&amp;E$1,"")</f>
        <v/>
      </c>
      <c r="AD320">
        <f>IF(F320=1,", "&amp;F$1,"")</f>
        <v/>
      </c>
      <c r="AE320">
        <f>IF(G320=1,", "&amp;G$1,"")</f>
        <v/>
      </c>
      <c r="AF320">
        <f>IF(H320=1,", "&amp;H$1,"")</f>
        <v/>
      </c>
      <c r="AG320">
        <f>IF(I320=1,", "&amp;I$1,"")</f>
        <v/>
      </c>
      <c r="AH320">
        <f>IF(J320=1,", "&amp;J$1,"")</f>
        <v/>
      </c>
      <c r="AI320">
        <f>IF(K320=1,", "&amp;K$1,"")</f>
        <v/>
      </c>
      <c r="AJ320">
        <f>IF(L320=1,", "&amp;L$1,"")</f>
        <v/>
      </c>
      <c r="AK320">
        <f>IF(M320=1,", "&amp;M$1,"")</f>
        <v/>
      </c>
      <c r="AL320">
        <f>IF(N320=1,", "&amp;N$1,"")</f>
        <v/>
      </c>
      <c r="AM320">
        <f>IF(O320=1,", "&amp;O$1,"")</f>
        <v/>
      </c>
      <c r="AN320">
        <f>IF(P320=1,", "&amp;P$1,"")</f>
        <v/>
      </c>
      <c r="AO320">
        <f>IF(Q320=1,", "&amp;Q$1,"")</f>
        <v/>
      </c>
      <c r="AP320">
        <f>IF(R320=1,", "&amp;R$1,"")</f>
        <v/>
      </c>
      <c r="AQ320">
        <f>IF(S320=1,", "&amp;S$1,"")</f>
        <v/>
      </c>
      <c r="AR320">
        <f>IF(T320=1,", "&amp;T$1,"")</f>
        <v/>
      </c>
      <c r="AS320">
        <f>IF(U320=1,", "&amp;U$1,"")</f>
        <v/>
      </c>
      <c r="AT320">
        <f>IF(V320=1,", "&amp;V$1,"")</f>
        <v/>
      </c>
      <c r="AU320">
        <f>IF(W320=1,", "&amp;W$1,"")</f>
        <v/>
      </c>
      <c r="AV320">
        <f>IF(X320=1,", "&amp;X$1,"")</f>
        <v/>
      </c>
      <c r="AW320">
        <f>IF(Y320=1,", "&amp;Y$1,"")</f>
        <v/>
      </c>
      <c r="AX320">
        <f>IF(Z320=1,", "&amp;Z$1,"")</f>
        <v/>
      </c>
      <c r="AY320">
        <f>IF(AA320=1,", "&amp;AA$1,"")</f>
        <v/>
      </c>
      <c r="AZ320">
        <f>MID($AB320&amp;$AC320&amp;$AD320&amp;$AE320&amp;$AF320&amp;$AG320&amp;$AH320&amp;$AI320&amp;$AJ320&amp;$AK320&amp;$AL320&amp;$AM320&amp;$AN320&amp;$AO320&amp;$AP320&amp;$AQ320&amp;$AR320&amp;$AS320&amp;$AT320&amp;$AU320&amp;$AV320&amp;$AW320&amp;$AX320&amp;$AY320,3,32767)</f>
        <v/>
      </c>
      <c r="BA320">
        <f>COUNT($D320:$AA320)</f>
        <v/>
      </c>
    </row>
    <row r="321">
      <c r="A321" t="n">
        <v>8</v>
      </c>
      <c r="B321" t="inlineStr">
        <is>
          <t>Incendiary Cloud</t>
        </is>
      </c>
      <c r="C321" t="inlineStr">
        <is>
          <t>Conjuration</t>
        </is>
      </c>
      <c r="D321">
        <f>IF(Wizards!$A$2="","",IF(OR(ISNUMBER(SEARCH(", "&amp;$B321&amp;", ", ", "&amp;INDEX('Form Responses'!$I$1:$Q$200,2,$A321)&amp;", ")),ISNUMBER(SEARCH(", "&amp;$B321&amp;", ", ", "&amp;INDEX('Form Responses'!$R$1:$R$200,2)&amp;", "))),1,""))</f>
        <v/>
      </c>
      <c r="E321">
        <f>IF(Wizards!$A$3="","",IF(OR(ISNUMBER(SEARCH(", "&amp;$B321&amp;", ", ", "&amp;INDEX('Form Responses'!$I$1:$Q$200,3,$A321)&amp;", ")),ISNUMBER(SEARCH(", "&amp;$B321&amp;", ", ", "&amp;INDEX('Form Responses'!$R$1:$R$200,3)&amp;", "))),1,""))</f>
        <v/>
      </c>
      <c r="F321">
        <f>IF(Wizards!$A$4="","",IF(OR(ISNUMBER(SEARCH(", "&amp;$B321&amp;", ", ", "&amp;INDEX('Form Responses'!$I$1:$Q$200,4,$A321)&amp;", ")),ISNUMBER(SEARCH(", "&amp;$B321&amp;", ", ", "&amp;INDEX('Form Responses'!$R$1:$R$200,4)&amp;", "))),1,""))</f>
        <v/>
      </c>
      <c r="G321">
        <f>IF(Wizards!$A$5="","",IF(OR(ISNUMBER(SEARCH(", "&amp;$B321&amp;", ", ", "&amp;INDEX('Form Responses'!$I$1:$Q$200,5,$A321)&amp;", ")),ISNUMBER(SEARCH(", "&amp;$B321&amp;", ", ", "&amp;INDEX('Form Responses'!$R$1:$R$200,5)&amp;", "))),1,""))</f>
        <v/>
      </c>
      <c r="H321">
        <f>IF(Wizards!$A$6="","",IF(OR(ISNUMBER(SEARCH(", "&amp;$B321&amp;", ", ", "&amp;INDEX('Form Responses'!$I$1:$Q$200,6,$A321)&amp;", ")),ISNUMBER(SEARCH(", "&amp;$B321&amp;", ", ", "&amp;INDEX('Form Responses'!$R$1:$R$200,6)&amp;", "))),1,""))</f>
        <v/>
      </c>
      <c r="I321">
        <f>IF(Wizards!$A$7="","",IF(OR(ISNUMBER(SEARCH(", "&amp;$B321&amp;", ", ", "&amp;INDEX('Form Responses'!$I$1:$Q$200,7,$A321)&amp;", ")),ISNUMBER(SEARCH(", "&amp;$B321&amp;", ", ", "&amp;INDEX('Form Responses'!$R$1:$R$200,7)&amp;", "))),1,""))</f>
        <v/>
      </c>
      <c r="J321">
        <f>IF(Wizards!$A$8="","",IF(OR(ISNUMBER(SEARCH(", "&amp;$B321&amp;", ", ", "&amp;INDEX('Form Responses'!$I$1:$Q$200,8,$A321)&amp;", ")),ISNUMBER(SEARCH(", "&amp;$B321&amp;", ", ", "&amp;INDEX('Form Responses'!$R$1:$R$200,8)&amp;", "))),1,""))</f>
        <v/>
      </c>
      <c r="K321">
        <f>IF(Wizards!$A$9="","",IF(OR(ISNUMBER(SEARCH(", "&amp;$B321&amp;", ", ", "&amp;INDEX('Form Responses'!$I$1:$Q$200,9,$A321)&amp;", ")),ISNUMBER(SEARCH(", "&amp;$B321&amp;", ", ", "&amp;INDEX('Form Responses'!$R$1:$R$200,9)&amp;", "))),1,""))</f>
        <v/>
      </c>
      <c r="L321">
        <f>IF(Wizards!$A$10="","",IF(OR(ISNUMBER(SEARCH(", "&amp;$B321&amp;", ", ", "&amp;INDEX('Form Responses'!$I$1:$Q$200,10,$A321)&amp;", ")),ISNUMBER(SEARCH(", "&amp;$B321&amp;", ", ", "&amp;INDEX('Form Responses'!$R$1:$R$200,10)&amp;", "))),1,""))</f>
        <v/>
      </c>
      <c r="M321">
        <f>IF(Wizards!$A$11="","",IF(OR(ISNUMBER(SEARCH(", "&amp;$B321&amp;", ", ", "&amp;INDEX('Form Responses'!$I$1:$Q$200,11,$A321)&amp;", ")),ISNUMBER(SEARCH(", "&amp;$B321&amp;", ", ", "&amp;INDEX('Form Responses'!$R$1:$R$200,11)&amp;", "))),1,""))</f>
        <v/>
      </c>
      <c r="N321">
        <f>IF(Wizards!$A$12="","",IF(OR(ISNUMBER(SEARCH(", "&amp;$B321&amp;", ", ", "&amp;INDEX('Form Responses'!$I$1:$Q$200,12,$A321)&amp;", ")),ISNUMBER(SEARCH(", "&amp;$B321&amp;", ", ", "&amp;INDEX('Form Responses'!$R$1:$R$200,12)&amp;", "))),1,""))</f>
        <v/>
      </c>
      <c r="O321">
        <f>IF(Wizards!$A$13="","",IF(OR(ISNUMBER(SEARCH(", "&amp;$B321&amp;", ", ", "&amp;INDEX('Form Responses'!$I$1:$Q$200,13,$A321)&amp;", ")),ISNUMBER(SEARCH(", "&amp;$B321&amp;", ", ", "&amp;INDEX('Form Responses'!$R$1:$R$200,13)&amp;", "))),1,""))</f>
        <v/>
      </c>
      <c r="P321">
        <f>IF(Wizards!$A$14="","",IF(OR(ISNUMBER(SEARCH(", "&amp;$B321&amp;", ", ", "&amp;INDEX('Form Responses'!$I$1:$Q$200,14,$A321)&amp;", ")),ISNUMBER(SEARCH(", "&amp;$B321&amp;", ", ", "&amp;INDEX('Form Responses'!$R$1:$R$200,14)&amp;", "))),1,""))</f>
        <v/>
      </c>
      <c r="Q321">
        <f>IF(Wizards!$A$15="","",IF(OR(ISNUMBER(SEARCH(", "&amp;$B321&amp;", ", ", "&amp;INDEX('Form Responses'!$I$1:$Q$200,15,$A321)&amp;", ")),ISNUMBER(SEARCH(", "&amp;$B321&amp;", ", ", "&amp;INDEX('Form Responses'!$R$1:$R$200,15)&amp;", "))),1,""))</f>
        <v/>
      </c>
      <c r="R321">
        <f>IF(Wizards!$A$16="","",IF(OR(ISNUMBER(SEARCH(", "&amp;$B321&amp;", ", ", "&amp;INDEX('Form Responses'!$I$1:$Q$200,16,$A321)&amp;", ")),ISNUMBER(SEARCH(", "&amp;$B321&amp;", ", ", "&amp;INDEX('Form Responses'!$R$1:$R$200,16)&amp;", "))),1,""))</f>
        <v/>
      </c>
      <c r="S321">
        <f>IF(Wizards!$A$17="","",IF(OR(ISNUMBER(SEARCH(", "&amp;$B321&amp;", ", ", "&amp;INDEX('Form Responses'!$I$1:$Q$200,17,$A321)&amp;", ")),ISNUMBER(SEARCH(", "&amp;$B321&amp;", ", ", "&amp;INDEX('Form Responses'!$R$1:$R$200,17)&amp;", "))),1,""))</f>
        <v/>
      </c>
      <c r="T321">
        <f>IF(Wizards!$A$18="","",IF(OR(ISNUMBER(SEARCH(", "&amp;$B321&amp;", ", ", "&amp;INDEX('Form Responses'!$I$1:$Q$200,18,$A321)&amp;", ")),ISNUMBER(SEARCH(", "&amp;$B321&amp;", ", ", "&amp;INDEX('Form Responses'!$R$1:$R$200,18)&amp;", "))),1,""))</f>
        <v/>
      </c>
      <c r="U321">
        <f>IF(Wizards!$A$19="","",IF(OR(ISNUMBER(SEARCH(", "&amp;$B321&amp;", ", ", "&amp;INDEX('Form Responses'!$I$1:$Q$200,19,$A321)&amp;", ")),ISNUMBER(SEARCH(", "&amp;$B321&amp;", ", ", "&amp;INDEX('Form Responses'!$R$1:$R$200,19)&amp;", "))),1,""))</f>
        <v/>
      </c>
      <c r="V321">
        <f>IF(Wizards!$A$20="","",IF(OR(ISNUMBER(SEARCH(", "&amp;$B321&amp;", ", ", "&amp;INDEX('Form Responses'!$I$1:$Q$200,20,$A321)&amp;", ")),ISNUMBER(SEARCH(", "&amp;$B321&amp;", ", ", "&amp;INDEX('Form Responses'!$R$1:$R$200,20)&amp;", "))),1,""))</f>
        <v/>
      </c>
      <c r="W321">
        <f>IF(Wizards!$A$21="","",IF(OR(ISNUMBER(SEARCH(", "&amp;$B321&amp;", ", ", "&amp;INDEX('Form Responses'!$I$1:$Q$200,21,$A321)&amp;", ")),ISNUMBER(SEARCH(", "&amp;$B321&amp;", ", ", "&amp;INDEX('Form Responses'!$R$1:$R$200,21)&amp;", "))),1,""))</f>
        <v/>
      </c>
      <c r="X321">
        <f>IF(Wizards!$A$22="","",IF(OR(ISNUMBER(SEARCH(", "&amp;$B321&amp;", ", ", "&amp;INDEX('Form Responses'!$I$1:$Q$200,22,$A321)&amp;", ")),ISNUMBER(SEARCH(", "&amp;$B321&amp;", ", ", "&amp;INDEX('Form Responses'!$R$1:$R$200,22)&amp;", "))),1,""))</f>
        <v/>
      </c>
      <c r="Y321">
        <f>IF(Wizards!$A$23="","",IF(OR(ISNUMBER(SEARCH(", "&amp;$B321&amp;", ", ", "&amp;INDEX('Form Responses'!$I$1:$Q$200,23,$A321)&amp;", ")),ISNUMBER(SEARCH(", "&amp;$B321&amp;", ", ", "&amp;INDEX('Form Responses'!$R$1:$R$200,23)&amp;", "))),1,""))</f>
        <v/>
      </c>
      <c r="Z321">
        <f>IF(Wizards!$A$24="","",IF(OR(ISNUMBER(SEARCH(", "&amp;$B321&amp;", ", ", "&amp;INDEX('Form Responses'!$I$1:$Q$200,24,$A321)&amp;", ")),ISNUMBER(SEARCH(", "&amp;$B321&amp;", ", ", "&amp;INDEX('Form Responses'!$R$1:$R$200,24)&amp;", "))),1,""))</f>
        <v/>
      </c>
      <c r="AA321">
        <f>IF(Wizards!$A$25="","",IF(OR(ISNUMBER(SEARCH(", "&amp;$B321&amp;", ", ", "&amp;INDEX('Form Responses'!$I$1:$Q$200,25,$A321)&amp;", ")),ISNUMBER(SEARCH(", "&amp;$B321&amp;", ", ", "&amp;INDEX('Form Responses'!$R$1:$R$200,25)&amp;", "))),1,""))</f>
        <v/>
      </c>
      <c r="AB321">
        <f>IF(D321=1,", "&amp;D$1,"")</f>
        <v/>
      </c>
      <c r="AC321">
        <f>IF(E321=1,", "&amp;E$1,"")</f>
        <v/>
      </c>
      <c r="AD321">
        <f>IF(F321=1,", "&amp;F$1,"")</f>
        <v/>
      </c>
      <c r="AE321">
        <f>IF(G321=1,", "&amp;G$1,"")</f>
        <v/>
      </c>
      <c r="AF321">
        <f>IF(H321=1,", "&amp;H$1,"")</f>
        <v/>
      </c>
      <c r="AG321">
        <f>IF(I321=1,", "&amp;I$1,"")</f>
        <v/>
      </c>
      <c r="AH321">
        <f>IF(J321=1,", "&amp;J$1,"")</f>
        <v/>
      </c>
      <c r="AI321">
        <f>IF(K321=1,", "&amp;K$1,"")</f>
        <v/>
      </c>
      <c r="AJ321">
        <f>IF(L321=1,", "&amp;L$1,"")</f>
        <v/>
      </c>
      <c r="AK321">
        <f>IF(M321=1,", "&amp;M$1,"")</f>
        <v/>
      </c>
      <c r="AL321">
        <f>IF(N321=1,", "&amp;N$1,"")</f>
        <v/>
      </c>
      <c r="AM321">
        <f>IF(O321=1,", "&amp;O$1,"")</f>
        <v/>
      </c>
      <c r="AN321">
        <f>IF(P321=1,", "&amp;P$1,"")</f>
        <v/>
      </c>
      <c r="AO321">
        <f>IF(Q321=1,", "&amp;Q$1,"")</f>
        <v/>
      </c>
      <c r="AP321">
        <f>IF(R321=1,", "&amp;R$1,"")</f>
        <v/>
      </c>
      <c r="AQ321">
        <f>IF(S321=1,", "&amp;S$1,"")</f>
        <v/>
      </c>
      <c r="AR321">
        <f>IF(T321=1,", "&amp;T$1,"")</f>
        <v/>
      </c>
      <c r="AS321">
        <f>IF(U321=1,", "&amp;U$1,"")</f>
        <v/>
      </c>
      <c r="AT321">
        <f>IF(V321=1,", "&amp;V$1,"")</f>
        <v/>
      </c>
      <c r="AU321">
        <f>IF(W321=1,", "&amp;W$1,"")</f>
        <v/>
      </c>
      <c r="AV321">
        <f>IF(X321=1,", "&amp;X$1,"")</f>
        <v/>
      </c>
      <c r="AW321">
        <f>IF(Y321=1,", "&amp;Y$1,"")</f>
        <v/>
      </c>
      <c r="AX321">
        <f>IF(Z321=1,", "&amp;Z$1,"")</f>
        <v/>
      </c>
      <c r="AY321">
        <f>IF(AA321=1,", "&amp;AA$1,"")</f>
        <v/>
      </c>
      <c r="AZ321">
        <f>MID($AB321&amp;$AC321&amp;$AD321&amp;$AE321&amp;$AF321&amp;$AG321&amp;$AH321&amp;$AI321&amp;$AJ321&amp;$AK321&amp;$AL321&amp;$AM321&amp;$AN321&amp;$AO321&amp;$AP321&amp;$AQ321&amp;$AR321&amp;$AS321&amp;$AT321&amp;$AU321&amp;$AV321&amp;$AW321&amp;$AX321&amp;$AY321,3,32767)</f>
        <v/>
      </c>
      <c r="BA321">
        <f>COUNT($D321:$AA321)</f>
        <v/>
      </c>
    </row>
    <row r="322">
      <c r="A322" t="n">
        <v>8</v>
      </c>
      <c r="B322" t="inlineStr">
        <is>
          <t>Iron Body</t>
        </is>
      </c>
      <c r="C322" t="inlineStr">
        <is>
          <t>Transmutation</t>
        </is>
      </c>
      <c r="D322">
        <f>IF(Wizards!$A$2="","",IF(OR(ISNUMBER(SEARCH(", "&amp;$B322&amp;", ", ", "&amp;INDEX('Form Responses'!$I$1:$Q$200,2,$A322)&amp;", ")),ISNUMBER(SEARCH(", "&amp;$B322&amp;", ", ", "&amp;INDEX('Form Responses'!$R$1:$R$200,2)&amp;", "))),1,""))</f>
        <v/>
      </c>
      <c r="E322">
        <f>IF(Wizards!$A$3="","",IF(OR(ISNUMBER(SEARCH(", "&amp;$B322&amp;", ", ", "&amp;INDEX('Form Responses'!$I$1:$Q$200,3,$A322)&amp;", ")),ISNUMBER(SEARCH(", "&amp;$B322&amp;", ", ", "&amp;INDEX('Form Responses'!$R$1:$R$200,3)&amp;", "))),1,""))</f>
        <v/>
      </c>
      <c r="F322">
        <f>IF(Wizards!$A$4="","",IF(OR(ISNUMBER(SEARCH(", "&amp;$B322&amp;", ", ", "&amp;INDEX('Form Responses'!$I$1:$Q$200,4,$A322)&amp;", ")),ISNUMBER(SEARCH(", "&amp;$B322&amp;", ", ", "&amp;INDEX('Form Responses'!$R$1:$R$200,4)&amp;", "))),1,""))</f>
        <v/>
      </c>
      <c r="G322">
        <f>IF(Wizards!$A$5="","",IF(OR(ISNUMBER(SEARCH(", "&amp;$B322&amp;", ", ", "&amp;INDEX('Form Responses'!$I$1:$Q$200,5,$A322)&amp;", ")),ISNUMBER(SEARCH(", "&amp;$B322&amp;", ", ", "&amp;INDEX('Form Responses'!$R$1:$R$200,5)&amp;", "))),1,""))</f>
        <v/>
      </c>
      <c r="H322">
        <f>IF(Wizards!$A$6="","",IF(OR(ISNUMBER(SEARCH(", "&amp;$B322&amp;", ", ", "&amp;INDEX('Form Responses'!$I$1:$Q$200,6,$A322)&amp;", ")),ISNUMBER(SEARCH(", "&amp;$B322&amp;", ", ", "&amp;INDEX('Form Responses'!$R$1:$R$200,6)&amp;", "))),1,""))</f>
        <v/>
      </c>
      <c r="I322">
        <f>IF(Wizards!$A$7="","",IF(OR(ISNUMBER(SEARCH(", "&amp;$B322&amp;", ", ", "&amp;INDEX('Form Responses'!$I$1:$Q$200,7,$A322)&amp;", ")),ISNUMBER(SEARCH(", "&amp;$B322&amp;", ", ", "&amp;INDEX('Form Responses'!$R$1:$R$200,7)&amp;", "))),1,""))</f>
        <v/>
      </c>
      <c r="J322">
        <f>IF(Wizards!$A$8="","",IF(OR(ISNUMBER(SEARCH(", "&amp;$B322&amp;", ", ", "&amp;INDEX('Form Responses'!$I$1:$Q$200,8,$A322)&amp;", ")),ISNUMBER(SEARCH(", "&amp;$B322&amp;", ", ", "&amp;INDEX('Form Responses'!$R$1:$R$200,8)&amp;", "))),1,""))</f>
        <v/>
      </c>
      <c r="K322">
        <f>IF(Wizards!$A$9="","",IF(OR(ISNUMBER(SEARCH(", "&amp;$B322&amp;", ", ", "&amp;INDEX('Form Responses'!$I$1:$Q$200,9,$A322)&amp;", ")),ISNUMBER(SEARCH(", "&amp;$B322&amp;", ", ", "&amp;INDEX('Form Responses'!$R$1:$R$200,9)&amp;", "))),1,""))</f>
        <v/>
      </c>
      <c r="L322">
        <f>IF(Wizards!$A$10="","",IF(OR(ISNUMBER(SEARCH(", "&amp;$B322&amp;", ", ", "&amp;INDEX('Form Responses'!$I$1:$Q$200,10,$A322)&amp;", ")),ISNUMBER(SEARCH(", "&amp;$B322&amp;", ", ", "&amp;INDEX('Form Responses'!$R$1:$R$200,10)&amp;", "))),1,""))</f>
        <v/>
      </c>
      <c r="M322">
        <f>IF(Wizards!$A$11="","",IF(OR(ISNUMBER(SEARCH(", "&amp;$B322&amp;", ", ", "&amp;INDEX('Form Responses'!$I$1:$Q$200,11,$A322)&amp;", ")),ISNUMBER(SEARCH(", "&amp;$B322&amp;", ", ", "&amp;INDEX('Form Responses'!$R$1:$R$200,11)&amp;", "))),1,""))</f>
        <v/>
      </c>
      <c r="N322">
        <f>IF(Wizards!$A$12="","",IF(OR(ISNUMBER(SEARCH(", "&amp;$B322&amp;", ", ", "&amp;INDEX('Form Responses'!$I$1:$Q$200,12,$A322)&amp;", ")),ISNUMBER(SEARCH(", "&amp;$B322&amp;", ", ", "&amp;INDEX('Form Responses'!$R$1:$R$200,12)&amp;", "))),1,""))</f>
        <v/>
      </c>
      <c r="O322">
        <f>IF(Wizards!$A$13="","",IF(OR(ISNUMBER(SEARCH(", "&amp;$B322&amp;", ", ", "&amp;INDEX('Form Responses'!$I$1:$Q$200,13,$A322)&amp;", ")),ISNUMBER(SEARCH(", "&amp;$B322&amp;", ", ", "&amp;INDEX('Form Responses'!$R$1:$R$200,13)&amp;", "))),1,""))</f>
        <v/>
      </c>
      <c r="P322">
        <f>IF(Wizards!$A$14="","",IF(OR(ISNUMBER(SEARCH(", "&amp;$B322&amp;", ", ", "&amp;INDEX('Form Responses'!$I$1:$Q$200,14,$A322)&amp;", ")),ISNUMBER(SEARCH(", "&amp;$B322&amp;", ", ", "&amp;INDEX('Form Responses'!$R$1:$R$200,14)&amp;", "))),1,""))</f>
        <v/>
      </c>
      <c r="Q322">
        <f>IF(Wizards!$A$15="","",IF(OR(ISNUMBER(SEARCH(", "&amp;$B322&amp;", ", ", "&amp;INDEX('Form Responses'!$I$1:$Q$200,15,$A322)&amp;", ")),ISNUMBER(SEARCH(", "&amp;$B322&amp;", ", ", "&amp;INDEX('Form Responses'!$R$1:$R$200,15)&amp;", "))),1,""))</f>
        <v/>
      </c>
      <c r="R322">
        <f>IF(Wizards!$A$16="","",IF(OR(ISNUMBER(SEARCH(", "&amp;$B322&amp;", ", ", "&amp;INDEX('Form Responses'!$I$1:$Q$200,16,$A322)&amp;", ")),ISNUMBER(SEARCH(", "&amp;$B322&amp;", ", ", "&amp;INDEX('Form Responses'!$R$1:$R$200,16)&amp;", "))),1,""))</f>
        <v/>
      </c>
      <c r="S322">
        <f>IF(Wizards!$A$17="","",IF(OR(ISNUMBER(SEARCH(", "&amp;$B322&amp;", ", ", "&amp;INDEX('Form Responses'!$I$1:$Q$200,17,$A322)&amp;", ")),ISNUMBER(SEARCH(", "&amp;$B322&amp;", ", ", "&amp;INDEX('Form Responses'!$R$1:$R$200,17)&amp;", "))),1,""))</f>
        <v/>
      </c>
      <c r="T322">
        <f>IF(Wizards!$A$18="","",IF(OR(ISNUMBER(SEARCH(", "&amp;$B322&amp;", ", ", "&amp;INDEX('Form Responses'!$I$1:$Q$200,18,$A322)&amp;", ")),ISNUMBER(SEARCH(", "&amp;$B322&amp;", ", ", "&amp;INDEX('Form Responses'!$R$1:$R$200,18)&amp;", "))),1,""))</f>
        <v/>
      </c>
      <c r="U322">
        <f>IF(Wizards!$A$19="","",IF(OR(ISNUMBER(SEARCH(", "&amp;$B322&amp;", ", ", "&amp;INDEX('Form Responses'!$I$1:$Q$200,19,$A322)&amp;", ")),ISNUMBER(SEARCH(", "&amp;$B322&amp;", ", ", "&amp;INDEX('Form Responses'!$R$1:$R$200,19)&amp;", "))),1,""))</f>
        <v/>
      </c>
      <c r="V322">
        <f>IF(Wizards!$A$20="","",IF(OR(ISNUMBER(SEARCH(", "&amp;$B322&amp;", ", ", "&amp;INDEX('Form Responses'!$I$1:$Q$200,20,$A322)&amp;", ")),ISNUMBER(SEARCH(", "&amp;$B322&amp;", ", ", "&amp;INDEX('Form Responses'!$R$1:$R$200,20)&amp;", "))),1,""))</f>
        <v/>
      </c>
      <c r="W322">
        <f>IF(Wizards!$A$21="","",IF(OR(ISNUMBER(SEARCH(", "&amp;$B322&amp;", ", ", "&amp;INDEX('Form Responses'!$I$1:$Q$200,21,$A322)&amp;", ")),ISNUMBER(SEARCH(", "&amp;$B322&amp;", ", ", "&amp;INDEX('Form Responses'!$R$1:$R$200,21)&amp;", "))),1,""))</f>
        <v/>
      </c>
      <c r="X322">
        <f>IF(Wizards!$A$22="","",IF(OR(ISNUMBER(SEARCH(", "&amp;$B322&amp;", ", ", "&amp;INDEX('Form Responses'!$I$1:$Q$200,22,$A322)&amp;", ")),ISNUMBER(SEARCH(", "&amp;$B322&amp;", ", ", "&amp;INDEX('Form Responses'!$R$1:$R$200,22)&amp;", "))),1,""))</f>
        <v/>
      </c>
      <c r="Y322">
        <f>IF(Wizards!$A$23="","",IF(OR(ISNUMBER(SEARCH(", "&amp;$B322&amp;", ", ", "&amp;INDEX('Form Responses'!$I$1:$Q$200,23,$A322)&amp;", ")),ISNUMBER(SEARCH(", "&amp;$B322&amp;", ", ", "&amp;INDEX('Form Responses'!$R$1:$R$200,23)&amp;", "))),1,""))</f>
        <v/>
      </c>
      <c r="Z322">
        <f>IF(Wizards!$A$24="","",IF(OR(ISNUMBER(SEARCH(", "&amp;$B322&amp;", ", ", "&amp;INDEX('Form Responses'!$I$1:$Q$200,24,$A322)&amp;", ")),ISNUMBER(SEARCH(", "&amp;$B322&amp;", ", ", "&amp;INDEX('Form Responses'!$R$1:$R$200,24)&amp;", "))),1,""))</f>
        <v/>
      </c>
      <c r="AA322">
        <f>IF(Wizards!$A$25="","",IF(OR(ISNUMBER(SEARCH(", "&amp;$B322&amp;", ", ", "&amp;INDEX('Form Responses'!$I$1:$Q$200,25,$A322)&amp;", ")),ISNUMBER(SEARCH(", "&amp;$B322&amp;", ", ", "&amp;INDEX('Form Responses'!$R$1:$R$200,25)&amp;", "))),1,""))</f>
        <v/>
      </c>
      <c r="AB322">
        <f>IF(D322=1,", "&amp;D$1,"")</f>
        <v/>
      </c>
      <c r="AC322">
        <f>IF(E322=1,", "&amp;E$1,"")</f>
        <v/>
      </c>
      <c r="AD322">
        <f>IF(F322=1,", "&amp;F$1,"")</f>
        <v/>
      </c>
      <c r="AE322">
        <f>IF(G322=1,", "&amp;G$1,"")</f>
        <v/>
      </c>
      <c r="AF322">
        <f>IF(H322=1,", "&amp;H$1,"")</f>
        <v/>
      </c>
      <c r="AG322">
        <f>IF(I322=1,", "&amp;I$1,"")</f>
        <v/>
      </c>
      <c r="AH322">
        <f>IF(J322=1,", "&amp;J$1,"")</f>
        <v/>
      </c>
      <c r="AI322">
        <f>IF(K322=1,", "&amp;K$1,"")</f>
        <v/>
      </c>
      <c r="AJ322">
        <f>IF(L322=1,", "&amp;L$1,"")</f>
        <v/>
      </c>
      <c r="AK322">
        <f>IF(M322=1,", "&amp;M$1,"")</f>
        <v/>
      </c>
      <c r="AL322">
        <f>IF(N322=1,", "&amp;N$1,"")</f>
        <v/>
      </c>
      <c r="AM322">
        <f>IF(O322=1,", "&amp;O$1,"")</f>
        <v/>
      </c>
      <c r="AN322">
        <f>IF(P322=1,", "&amp;P$1,"")</f>
        <v/>
      </c>
      <c r="AO322">
        <f>IF(Q322=1,", "&amp;Q$1,"")</f>
        <v/>
      </c>
      <c r="AP322">
        <f>IF(R322=1,", "&amp;R$1,"")</f>
        <v/>
      </c>
      <c r="AQ322">
        <f>IF(S322=1,", "&amp;S$1,"")</f>
        <v/>
      </c>
      <c r="AR322">
        <f>IF(T322=1,", "&amp;T$1,"")</f>
        <v/>
      </c>
      <c r="AS322">
        <f>IF(U322=1,", "&amp;U$1,"")</f>
        <v/>
      </c>
      <c r="AT322">
        <f>IF(V322=1,", "&amp;V$1,"")</f>
        <v/>
      </c>
      <c r="AU322">
        <f>IF(W322=1,", "&amp;W$1,"")</f>
        <v/>
      </c>
      <c r="AV322">
        <f>IF(X322=1,", "&amp;X$1,"")</f>
        <v/>
      </c>
      <c r="AW322">
        <f>IF(Y322=1,", "&amp;Y$1,"")</f>
        <v/>
      </c>
      <c r="AX322">
        <f>IF(Z322=1,", "&amp;Z$1,"")</f>
        <v/>
      </c>
      <c r="AY322">
        <f>IF(AA322=1,", "&amp;AA$1,"")</f>
        <v/>
      </c>
      <c r="AZ322">
        <f>MID($AB322&amp;$AC322&amp;$AD322&amp;$AE322&amp;$AF322&amp;$AG322&amp;$AH322&amp;$AI322&amp;$AJ322&amp;$AK322&amp;$AL322&amp;$AM322&amp;$AN322&amp;$AO322&amp;$AP322&amp;$AQ322&amp;$AR322&amp;$AS322&amp;$AT322&amp;$AU322&amp;$AV322&amp;$AW322&amp;$AX322&amp;$AY322,3,32767)</f>
        <v/>
      </c>
      <c r="BA322">
        <f>COUNT($D322:$AA322)</f>
        <v/>
      </c>
    </row>
    <row r="323">
      <c r="A323" t="n">
        <v>8</v>
      </c>
      <c r="B323" t="inlineStr">
        <is>
          <t>Lightning Ring</t>
        </is>
      </c>
      <c r="C323" t="inlineStr">
        <is>
          <t>Evocation</t>
        </is>
      </c>
      <c r="D323">
        <f>IF(Wizards!$A$2="","",IF(OR(ISNUMBER(SEARCH(", "&amp;$B323&amp;", ", ", "&amp;INDEX('Form Responses'!$I$1:$Q$200,2,$A323)&amp;", ")),ISNUMBER(SEARCH(", "&amp;$B323&amp;", ", ", "&amp;INDEX('Form Responses'!$R$1:$R$200,2)&amp;", "))),1,""))</f>
        <v/>
      </c>
      <c r="E323">
        <f>IF(Wizards!$A$3="","",IF(OR(ISNUMBER(SEARCH(", "&amp;$B323&amp;", ", ", "&amp;INDEX('Form Responses'!$I$1:$Q$200,3,$A323)&amp;", ")),ISNUMBER(SEARCH(", "&amp;$B323&amp;", ", ", "&amp;INDEX('Form Responses'!$R$1:$R$200,3)&amp;", "))),1,""))</f>
        <v/>
      </c>
      <c r="F323">
        <f>IF(Wizards!$A$4="","",IF(OR(ISNUMBER(SEARCH(", "&amp;$B323&amp;", ", ", "&amp;INDEX('Form Responses'!$I$1:$Q$200,4,$A323)&amp;", ")),ISNUMBER(SEARCH(", "&amp;$B323&amp;", ", ", "&amp;INDEX('Form Responses'!$R$1:$R$200,4)&amp;", "))),1,""))</f>
        <v/>
      </c>
      <c r="G323">
        <f>IF(Wizards!$A$5="","",IF(OR(ISNUMBER(SEARCH(", "&amp;$B323&amp;", ", ", "&amp;INDEX('Form Responses'!$I$1:$Q$200,5,$A323)&amp;", ")),ISNUMBER(SEARCH(", "&amp;$B323&amp;", ", ", "&amp;INDEX('Form Responses'!$R$1:$R$200,5)&amp;", "))),1,""))</f>
        <v/>
      </c>
      <c r="H323">
        <f>IF(Wizards!$A$6="","",IF(OR(ISNUMBER(SEARCH(", "&amp;$B323&amp;", ", ", "&amp;INDEX('Form Responses'!$I$1:$Q$200,6,$A323)&amp;", ")),ISNUMBER(SEARCH(", "&amp;$B323&amp;", ", ", "&amp;INDEX('Form Responses'!$R$1:$R$200,6)&amp;", "))),1,""))</f>
        <v/>
      </c>
      <c r="I323">
        <f>IF(Wizards!$A$7="","",IF(OR(ISNUMBER(SEARCH(", "&amp;$B323&amp;", ", ", "&amp;INDEX('Form Responses'!$I$1:$Q$200,7,$A323)&amp;", ")),ISNUMBER(SEARCH(", "&amp;$B323&amp;", ", ", "&amp;INDEX('Form Responses'!$R$1:$R$200,7)&amp;", "))),1,""))</f>
        <v/>
      </c>
      <c r="J323">
        <f>IF(Wizards!$A$8="","",IF(OR(ISNUMBER(SEARCH(", "&amp;$B323&amp;", ", ", "&amp;INDEX('Form Responses'!$I$1:$Q$200,8,$A323)&amp;", ")),ISNUMBER(SEARCH(", "&amp;$B323&amp;", ", ", "&amp;INDEX('Form Responses'!$R$1:$R$200,8)&amp;", "))),1,""))</f>
        <v/>
      </c>
      <c r="K323">
        <f>IF(Wizards!$A$9="","",IF(OR(ISNUMBER(SEARCH(", "&amp;$B323&amp;", ", ", "&amp;INDEX('Form Responses'!$I$1:$Q$200,9,$A323)&amp;", ")),ISNUMBER(SEARCH(", "&amp;$B323&amp;", ", ", "&amp;INDEX('Form Responses'!$R$1:$R$200,9)&amp;", "))),1,""))</f>
        <v/>
      </c>
      <c r="L323">
        <f>IF(Wizards!$A$10="","",IF(OR(ISNUMBER(SEARCH(", "&amp;$B323&amp;", ", ", "&amp;INDEX('Form Responses'!$I$1:$Q$200,10,$A323)&amp;", ")),ISNUMBER(SEARCH(", "&amp;$B323&amp;", ", ", "&amp;INDEX('Form Responses'!$R$1:$R$200,10)&amp;", "))),1,""))</f>
        <v/>
      </c>
      <c r="M323">
        <f>IF(Wizards!$A$11="","",IF(OR(ISNUMBER(SEARCH(", "&amp;$B323&amp;", ", ", "&amp;INDEX('Form Responses'!$I$1:$Q$200,11,$A323)&amp;", ")),ISNUMBER(SEARCH(", "&amp;$B323&amp;", ", ", "&amp;INDEX('Form Responses'!$R$1:$R$200,11)&amp;", "))),1,""))</f>
        <v/>
      </c>
      <c r="N323">
        <f>IF(Wizards!$A$12="","",IF(OR(ISNUMBER(SEARCH(", "&amp;$B323&amp;", ", ", "&amp;INDEX('Form Responses'!$I$1:$Q$200,12,$A323)&amp;", ")),ISNUMBER(SEARCH(", "&amp;$B323&amp;", ", ", "&amp;INDEX('Form Responses'!$R$1:$R$200,12)&amp;", "))),1,""))</f>
        <v/>
      </c>
      <c r="O323">
        <f>IF(Wizards!$A$13="","",IF(OR(ISNUMBER(SEARCH(", "&amp;$B323&amp;", ", ", "&amp;INDEX('Form Responses'!$I$1:$Q$200,13,$A323)&amp;", ")),ISNUMBER(SEARCH(", "&amp;$B323&amp;", ", ", "&amp;INDEX('Form Responses'!$R$1:$R$200,13)&amp;", "))),1,""))</f>
        <v/>
      </c>
      <c r="P323">
        <f>IF(Wizards!$A$14="","",IF(OR(ISNUMBER(SEARCH(", "&amp;$B323&amp;", ", ", "&amp;INDEX('Form Responses'!$I$1:$Q$200,14,$A323)&amp;", ")),ISNUMBER(SEARCH(", "&amp;$B323&amp;", ", ", "&amp;INDEX('Form Responses'!$R$1:$R$200,14)&amp;", "))),1,""))</f>
        <v/>
      </c>
      <c r="Q323">
        <f>IF(Wizards!$A$15="","",IF(OR(ISNUMBER(SEARCH(", "&amp;$B323&amp;", ", ", "&amp;INDEX('Form Responses'!$I$1:$Q$200,15,$A323)&amp;", ")),ISNUMBER(SEARCH(", "&amp;$B323&amp;", ", ", "&amp;INDEX('Form Responses'!$R$1:$R$200,15)&amp;", "))),1,""))</f>
        <v/>
      </c>
      <c r="R323">
        <f>IF(Wizards!$A$16="","",IF(OR(ISNUMBER(SEARCH(", "&amp;$B323&amp;", ", ", "&amp;INDEX('Form Responses'!$I$1:$Q$200,16,$A323)&amp;", ")),ISNUMBER(SEARCH(", "&amp;$B323&amp;", ", ", "&amp;INDEX('Form Responses'!$R$1:$R$200,16)&amp;", "))),1,""))</f>
        <v/>
      </c>
      <c r="S323">
        <f>IF(Wizards!$A$17="","",IF(OR(ISNUMBER(SEARCH(", "&amp;$B323&amp;", ", ", "&amp;INDEX('Form Responses'!$I$1:$Q$200,17,$A323)&amp;", ")),ISNUMBER(SEARCH(", "&amp;$B323&amp;", ", ", "&amp;INDEX('Form Responses'!$R$1:$R$200,17)&amp;", "))),1,""))</f>
        <v/>
      </c>
      <c r="T323">
        <f>IF(Wizards!$A$18="","",IF(OR(ISNUMBER(SEARCH(", "&amp;$B323&amp;", ", ", "&amp;INDEX('Form Responses'!$I$1:$Q$200,18,$A323)&amp;", ")),ISNUMBER(SEARCH(", "&amp;$B323&amp;", ", ", "&amp;INDEX('Form Responses'!$R$1:$R$200,18)&amp;", "))),1,""))</f>
        <v/>
      </c>
      <c r="U323">
        <f>IF(Wizards!$A$19="","",IF(OR(ISNUMBER(SEARCH(", "&amp;$B323&amp;", ", ", "&amp;INDEX('Form Responses'!$I$1:$Q$200,19,$A323)&amp;", ")),ISNUMBER(SEARCH(", "&amp;$B323&amp;", ", ", "&amp;INDEX('Form Responses'!$R$1:$R$200,19)&amp;", "))),1,""))</f>
        <v/>
      </c>
      <c r="V323">
        <f>IF(Wizards!$A$20="","",IF(OR(ISNUMBER(SEARCH(", "&amp;$B323&amp;", ", ", "&amp;INDEX('Form Responses'!$I$1:$Q$200,20,$A323)&amp;", ")),ISNUMBER(SEARCH(", "&amp;$B323&amp;", ", ", "&amp;INDEX('Form Responses'!$R$1:$R$200,20)&amp;", "))),1,""))</f>
        <v/>
      </c>
      <c r="W323">
        <f>IF(Wizards!$A$21="","",IF(OR(ISNUMBER(SEARCH(", "&amp;$B323&amp;", ", ", "&amp;INDEX('Form Responses'!$I$1:$Q$200,21,$A323)&amp;", ")),ISNUMBER(SEARCH(", "&amp;$B323&amp;", ", ", "&amp;INDEX('Form Responses'!$R$1:$R$200,21)&amp;", "))),1,""))</f>
        <v/>
      </c>
      <c r="X323">
        <f>IF(Wizards!$A$22="","",IF(OR(ISNUMBER(SEARCH(", "&amp;$B323&amp;", ", ", "&amp;INDEX('Form Responses'!$I$1:$Q$200,22,$A323)&amp;", ")),ISNUMBER(SEARCH(", "&amp;$B323&amp;", ", ", "&amp;INDEX('Form Responses'!$R$1:$R$200,22)&amp;", "))),1,""))</f>
        <v/>
      </c>
      <c r="Y323">
        <f>IF(Wizards!$A$23="","",IF(OR(ISNUMBER(SEARCH(", "&amp;$B323&amp;", ", ", "&amp;INDEX('Form Responses'!$I$1:$Q$200,23,$A323)&amp;", ")),ISNUMBER(SEARCH(", "&amp;$B323&amp;", ", ", "&amp;INDEX('Form Responses'!$R$1:$R$200,23)&amp;", "))),1,""))</f>
        <v/>
      </c>
      <c r="Z323">
        <f>IF(Wizards!$A$24="","",IF(OR(ISNUMBER(SEARCH(", "&amp;$B323&amp;", ", ", "&amp;INDEX('Form Responses'!$I$1:$Q$200,24,$A323)&amp;", ")),ISNUMBER(SEARCH(", "&amp;$B323&amp;", ", ", "&amp;INDEX('Form Responses'!$R$1:$R$200,24)&amp;", "))),1,""))</f>
        <v/>
      </c>
      <c r="AA323">
        <f>IF(Wizards!$A$25="","",IF(OR(ISNUMBER(SEARCH(", "&amp;$B323&amp;", ", ", "&amp;INDEX('Form Responses'!$I$1:$Q$200,25,$A323)&amp;", ")),ISNUMBER(SEARCH(", "&amp;$B323&amp;", ", ", "&amp;INDEX('Form Responses'!$R$1:$R$200,25)&amp;", "))),1,""))</f>
        <v/>
      </c>
      <c r="AB323">
        <f>IF(D323=1,", "&amp;D$1,"")</f>
        <v/>
      </c>
      <c r="AC323">
        <f>IF(E323=1,", "&amp;E$1,"")</f>
        <v/>
      </c>
      <c r="AD323">
        <f>IF(F323=1,", "&amp;F$1,"")</f>
        <v/>
      </c>
      <c r="AE323">
        <f>IF(G323=1,", "&amp;G$1,"")</f>
        <v/>
      </c>
      <c r="AF323">
        <f>IF(H323=1,", "&amp;H$1,"")</f>
        <v/>
      </c>
      <c r="AG323">
        <f>IF(I323=1,", "&amp;I$1,"")</f>
        <v/>
      </c>
      <c r="AH323">
        <f>IF(J323=1,", "&amp;J$1,"")</f>
        <v/>
      </c>
      <c r="AI323">
        <f>IF(K323=1,", "&amp;K$1,"")</f>
        <v/>
      </c>
      <c r="AJ323">
        <f>IF(L323=1,", "&amp;L$1,"")</f>
        <v/>
      </c>
      <c r="AK323">
        <f>IF(M323=1,", "&amp;M$1,"")</f>
        <v/>
      </c>
      <c r="AL323">
        <f>IF(N323=1,", "&amp;N$1,"")</f>
        <v/>
      </c>
      <c r="AM323">
        <f>IF(O323=1,", "&amp;O$1,"")</f>
        <v/>
      </c>
      <c r="AN323">
        <f>IF(P323=1,", "&amp;P$1,"")</f>
        <v/>
      </c>
      <c r="AO323">
        <f>IF(Q323=1,", "&amp;Q$1,"")</f>
        <v/>
      </c>
      <c r="AP323">
        <f>IF(R323=1,", "&amp;R$1,"")</f>
        <v/>
      </c>
      <c r="AQ323">
        <f>IF(S323=1,", "&amp;S$1,"")</f>
        <v/>
      </c>
      <c r="AR323">
        <f>IF(T323=1,", "&amp;T$1,"")</f>
        <v/>
      </c>
      <c r="AS323">
        <f>IF(U323=1,", "&amp;U$1,"")</f>
        <v/>
      </c>
      <c r="AT323">
        <f>IF(V323=1,", "&amp;V$1,"")</f>
        <v/>
      </c>
      <c r="AU323">
        <f>IF(W323=1,", "&amp;W$1,"")</f>
        <v/>
      </c>
      <c r="AV323">
        <f>IF(X323=1,", "&amp;X$1,"")</f>
        <v/>
      </c>
      <c r="AW323">
        <f>IF(Y323=1,", "&amp;Y$1,"")</f>
        <v/>
      </c>
      <c r="AX323">
        <f>IF(Z323=1,", "&amp;Z$1,"")</f>
        <v/>
      </c>
      <c r="AY323">
        <f>IF(AA323=1,", "&amp;AA$1,"")</f>
        <v/>
      </c>
      <c r="AZ323">
        <f>MID($AB323&amp;$AC323&amp;$AD323&amp;$AE323&amp;$AF323&amp;$AG323&amp;$AH323&amp;$AI323&amp;$AJ323&amp;$AK323&amp;$AL323&amp;$AM323&amp;$AN323&amp;$AO323&amp;$AP323&amp;$AQ323&amp;$AR323&amp;$AS323&amp;$AT323&amp;$AU323&amp;$AV323&amp;$AW323&amp;$AX323&amp;$AY323,3,32767)</f>
        <v/>
      </c>
      <c r="BA323">
        <f>COUNT($D323:$AA323)</f>
        <v/>
      </c>
    </row>
    <row r="324">
      <c r="A324" t="n">
        <v>8</v>
      </c>
      <c r="B324" t="inlineStr">
        <is>
          <t>Maddening Darkness</t>
        </is>
      </c>
      <c r="C324" t="inlineStr">
        <is>
          <t>Evocation</t>
        </is>
      </c>
      <c r="D324">
        <f>IF(Wizards!$A$2="","",IF(OR(ISNUMBER(SEARCH(", "&amp;$B324&amp;", ", ", "&amp;INDEX('Form Responses'!$I$1:$Q$200,2,$A324)&amp;", ")),ISNUMBER(SEARCH(", "&amp;$B324&amp;", ", ", "&amp;INDEX('Form Responses'!$R$1:$R$200,2)&amp;", "))),1,""))</f>
        <v/>
      </c>
      <c r="E324">
        <f>IF(Wizards!$A$3="","",IF(OR(ISNUMBER(SEARCH(", "&amp;$B324&amp;", ", ", "&amp;INDEX('Form Responses'!$I$1:$Q$200,3,$A324)&amp;", ")),ISNUMBER(SEARCH(", "&amp;$B324&amp;", ", ", "&amp;INDEX('Form Responses'!$R$1:$R$200,3)&amp;", "))),1,""))</f>
        <v/>
      </c>
      <c r="F324">
        <f>IF(Wizards!$A$4="","",IF(OR(ISNUMBER(SEARCH(", "&amp;$B324&amp;", ", ", "&amp;INDEX('Form Responses'!$I$1:$Q$200,4,$A324)&amp;", ")),ISNUMBER(SEARCH(", "&amp;$B324&amp;", ", ", "&amp;INDEX('Form Responses'!$R$1:$R$200,4)&amp;", "))),1,""))</f>
        <v/>
      </c>
      <c r="G324">
        <f>IF(Wizards!$A$5="","",IF(OR(ISNUMBER(SEARCH(", "&amp;$B324&amp;", ", ", "&amp;INDEX('Form Responses'!$I$1:$Q$200,5,$A324)&amp;", ")),ISNUMBER(SEARCH(", "&amp;$B324&amp;", ", ", "&amp;INDEX('Form Responses'!$R$1:$R$200,5)&amp;", "))),1,""))</f>
        <v/>
      </c>
      <c r="H324">
        <f>IF(Wizards!$A$6="","",IF(OR(ISNUMBER(SEARCH(", "&amp;$B324&amp;", ", ", "&amp;INDEX('Form Responses'!$I$1:$Q$200,6,$A324)&amp;", ")),ISNUMBER(SEARCH(", "&amp;$B324&amp;", ", ", "&amp;INDEX('Form Responses'!$R$1:$R$200,6)&amp;", "))),1,""))</f>
        <v/>
      </c>
      <c r="I324">
        <f>IF(Wizards!$A$7="","",IF(OR(ISNUMBER(SEARCH(", "&amp;$B324&amp;", ", ", "&amp;INDEX('Form Responses'!$I$1:$Q$200,7,$A324)&amp;", ")),ISNUMBER(SEARCH(", "&amp;$B324&amp;", ", ", "&amp;INDEX('Form Responses'!$R$1:$R$200,7)&amp;", "))),1,""))</f>
        <v/>
      </c>
      <c r="J324">
        <f>IF(Wizards!$A$8="","",IF(OR(ISNUMBER(SEARCH(", "&amp;$B324&amp;", ", ", "&amp;INDEX('Form Responses'!$I$1:$Q$200,8,$A324)&amp;", ")),ISNUMBER(SEARCH(", "&amp;$B324&amp;", ", ", "&amp;INDEX('Form Responses'!$R$1:$R$200,8)&amp;", "))),1,""))</f>
        <v/>
      </c>
      <c r="K324">
        <f>IF(Wizards!$A$9="","",IF(OR(ISNUMBER(SEARCH(", "&amp;$B324&amp;", ", ", "&amp;INDEX('Form Responses'!$I$1:$Q$200,9,$A324)&amp;", ")),ISNUMBER(SEARCH(", "&amp;$B324&amp;", ", ", "&amp;INDEX('Form Responses'!$R$1:$R$200,9)&amp;", "))),1,""))</f>
        <v/>
      </c>
      <c r="L324">
        <f>IF(Wizards!$A$10="","",IF(OR(ISNUMBER(SEARCH(", "&amp;$B324&amp;", ", ", "&amp;INDEX('Form Responses'!$I$1:$Q$200,10,$A324)&amp;", ")),ISNUMBER(SEARCH(", "&amp;$B324&amp;", ", ", "&amp;INDEX('Form Responses'!$R$1:$R$200,10)&amp;", "))),1,""))</f>
        <v/>
      </c>
      <c r="M324">
        <f>IF(Wizards!$A$11="","",IF(OR(ISNUMBER(SEARCH(", "&amp;$B324&amp;", ", ", "&amp;INDEX('Form Responses'!$I$1:$Q$200,11,$A324)&amp;", ")),ISNUMBER(SEARCH(", "&amp;$B324&amp;", ", ", "&amp;INDEX('Form Responses'!$R$1:$R$200,11)&amp;", "))),1,""))</f>
        <v/>
      </c>
      <c r="N324">
        <f>IF(Wizards!$A$12="","",IF(OR(ISNUMBER(SEARCH(", "&amp;$B324&amp;", ", ", "&amp;INDEX('Form Responses'!$I$1:$Q$200,12,$A324)&amp;", ")),ISNUMBER(SEARCH(", "&amp;$B324&amp;", ", ", "&amp;INDEX('Form Responses'!$R$1:$R$200,12)&amp;", "))),1,""))</f>
        <v/>
      </c>
      <c r="O324">
        <f>IF(Wizards!$A$13="","",IF(OR(ISNUMBER(SEARCH(", "&amp;$B324&amp;", ", ", "&amp;INDEX('Form Responses'!$I$1:$Q$200,13,$A324)&amp;", ")),ISNUMBER(SEARCH(", "&amp;$B324&amp;", ", ", "&amp;INDEX('Form Responses'!$R$1:$R$200,13)&amp;", "))),1,""))</f>
        <v/>
      </c>
      <c r="P324">
        <f>IF(Wizards!$A$14="","",IF(OR(ISNUMBER(SEARCH(", "&amp;$B324&amp;", ", ", "&amp;INDEX('Form Responses'!$I$1:$Q$200,14,$A324)&amp;", ")),ISNUMBER(SEARCH(", "&amp;$B324&amp;", ", ", "&amp;INDEX('Form Responses'!$R$1:$R$200,14)&amp;", "))),1,""))</f>
        <v/>
      </c>
      <c r="Q324">
        <f>IF(Wizards!$A$15="","",IF(OR(ISNUMBER(SEARCH(", "&amp;$B324&amp;", ", ", "&amp;INDEX('Form Responses'!$I$1:$Q$200,15,$A324)&amp;", ")),ISNUMBER(SEARCH(", "&amp;$B324&amp;", ", ", "&amp;INDEX('Form Responses'!$R$1:$R$200,15)&amp;", "))),1,""))</f>
        <v/>
      </c>
      <c r="R324">
        <f>IF(Wizards!$A$16="","",IF(OR(ISNUMBER(SEARCH(", "&amp;$B324&amp;", ", ", "&amp;INDEX('Form Responses'!$I$1:$Q$200,16,$A324)&amp;", ")),ISNUMBER(SEARCH(", "&amp;$B324&amp;", ", ", "&amp;INDEX('Form Responses'!$R$1:$R$200,16)&amp;", "))),1,""))</f>
        <v/>
      </c>
      <c r="S324">
        <f>IF(Wizards!$A$17="","",IF(OR(ISNUMBER(SEARCH(", "&amp;$B324&amp;", ", ", "&amp;INDEX('Form Responses'!$I$1:$Q$200,17,$A324)&amp;", ")),ISNUMBER(SEARCH(", "&amp;$B324&amp;", ", ", "&amp;INDEX('Form Responses'!$R$1:$R$200,17)&amp;", "))),1,""))</f>
        <v/>
      </c>
      <c r="T324">
        <f>IF(Wizards!$A$18="","",IF(OR(ISNUMBER(SEARCH(", "&amp;$B324&amp;", ", ", "&amp;INDEX('Form Responses'!$I$1:$Q$200,18,$A324)&amp;", ")),ISNUMBER(SEARCH(", "&amp;$B324&amp;", ", ", "&amp;INDEX('Form Responses'!$R$1:$R$200,18)&amp;", "))),1,""))</f>
        <v/>
      </c>
      <c r="U324">
        <f>IF(Wizards!$A$19="","",IF(OR(ISNUMBER(SEARCH(", "&amp;$B324&amp;", ", ", "&amp;INDEX('Form Responses'!$I$1:$Q$200,19,$A324)&amp;", ")),ISNUMBER(SEARCH(", "&amp;$B324&amp;", ", ", "&amp;INDEX('Form Responses'!$R$1:$R$200,19)&amp;", "))),1,""))</f>
        <v/>
      </c>
      <c r="V324">
        <f>IF(Wizards!$A$20="","",IF(OR(ISNUMBER(SEARCH(", "&amp;$B324&amp;", ", ", "&amp;INDEX('Form Responses'!$I$1:$Q$200,20,$A324)&amp;", ")),ISNUMBER(SEARCH(", "&amp;$B324&amp;", ", ", "&amp;INDEX('Form Responses'!$R$1:$R$200,20)&amp;", "))),1,""))</f>
        <v/>
      </c>
      <c r="W324">
        <f>IF(Wizards!$A$21="","",IF(OR(ISNUMBER(SEARCH(", "&amp;$B324&amp;", ", ", "&amp;INDEX('Form Responses'!$I$1:$Q$200,21,$A324)&amp;", ")),ISNUMBER(SEARCH(", "&amp;$B324&amp;", ", ", "&amp;INDEX('Form Responses'!$R$1:$R$200,21)&amp;", "))),1,""))</f>
        <v/>
      </c>
      <c r="X324">
        <f>IF(Wizards!$A$22="","",IF(OR(ISNUMBER(SEARCH(", "&amp;$B324&amp;", ", ", "&amp;INDEX('Form Responses'!$I$1:$Q$200,22,$A324)&amp;", ")),ISNUMBER(SEARCH(", "&amp;$B324&amp;", ", ", "&amp;INDEX('Form Responses'!$R$1:$R$200,22)&amp;", "))),1,""))</f>
        <v/>
      </c>
      <c r="Y324">
        <f>IF(Wizards!$A$23="","",IF(OR(ISNUMBER(SEARCH(", "&amp;$B324&amp;", ", ", "&amp;INDEX('Form Responses'!$I$1:$Q$200,23,$A324)&amp;", ")),ISNUMBER(SEARCH(", "&amp;$B324&amp;", ", ", "&amp;INDEX('Form Responses'!$R$1:$R$200,23)&amp;", "))),1,""))</f>
        <v/>
      </c>
      <c r="Z324">
        <f>IF(Wizards!$A$24="","",IF(OR(ISNUMBER(SEARCH(", "&amp;$B324&amp;", ", ", "&amp;INDEX('Form Responses'!$I$1:$Q$200,24,$A324)&amp;", ")),ISNUMBER(SEARCH(", "&amp;$B324&amp;", ", ", "&amp;INDEX('Form Responses'!$R$1:$R$200,24)&amp;", "))),1,""))</f>
        <v/>
      </c>
      <c r="AA324">
        <f>IF(Wizards!$A$25="","",IF(OR(ISNUMBER(SEARCH(", "&amp;$B324&amp;", ", ", "&amp;INDEX('Form Responses'!$I$1:$Q$200,25,$A324)&amp;", ")),ISNUMBER(SEARCH(", "&amp;$B324&amp;", ", ", "&amp;INDEX('Form Responses'!$R$1:$R$200,25)&amp;", "))),1,""))</f>
        <v/>
      </c>
      <c r="AB324">
        <f>IF(D324=1,", "&amp;D$1,"")</f>
        <v/>
      </c>
      <c r="AC324">
        <f>IF(E324=1,", "&amp;E$1,"")</f>
        <v/>
      </c>
      <c r="AD324">
        <f>IF(F324=1,", "&amp;F$1,"")</f>
        <v/>
      </c>
      <c r="AE324">
        <f>IF(G324=1,", "&amp;G$1,"")</f>
        <v/>
      </c>
      <c r="AF324">
        <f>IF(H324=1,", "&amp;H$1,"")</f>
        <v/>
      </c>
      <c r="AG324">
        <f>IF(I324=1,", "&amp;I$1,"")</f>
        <v/>
      </c>
      <c r="AH324">
        <f>IF(J324=1,", "&amp;J$1,"")</f>
        <v/>
      </c>
      <c r="AI324">
        <f>IF(K324=1,", "&amp;K$1,"")</f>
        <v/>
      </c>
      <c r="AJ324">
        <f>IF(L324=1,", "&amp;L$1,"")</f>
        <v/>
      </c>
      <c r="AK324">
        <f>IF(M324=1,", "&amp;M$1,"")</f>
        <v/>
      </c>
      <c r="AL324">
        <f>IF(N324=1,", "&amp;N$1,"")</f>
        <v/>
      </c>
      <c r="AM324">
        <f>IF(O324=1,", "&amp;O$1,"")</f>
        <v/>
      </c>
      <c r="AN324">
        <f>IF(P324=1,", "&amp;P$1,"")</f>
        <v/>
      </c>
      <c r="AO324">
        <f>IF(Q324=1,", "&amp;Q$1,"")</f>
        <v/>
      </c>
      <c r="AP324">
        <f>IF(R324=1,", "&amp;R$1,"")</f>
        <v/>
      </c>
      <c r="AQ324">
        <f>IF(S324=1,", "&amp;S$1,"")</f>
        <v/>
      </c>
      <c r="AR324">
        <f>IF(T324=1,", "&amp;T$1,"")</f>
        <v/>
      </c>
      <c r="AS324">
        <f>IF(U324=1,", "&amp;U$1,"")</f>
        <v/>
      </c>
      <c r="AT324">
        <f>IF(V324=1,", "&amp;V$1,"")</f>
        <v/>
      </c>
      <c r="AU324">
        <f>IF(W324=1,", "&amp;W$1,"")</f>
        <v/>
      </c>
      <c r="AV324">
        <f>IF(X324=1,", "&amp;X$1,"")</f>
        <v/>
      </c>
      <c r="AW324">
        <f>IF(Y324=1,", "&amp;Y$1,"")</f>
        <v/>
      </c>
      <c r="AX324">
        <f>IF(Z324=1,", "&amp;Z$1,"")</f>
        <v/>
      </c>
      <c r="AY324">
        <f>IF(AA324=1,", "&amp;AA$1,"")</f>
        <v/>
      </c>
      <c r="AZ324">
        <f>MID($AB324&amp;$AC324&amp;$AD324&amp;$AE324&amp;$AF324&amp;$AG324&amp;$AH324&amp;$AI324&amp;$AJ324&amp;$AK324&amp;$AL324&amp;$AM324&amp;$AN324&amp;$AO324&amp;$AP324&amp;$AQ324&amp;$AR324&amp;$AS324&amp;$AT324&amp;$AU324&amp;$AV324&amp;$AW324&amp;$AX324&amp;$AY324,3,32767)</f>
        <v/>
      </c>
      <c r="BA324">
        <f>COUNT($D324:$AA324)</f>
        <v/>
      </c>
    </row>
    <row r="325">
      <c r="A325" t="n">
        <v>8</v>
      </c>
      <c r="B325" t="inlineStr">
        <is>
          <t>Maze</t>
        </is>
      </c>
      <c r="C325" t="inlineStr">
        <is>
          <t>Conjuration</t>
        </is>
      </c>
      <c r="D325">
        <f>IF(Wizards!$A$2="","",IF(OR(ISNUMBER(SEARCH(", "&amp;$B325&amp;", ", ", "&amp;INDEX('Form Responses'!$I$1:$Q$200,2,$A325)&amp;", ")),ISNUMBER(SEARCH(", "&amp;$B325&amp;", ", ", "&amp;INDEX('Form Responses'!$R$1:$R$200,2)&amp;", "))),1,""))</f>
        <v/>
      </c>
      <c r="E325">
        <f>IF(Wizards!$A$3="","",IF(OR(ISNUMBER(SEARCH(", "&amp;$B325&amp;", ", ", "&amp;INDEX('Form Responses'!$I$1:$Q$200,3,$A325)&amp;", ")),ISNUMBER(SEARCH(", "&amp;$B325&amp;", ", ", "&amp;INDEX('Form Responses'!$R$1:$R$200,3)&amp;", "))),1,""))</f>
        <v/>
      </c>
      <c r="F325">
        <f>IF(Wizards!$A$4="","",IF(OR(ISNUMBER(SEARCH(", "&amp;$B325&amp;", ", ", "&amp;INDEX('Form Responses'!$I$1:$Q$200,4,$A325)&amp;", ")),ISNUMBER(SEARCH(", "&amp;$B325&amp;", ", ", "&amp;INDEX('Form Responses'!$R$1:$R$200,4)&amp;", "))),1,""))</f>
        <v/>
      </c>
      <c r="G325">
        <f>IF(Wizards!$A$5="","",IF(OR(ISNUMBER(SEARCH(", "&amp;$B325&amp;", ", ", "&amp;INDEX('Form Responses'!$I$1:$Q$200,5,$A325)&amp;", ")),ISNUMBER(SEARCH(", "&amp;$B325&amp;", ", ", "&amp;INDEX('Form Responses'!$R$1:$R$200,5)&amp;", "))),1,""))</f>
        <v/>
      </c>
      <c r="H325">
        <f>IF(Wizards!$A$6="","",IF(OR(ISNUMBER(SEARCH(", "&amp;$B325&amp;", ", ", "&amp;INDEX('Form Responses'!$I$1:$Q$200,6,$A325)&amp;", ")),ISNUMBER(SEARCH(", "&amp;$B325&amp;", ", ", "&amp;INDEX('Form Responses'!$R$1:$R$200,6)&amp;", "))),1,""))</f>
        <v/>
      </c>
      <c r="I325">
        <f>IF(Wizards!$A$7="","",IF(OR(ISNUMBER(SEARCH(", "&amp;$B325&amp;", ", ", "&amp;INDEX('Form Responses'!$I$1:$Q$200,7,$A325)&amp;", ")),ISNUMBER(SEARCH(", "&amp;$B325&amp;", ", ", "&amp;INDEX('Form Responses'!$R$1:$R$200,7)&amp;", "))),1,""))</f>
        <v/>
      </c>
      <c r="J325">
        <f>IF(Wizards!$A$8="","",IF(OR(ISNUMBER(SEARCH(", "&amp;$B325&amp;", ", ", "&amp;INDEX('Form Responses'!$I$1:$Q$200,8,$A325)&amp;", ")),ISNUMBER(SEARCH(", "&amp;$B325&amp;", ", ", "&amp;INDEX('Form Responses'!$R$1:$R$200,8)&amp;", "))),1,""))</f>
        <v/>
      </c>
      <c r="K325">
        <f>IF(Wizards!$A$9="","",IF(OR(ISNUMBER(SEARCH(", "&amp;$B325&amp;", ", ", "&amp;INDEX('Form Responses'!$I$1:$Q$200,9,$A325)&amp;", ")),ISNUMBER(SEARCH(", "&amp;$B325&amp;", ", ", "&amp;INDEX('Form Responses'!$R$1:$R$200,9)&amp;", "))),1,""))</f>
        <v/>
      </c>
      <c r="L325">
        <f>IF(Wizards!$A$10="","",IF(OR(ISNUMBER(SEARCH(", "&amp;$B325&amp;", ", ", "&amp;INDEX('Form Responses'!$I$1:$Q$200,10,$A325)&amp;", ")),ISNUMBER(SEARCH(", "&amp;$B325&amp;", ", ", "&amp;INDEX('Form Responses'!$R$1:$R$200,10)&amp;", "))),1,""))</f>
        <v/>
      </c>
      <c r="M325">
        <f>IF(Wizards!$A$11="","",IF(OR(ISNUMBER(SEARCH(", "&amp;$B325&amp;", ", ", "&amp;INDEX('Form Responses'!$I$1:$Q$200,11,$A325)&amp;", ")),ISNUMBER(SEARCH(", "&amp;$B325&amp;", ", ", "&amp;INDEX('Form Responses'!$R$1:$R$200,11)&amp;", "))),1,""))</f>
        <v/>
      </c>
      <c r="N325">
        <f>IF(Wizards!$A$12="","",IF(OR(ISNUMBER(SEARCH(", "&amp;$B325&amp;", ", ", "&amp;INDEX('Form Responses'!$I$1:$Q$200,12,$A325)&amp;", ")),ISNUMBER(SEARCH(", "&amp;$B325&amp;", ", ", "&amp;INDEX('Form Responses'!$R$1:$R$200,12)&amp;", "))),1,""))</f>
        <v/>
      </c>
      <c r="O325">
        <f>IF(Wizards!$A$13="","",IF(OR(ISNUMBER(SEARCH(", "&amp;$B325&amp;", ", ", "&amp;INDEX('Form Responses'!$I$1:$Q$200,13,$A325)&amp;", ")),ISNUMBER(SEARCH(", "&amp;$B325&amp;", ", ", "&amp;INDEX('Form Responses'!$R$1:$R$200,13)&amp;", "))),1,""))</f>
        <v/>
      </c>
      <c r="P325">
        <f>IF(Wizards!$A$14="","",IF(OR(ISNUMBER(SEARCH(", "&amp;$B325&amp;", ", ", "&amp;INDEX('Form Responses'!$I$1:$Q$200,14,$A325)&amp;", ")),ISNUMBER(SEARCH(", "&amp;$B325&amp;", ", ", "&amp;INDEX('Form Responses'!$R$1:$R$200,14)&amp;", "))),1,""))</f>
        <v/>
      </c>
      <c r="Q325">
        <f>IF(Wizards!$A$15="","",IF(OR(ISNUMBER(SEARCH(", "&amp;$B325&amp;", ", ", "&amp;INDEX('Form Responses'!$I$1:$Q$200,15,$A325)&amp;", ")),ISNUMBER(SEARCH(", "&amp;$B325&amp;", ", ", "&amp;INDEX('Form Responses'!$R$1:$R$200,15)&amp;", "))),1,""))</f>
        <v/>
      </c>
      <c r="R325">
        <f>IF(Wizards!$A$16="","",IF(OR(ISNUMBER(SEARCH(", "&amp;$B325&amp;", ", ", "&amp;INDEX('Form Responses'!$I$1:$Q$200,16,$A325)&amp;", ")),ISNUMBER(SEARCH(", "&amp;$B325&amp;", ", ", "&amp;INDEX('Form Responses'!$R$1:$R$200,16)&amp;", "))),1,""))</f>
        <v/>
      </c>
      <c r="S325">
        <f>IF(Wizards!$A$17="","",IF(OR(ISNUMBER(SEARCH(", "&amp;$B325&amp;", ", ", "&amp;INDEX('Form Responses'!$I$1:$Q$200,17,$A325)&amp;", ")),ISNUMBER(SEARCH(", "&amp;$B325&amp;", ", ", "&amp;INDEX('Form Responses'!$R$1:$R$200,17)&amp;", "))),1,""))</f>
        <v/>
      </c>
      <c r="T325">
        <f>IF(Wizards!$A$18="","",IF(OR(ISNUMBER(SEARCH(", "&amp;$B325&amp;", ", ", "&amp;INDEX('Form Responses'!$I$1:$Q$200,18,$A325)&amp;", ")),ISNUMBER(SEARCH(", "&amp;$B325&amp;", ", ", "&amp;INDEX('Form Responses'!$R$1:$R$200,18)&amp;", "))),1,""))</f>
        <v/>
      </c>
      <c r="U325">
        <f>IF(Wizards!$A$19="","",IF(OR(ISNUMBER(SEARCH(", "&amp;$B325&amp;", ", ", "&amp;INDEX('Form Responses'!$I$1:$Q$200,19,$A325)&amp;", ")),ISNUMBER(SEARCH(", "&amp;$B325&amp;", ", ", "&amp;INDEX('Form Responses'!$R$1:$R$200,19)&amp;", "))),1,""))</f>
        <v/>
      </c>
      <c r="V325">
        <f>IF(Wizards!$A$20="","",IF(OR(ISNUMBER(SEARCH(", "&amp;$B325&amp;", ", ", "&amp;INDEX('Form Responses'!$I$1:$Q$200,20,$A325)&amp;", ")),ISNUMBER(SEARCH(", "&amp;$B325&amp;", ", ", "&amp;INDEX('Form Responses'!$R$1:$R$200,20)&amp;", "))),1,""))</f>
        <v/>
      </c>
      <c r="W325">
        <f>IF(Wizards!$A$21="","",IF(OR(ISNUMBER(SEARCH(", "&amp;$B325&amp;", ", ", "&amp;INDEX('Form Responses'!$I$1:$Q$200,21,$A325)&amp;", ")),ISNUMBER(SEARCH(", "&amp;$B325&amp;", ", ", "&amp;INDEX('Form Responses'!$R$1:$R$200,21)&amp;", "))),1,""))</f>
        <v/>
      </c>
      <c r="X325">
        <f>IF(Wizards!$A$22="","",IF(OR(ISNUMBER(SEARCH(", "&amp;$B325&amp;", ", ", "&amp;INDEX('Form Responses'!$I$1:$Q$200,22,$A325)&amp;", ")),ISNUMBER(SEARCH(", "&amp;$B325&amp;", ", ", "&amp;INDEX('Form Responses'!$R$1:$R$200,22)&amp;", "))),1,""))</f>
        <v/>
      </c>
      <c r="Y325">
        <f>IF(Wizards!$A$23="","",IF(OR(ISNUMBER(SEARCH(", "&amp;$B325&amp;", ", ", "&amp;INDEX('Form Responses'!$I$1:$Q$200,23,$A325)&amp;", ")),ISNUMBER(SEARCH(", "&amp;$B325&amp;", ", ", "&amp;INDEX('Form Responses'!$R$1:$R$200,23)&amp;", "))),1,""))</f>
        <v/>
      </c>
      <c r="Z325">
        <f>IF(Wizards!$A$24="","",IF(OR(ISNUMBER(SEARCH(", "&amp;$B325&amp;", ", ", "&amp;INDEX('Form Responses'!$I$1:$Q$200,24,$A325)&amp;", ")),ISNUMBER(SEARCH(", "&amp;$B325&amp;", ", ", "&amp;INDEX('Form Responses'!$R$1:$R$200,24)&amp;", "))),1,""))</f>
        <v/>
      </c>
      <c r="AA325">
        <f>IF(Wizards!$A$25="","",IF(OR(ISNUMBER(SEARCH(", "&amp;$B325&amp;", ", ", "&amp;INDEX('Form Responses'!$I$1:$Q$200,25,$A325)&amp;", ")),ISNUMBER(SEARCH(", "&amp;$B325&amp;", ", ", "&amp;INDEX('Form Responses'!$R$1:$R$200,25)&amp;", "))),1,""))</f>
        <v/>
      </c>
      <c r="AB325">
        <f>IF(D325=1,", "&amp;D$1,"")</f>
        <v/>
      </c>
      <c r="AC325">
        <f>IF(E325=1,", "&amp;E$1,"")</f>
        <v/>
      </c>
      <c r="AD325">
        <f>IF(F325=1,", "&amp;F$1,"")</f>
        <v/>
      </c>
      <c r="AE325">
        <f>IF(G325=1,", "&amp;G$1,"")</f>
        <v/>
      </c>
      <c r="AF325">
        <f>IF(H325=1,", "&amp;H$1,"")</f>
        <v/>
      </c>
      <c r="AG325">
        <f>IF(I325=1,", "&amp;I$1,"")</f>
        <v/>
      </c>
      <c r="AH325">
        <f>IF(J325=1,", "&amp;J$1,"")</f>
        <v/>
      </c>
      <c r="AI325">
        <f>IF(K325=1,", "&amp;K$1,"")</f>
        <v/>
      </c>
      <c r="AJ325">
        <f>IF(L325=1,", "&amp;L$1,"")</f>
        <v/>
      </c>
      <c r="AK325">
        <f>IF(M325=1,", "&amp;M$1,"")</f>
        <v/>
      </c>
      <c r="AL325">
        <f>IF(N325=1,", "&amp;N$1,"")</f>
        <v/>
      </c>
      <c r="AM325">
        <f>IF(O325=1,", "&amp;O$1,"")</f>
        <v/>
      </c>
      <c r="AN325">
        <f>IF(P325=1,", "&amp;P$1,"")</f>
        <v/>
      </c>
      <c r="AO325">
        <f>IF(Q325=1,", "&amp;Q$1,"")</f>
        <v/>
      </c>
      <c r="AP325">
        <f>IF(R325=1,", "&amp;R$1,"")</f>
        <v/>
      </c>
      <c r="AQ325">
        <f>IF(S325=1,", "&amp;S$1,"")</f>
        <v/>
      </c>
      <c r="AR325">
        <f>IF(T325=1,", "&amp;T$1,"")</f>
        <v/>
      </c>
      <c r="AS325">
        <f>IF(U325=1,", "&amp;U$1,"")</f>
        <v/>
      </c>
      <c r="AT325">
        <f>IF(V325=1,", "&amp;V$1,"")</f>
        <v/>
      </c>
      <c r="AU325">
        <f>IF(W325=1,", "&amp;W$1,"")</f>
        <v/>
      </c>
      <c r="AV325">
        <f>IF(X325=1,", "&amp;X$1,"")</f>
        <v/>
      </c>
      <c r="AW325">
        <f>IF(Y325=1,", "&amp;Y$1,"")</f>
        <v/>
      </c>
      <c r="AX325">
        <f>IF(Z325=1,", "&amp;Z$1,"")</f>
        <v/>
      </c>
      <c r="AY325">
        <f>IF(AA325=1,", "&amp;AA$1,"")</f>
        <v/>
      </c>
      <c r="AZ325">
        <f>MID($AB325&amp;$AC325&amp;$AD325&amp;$AE325&amp;$AF325&amp;$AG325&amp;$AH325&amp;$AI325&amp;$AJ325&amp;$AK325&amp;$AL325&amp;$AM325&amp;$AN325&amp;$AO325&amp;$AP325&amp;$AQ325&amp;$AR325&amp;$AS325&amp;$AT325&amp;$AU325&amp;$AV325&amp;$AW325&amp;$AX325&amp;$AY325,3,32767)</f>
        <v/>
      </c>
      <c r="BA325">
        <f>COUNT($D325:$AA325)</f>
        <v/>
      </c>
    </row>
    <row r="326">
      <c r="A326" t="n">
        <v>8</v>
      </c>
      <c r="B326" t="inlineStr">
        <is>
          <t>Mighty Fortress</t>
        </is>
      </c>
      <c r="C326" t="inlineStr">
        <is>
          <t>Conjuration</t>
        </is>
      </c>
      <c r="D326">
        <f>IF(Wizards!$A$2="","",IF(OR(ISNUMBER(SEARCH(", "&amp;$B326&amp;", ", ", "&amp;INDEX('Form Responses'!$I$1:$Q$200,2,$A326)&amp;", ")),ISNUMBER(SEARCH(", "&amp;$B326&amp;", ", ", "&amp;INDEX('Form Responses'!$R$1:$R$200,2)&amp;", "))),1,""))</f>
        <v/>
      </c>
      <c r="E326">
        <f>IF(Wizards!$A$3="","",IF(OR(ISNUMBER(SEARCH(", "&amp;$B326&amp;", ", ", "&amp;INDEX('Form Responses'!$I$1:$Q$200,3,$A326)&amp;", ")),ISNUMBER(SEARCH(", "&amp;$B326&amp;", ", ", "&amp;INDEX('Form Responses'!$R$1:$R$200,3)&amp;", "))),1,""))</f>
        <v/>
      </c>
      <c r="F326">
        <f>IF(Wizards!$A$4="","",IF(OR(ISNUMBER(SEARCH(", "&amp;$B326&amp;", ", ", "&amp;INDEX('Form Responses'!$I$1:$Q$200,4,$A326)&amp;", ")),ISNUMBER(SEARCH(", "&amp;$B326&amp;", ", ", "&amp;INDEX('Form Responses'!$R$1:$R$200,4)&amp;", "))),1,""))</f>
        <v/>
      </c>
      <c r="G326">
        <f>IF(Wizards!$A$5="","",IF(OR(ISNUMBER(SEARCH(", "&amp;$B326&amp;", ", ", "&amp;INDEX('Form Responses'!$I$1:$Q$200,5,$A326)&amp;", ")),ISNUMBER(SEARCH(", "&amp;$B326&amp;", ", ", "&amp;INDEX('Form Responses'!$R$1:$R$200,5)&amp;", "))),1,""))</f>
        <v/>
      </c>
      <c r="H326">
        <f>IF(Wizards!$A$6="","",IF(OR(ISNUMBER(SEARCH(", "&amp;$B326&amp;", ", ", "&amp;INDEX('Form Responses'!$I$1:$Q$200,6,$A326)&amp;", ")),ISNUMBER(SEARCH(", "&amp;$B326&amp;", ", ", "&amp;INDEX('Form Responses'!$R$1:$R$200,6)&amp;", "))),1,""))</f>
        <v/>
      </c>
      <c r="I326">
        <f>IF(Wizards!$A$7="","",IF(OR(ISNUMBER(SEARCH(", "&amp;$B326&amp;", ", ", "&amp;INDEX('Form Responses'!$I$1:$Q$200,7,$A326)&amp;", ")),ISNUMBER(SEARCH(", "&amp;$B326&amp;", ", ", "&amp;INDEX('Form Responses'!$R$1:$R$200,7)&amp;", "))),1,""))</f>
        <v/>
      </c>
      <c r="J326">
        <f>IF(Wizards!$A$8="","",IF(OR(ISNUMBER(SEARCH(", "&amp;$B326&amp;", ", ", "&amp;INDEX('Form Responses'!$I$1:$Q$200,8,$A326)&amp;", ")),ISNUMBER(SEARCH(", "&amp;$B326&amp;", ", ", "&amp;INDEX('Form Responses'!$R$1:$R$200,8)&amp;", "))),1,""))</f>
        <v/>
      </c>
      <c r="K326">
        <f>IF(Wizards!$A$9="","",IF(OR(ISNUMBER(SEARCH(", "&amp;$B326&amp;", ", ", "&amp;INDEX('Form Responses'!$I$1:$Q$200,9,$A326)&amp;", ")),ISNUMBER(SEARCH(", "&amp;$B326&amp;", ", ", "&amp;INDEX('Form Responses'!$R$1:$R$200,9)&amp;", "))),1,""))</f>
        <v/>
      </c>
      <c r="L326">
        <f>IF(Wizards!$A$10="","",IF(OR(ISNUMBER(SEARCH(", "&amp;$B326&amp;", ", ", "&amp;INDEX('Form Responses'!$I$1:$Q$200,10,$A326)&amp;", ")),ISNUMBER(SEARCH(", "&amp;$B326&amp;", ", ", "&amp;INDEX('Form Responses'!$R$1:$R$200,10)&amp;", "))),1,""))</f>
        <v/>
      </c>
      <c r="M326">
        <f>IF(Wizards!$A$11="","",IF(OR(ISNUMBER(SEARCH(", "&amp;$B326&amp;", ", ", "&amp;INDEX('Form Responses'!$I$1:$Q$200,11,$A326)&amp;", ")),ISNUMBER(SEARCH(", "&amp;$B326&amp;", ", ", "&amp;INDEX('Form Responses'!$R$1:$R$200,11)&amp;", "))),1,""))</f>
        <v/>
      </c>
      <c r="N326">
        <f>IF(Wizards!$A$12="","",IF(OR(ISNUMBER(SEARCH(", "&amp;$B326&amp;", ", ", "&amp;INDEX('Form Responses'!$I$1:$Q$200,12,$A326)&amp;", ")),ISNUMBER(SEARCH(", "&amp;$B326&amp;", ", ", "&amp;INDEX('Form Responses'!$R$1:$R$200,12)&amp;", "))),1,""))</f>
        <v/>
      </c>
      <c r="O326">
        <f>IF(Wizards!$A$13="","",IF(OR(ISNUMBER(SEARCH(", "&amp;$B326&amp;", ", ", "&amp;INDEX('Form Responses'!$I$1:$Q$200,13,$A326)&amp;", ")),ISNUMBER(SEARCH(", "&amp;$B326&amp;", ", ", "&amp;INDEX('Form Responses'!$R$1:$R$200,13)&amp;", "))),1,""))</f>
        <v/>
      </c>
      <c r="P326">
        <f>IF(Wizards!$A$14="","",IF(OR(ISNUMBER(SEARCH(", "&amp;$B326&amp;", ", ", "&amp;INDEX('Form Responses'!$I$1:$Q$200,14,$A326)&amp;", ")),ISNUMBER(SEARCH(", "&amp;$B326&amp;", ", ", "&amp;INDEX('Form Responses'!$R$1:$R$200,14)&amp;", "))),1,""))</f>
        <v/>
      </c>
      <c r="Q326">
        <f>IF(Wizards!$A$15="","",IF(OR(ISNUMBER(SEARCH(", "&amp;$B326&amp;", ", ", "&amp;INDEX('Form Responses'!$I$1:$Q$200,15,$A326)&amp;", ")),ISNUMBER(SEARCH(", "&amp;$B326&amp;", ", ", "&amp;INDEX('Form Responses'!$R$1:$R$200,15)&amp;", "))),1,""))</f>
        <v/>
      </c>
      <c r="R326">
        <f>IF(Wizards!$A$16="","",IF(OR(ISNUMBER(SEARCH(", "&amp;$B326&amp;", ", ", "&amp;INDEX('Form Responses'!$I$1:$Q$200,16,$A326)&amp;", ")),ISNUMBER(SEARCH(", "&amp;$B326&amp;", ", ", "&amp;INDEX('Form Responses'!$R$1:$R$200,16)&amp;", "))),1,""))</f>
        <v/>
      </c>
      <c r="S326">
        <f>IF(Wizards!$A$17="","",IF(OR(ISNUMBER(SEARCH(", "&amp;$B326&amp;", ", ", "&amp;INDEX('Form Responses'!$I$1:$Q$200,17,$A326)&amp;", ")),ISNUMBER(SEARCH(", "&amp;$B326&amp;", ", ", "&amp;INDEX('Form Responses'!$R$1:$R$200,17)&amp;", "))),1,""))</f>
        <v/>
      </c>
      <c r="T326">
        <f>IF(Wizards!$A$18="","",IF(OR(ISNUMBER(SEARCH(", "&amp;$B326&amp;", ", ", "&amp;INDEX('Form Responses'!$I$1:$Q$200,18,$A326)&amp;", ")),ISNUMBER(SEARCH(", "&amp;$B326&amp;", ", ", "&amp;INDEX('Form Responses'!$R$1:$R$200,18)&amp;", "))),1,""))</f>
        <v/>
      </c>
      <c r="U326">
        <f>IF(Wizards!$A$19="","",IF(OR(ISNUMBER(SEARCH(", "&amp;$B326&amp;", ", ", "&amp;INDEX('Form Responses'!$I$1:$Q$200,19,$A326)&amp;", ")),ISNUMBER(SEARCH(", "&amp;$B326&amp;", ", ", "&amp;INDEX('Form Responses'!$R$1:$R$200,19)&amp;", "))),1,""))</f>
        <v/>
      </c>
      <c r="V326">
        <f>IF(Wizards!$A$20="","",IF(OR(ISNUMBER(SEARCH(", "&amp;$B326&amp;", ", ", "&amp;INDEX('Form Responses'!$I$1:$Q$200,20,$A326)&amp;", ")),ISNUMBER(SEARCH(", "&amp;$B326&amp;", ", ", "&amp;INDEX('Form Responses'!$R$1:$R$200,20)&amp;", "))),1,""))</f>
        <v/>
      </c>
      <c r="W326">
        <f>IF(Wizards!$A$21="","",IF(OR(ISNUMBER(SEARCH(", "&amp;$B326&amp;", ", ", "&amp;INDEX('Form Responses'!$I$1:$Q$200,21,$A326)&amp;", ")),ISNUMBER(SEARCH(", "&amp;$B326&amp;", ", ", "&amp;INDEX('Form Responses'!$R$1:$R$200,21)&amp;", "))),1,""))</f>
        <v/>
      </c>
      <c r="X326">
        <f>IF(Wizards!$A$22="","",IF(OR(ISNUMBER(SEARCH(", "&amp;$B326&amp;", ", ", "&amp;INDEX('Form Responses'!$I$1:$Q$200,22,$A326)&amp;", ")),ISNUMBER(SEARCH(", "&amp;$B326&amp;", ", ", "&amp;INDEX('Form Responses'!$R$1:$R$200,22)&amp;", "))),1,""))</f>
        <v/>
      </c>
      <c r="Y326">
        <f>IF(Wizards!$A$23="","",IF(OR(ISNUMBER(SEARCH(", "&amp;$B326&amp;", ", ", "&amp;INDEX('Form Responses'!$I$1:$Q$200,23,$A326)&amp;", ")),ISNUMBER(SEARCH(", "&amp;$B326&amp;", ", ", "&amp;INDEX('Form Responses'!$R$1:$R$200,23)&amp;", "))),1,""))</f>
        <v/>
      </c>
      <c r="Z326">
        <f>IF(Wizards!$A$24="","",IF(OR(ISNUMBER(SEARCH(", "&amp;$B326&amp;", ", ", "&amp;INDEX('Form Responses'!$I$1:$Q$200,24,$A326)&amp;", ")),ISNUMBER(SEARCH(", "&amp;$B326&amp;", ", ", "&amp;INDEX('Form Responses'!$R$1:$R$200,24)&amp;", "))),1,""))</f>
        <v/>
      </c>
      <c r="AA326">
        <f>IF(Wizards!$A$25="","",IF(OR(ISNUMBER(SEARCH(", "&amp;$B326&amp;", ", ", "&amp;INDEX('Form Responses'!$I$1:$Q$200,25,$A326)&amp;", ")),ISNUMBER(SEARCH(", "&amp;$B326&amp;", ", ", "&amp;INDEX('Form Responses'!$R$1:$R$200,25)&amp;", "))),1,""))</f>
        <v/>
      </c>
      <c r="AB326">
        <f>IF(D326=1,", "&amp;D$1,"")</f>
        <v/>
      </c>
      <c r="AC326">
        <f>IF(E326=1,", "&amp;E$1,"")</f>
        <v/>
      </c>
      <c r="AD326">
        <f>IF(F326=1,", "&amp;F$1,"")</f>
        <v/>
      </c>
      <c r="AE326">
        <f>IF(G326=1,", "&amp;G$1,"")</f>
        <v/>
      </c>
      <c r="AF326">
        <f>IF(H326=1,", "&amp;H$1,"")</f>
        <v/>
      </c>
      <c r="AG326">
        <f>IF(I326=1,", "&amp;I$1,"")</f>
        <v/>
      </c>
      <c r="AH326">
        <f>IF(J326=1,", "&amp;J$1,"")</f>
        <v/>
      </c>
      <c r="AI326">
        <f>IF(K326=1,", "&amp;K$1,"")</f>
        <v/>
      </c>
      <c r="AJ326">
        <f>IF(L326=1,", "&amp;L$1,"")</f>
        <v/>
      </c>
      <c r="AK326">
        <f>IF(M326=1,", "&amp;M$1,"")</f>
        <v/>
      </c>
      <c r="AL326">
        <f>IF(N326=1,", "&amp;N$1,"")</f>
        <v/>
      </c>
      <c r="AM326">
        <f>IF(O326=1,", "&amp;O$1,"")</f>
        <v/>
      </c>
      <c r="AN326">
        <f>IF(P326=1,", "&amp;P$1,"")</f>
        <v/>
      </c>
      <c r="AO326">
        <f>IF(Q326=1,", "&amp;Q$1,"")</f>
        <v/>
      </c>
      <c r="AP326">
        <f>IF(R326=1,", "&amp;R$1,"")</f>
        <v/>
      </c>
      <c r="AQ326">
        <f>IF(S326=1,", "&amp;S$1,"")</f>
        <v/>
      </c>
      <c r="AR326">
        <f>IF(T326=1,", "&amp;T$1,"")</f>
        <v/>
      </c>
      <c r="AS326">
        <f>IF(U326=1,", "&amp;U$1,"")</f>
        <v/>
      </c>
      <c r="AT326">
        <f>IF(V326=1,", "&amp;V$1,"")</f>
        <v/>
      </c>
      <c r="AU326">
        <f>IF(W326=1,", "&amp;W$1,"")</f>
        <v/>
      </c>
      <c r="AV326">
        <f>IF(X326=1,", "&amp;X$1,"")</f>
        <v/>
      </c>
      <c r="AW326">
        <f>IF(Y326=1,", "&amp;Y$1,"")</f>
        <v/>
      </c>
      <c r="AX326">
        <f>IF(Z326=1,", "&amp;Z$1,"")</f>
        <v/>
      </c>
      <c r="AY326">
        <f>IF(AA326=1,", "&amp;AA$1,"")</f>
        <v/>
      </c>
      <c r="AZ326">
        <f>MID($AB326&amp;$AC326&amp;$AD326&amp;$AE326&amp;$AF326&amp;$AG326&amp;$AH326&amp;$AI326&amp;$AJ326&amp;$AK326&amp;$AL326&amp;$AM326&amp;$AN326&amp;$AO326&amp;$AP326&amp;$AQ326&amp;$AR326&amp;$AS326&amp;$AT326&amp;$AU326&amp;$AV326&amp;$AW326&amp;$AX326&amp;$AY326,3,32767)</f>
        <v/>
      </c>
      <c r="BA326">
        <f>COUNT($D326:$AA326)</f>
        <v/>
      </c>
    </row>
    <row r="327">
      <c r="A327" t="n">
        <v>8</v>
      </c>
      <c r="B327" t="inlineStr">
        <is>
          <t>Mind Blank</t>
        </is>
      </c>
      <c r="C327" t="inlineStr">
        <is>
          <t>Abjuration</t>
        </is>
      </c>
      <c r="D327">
        <f>IF(Wizards!$A$2="","",IF(OR(ISNUMBER(SEARCH(", "&amp;$B327&amp;", ", ", "&amp;INDEX('Form Responses'!$I$1:$Q$200,2,$A327)&amp;", ")),ISNUMBER(SEARCH(", "&amp;$B327&amp;", ", ", "&amp;INDEX('Form Responses'!$R$1:$R$200,2)&amp;", "))),1,""))</f>
        <v/>
      </c>
      <c r="E327">
        <f>IF(Wizards!$A$3="","",IF(OR(ISNUMBER(SEARCH(", "&amp;$B327&amp;", ", ", "&amp;INDEX('Form Responses'!$I$1:$Q$200,3,$A327)&amp;", ")),ISNUMBER(SEARCH(", "&amp;$B327&amp;", ", ", "&amp;INDEX('Form Responses'!$R$1:$R$200,3)&amp;", "))),1,""))</f>
        <v/>
      </c>
      <c r="F327">
        <f>IF(Wizards!$A$4="","",IF(OR(ISNUMBER(SEARCH(", "&amp;$B327&amp;", ", ", "&amp;INDEX('Form Responses'!$I$1:$Q$200,4,$A327)&amp;", ")),ISNUMBER(SEARCH(", "&amp;$B327&amp;", ", ", "&amp;INDEX('Form Responses'!$R$1:$R$200,4)&amp;", "))),1,""))</f>
        <v/>
      </c>
      <c r="G327">
        <f>IF(Wizards!$A$5="","",IF(OR(ISNUMBER(SEARCH(", "&amp;$B327&amp;", ", ", "&amp;INDEX('Form Responses'!$I$1:$Q$200,5,$A327)&amp;", ")),ISNUMBER(SEARCH(", "&amp;$B327&amp;", ", ", "&amp;INDEX('Form Responses'!$R$1:$R$200,5)&amp;", "))),1,""))</f>
        <v/>
      </c>
      <c r="H327">
        <f>IF(Wizards!$A$6="","",IF(OR(ISNUMBER(SEARCH(", "&amp;$B327&amp;", ", ", "&amp;INDEX('Form Responses'!$I$1:$Q$200,6,$A327)&amp;", ")),ISNUMBER(SEARCH(", "&amp;$B327&amp;", ", ", "&amp;INDEX('Form Responses'!$R$1:$R$200,6)&amp;", "))),1,""))</f>
        <v/>
      </c>
      <c r="I327">
        <f>IF(Wizards!$A$7="","",IF(OR(ISNUMBER(SEARCH(", "&amp;$B327&amp;", ", ", "&amp;INDEX('Form Responses'!$I$1:$Q$200,7,$A327)&amp;", ")),ISNUMBER(SEARCH(", "&amp;$B327&amp;", ", ", "&amp;INDEX('Form Responses'!$R$1:$R$200,7)&amp;", "))),1,""))</f>
        <v/>
      </c>
      <c r="J327">
        <f>IF(Wizards!$A$8="","",IF(OR(ISNUMBER(SEARCH(", "&amp;$B327&amp;", ", ", "&amp;INDEX('Form Responses'!$I$1:$Q$200,8,$A327)&amp;", ")),ISNUMBER(SEARCH(", "&amp;$B327&amp;", ", ", "&amp;INDEX('Form Responses'!$R$1:$R$200,8)&amp;", "))),1,""))</f>
        <v/>
      </c>
      <c r="K327">
        <f>IF(Wizards!$A$9="","",IF(OR(ISNUMBER(SEARCH(", "&amp;$B327&amp;", ", ", "&amp;INDEX('Form Responses'!$I$1:$Q$200,9,$A327)&amp;", ")),ISNUMBER(SEARCH(", "&amp;$B327&amp;", ", ", "&amp;INDEX('Form Responses'!$R$1:$R$200,9)&amp;", "))),1,""))</f>
        <v/>
      </c>
      <c r="L327">
        <f>IF(Wizards!$A$10="","",IF(OR(ISNUMBER(SEARCH(", "&amp;$B327&amp;", ", ", "&amp;INDEX('Form Responses'!$I$1:$Q$200,10,$A327)&amp;", ")),ISNUMBER(SEARCH(", "&amp;$B327&amp;", ", ", "&amp;INDEX('Form Responses'!$R$1:$R$200,10)&amp;", "))),1,""))</f>
        <v/>
      </c>
      <c r="M327">
        <f>IF(Wizards!$A$11="","",IF(OR(ISNUMBER(SEARCH(", "&amp;$B327&amp;", ", ", "&amp;INDEX('Form Responses'!$I$1:$Q$200,11,$A327)&amp;", ")),ISNUMBER(SEARCH(", "&amp;$B327&amp;", ", ", "&amp;INDEX('Form Responses'!$R$1:$R$200,11)&amp;", "))),1,""))</f>
        <v/>
      </c>
      <c r="N327">
        <f>IF(Wizards!$A$12="","",IF(OR(ISNUMBER(SEARCH(", "&amp;$B327&amp;", ", ", "&amp;INDEX('Form Responses'!$I$1:$Q$200,12,$A327)&amp;", ")),ISNUMBER(SEARCH(", "&amp;$B327&amp;", ", ", "&amp;INDEX('Form Responses'!$R$1:$R$200,12)&amp;", "))),1,""))</f>
        <v/>
      </c>
      <c r="O327">
        <f>IF(Wizards!$A$13="","",IF(OR(ISNUMBER(SEARCH(", "&amp;$B327&amp;", ", ", "&amp;INDEX('Form Responses'!$I$1:$Q$200,13,$A327)&amp;", ")),ISNUMBER(SEARCH(", "&amp;$B327&amp;", ", ", "&amp;INDEX('Form Responses'!$R$1:$R$200,13)&amp;", "))),1,""))</f>
        <v/>
      </c>
      <c r="P327">
        <f>IF(Wizards!$A$14="","",IF(OR(ISNUMBER(SEARCH(", "&amp;$B327&amp;", ", ", "&amp;INDEX('Form Responses'!$I$1:$Q$200,14,$A327)&amp;", ")),ISNUMBER(SEARCH(", "&amp;$B327&amp;", ", ", "&amp;INDEX('Form Responses'!$R$1:$R$200,14)&amp;", "))),1,""))</f>
        <v/>
      </c>
      <c r="Q327">
        <f>IF(Wizards!$A$15="","",IF(OR(ISNUMBER(SEARCH(", "&amp;$B327&amp;", ", ", "&amp;INDEX('Form Responses'!$I$1:$Q$200,15,$A327)&amp;", ")),ISNUMBER(SEARCH(", "&amp;$B327&amp;", ", ", "&amp;INDEX('Form Responses'!$R$1:$R$200,15)&amp;", "))),1,""))</f>
        <v/>
      </c>
      <c r="R327">
        <f>IF(Wizards!$A$16="","",IF(OR(ISNUMBER(SEARCH(", "&amp;$B327&amp;", ", ", "&amp;INDEX('Form Responses'!$I$1:$Q$200,16,$A327)&amp;", ")),ISNUMBER(SEARCH(", "&amp;$B327&amp;", ", ", "&amp;INDEX('Form Responses'!$R$1:$R$200,16)&amp;", "))),1,""))</f>
        <v/>
      </c>
      <c r="S327">
        <f>IF(Wizards!$A$17="","",IF(OR(ISNUMBER(SEARCH(", "&amp;$B327&amp;", ", ", "&amp;INDEX('Form Responses'!$I$1:$Q$200,17,$A327)&amp;", ")),ISNUMBER(SEARCH(", "&amp;$B327&amp;", ", ", "&amp;INDEX('Form Responses'!$R$1:$R$200,17)&amp;", "))),1,""))</f>
        <v/>
      </c>
      <c r="T327">
        <f>IF(Wizards!$A$18="","",IF(OR(ISNUMBER(SEARCH(", "&amp;$B327&amp;", ", ", "&amp;INDEX('Form Responses'!$I$1:$Q$200,18,$A327)&amp;", ")),ISNUMBER(SEARCH(", "&amp;$B327&amp;", ", ", "&amp;INDEX('Form Responses'!$R$1:$R$200,18)&amp;", "))),1,""))</f>
        <v/>
      </c>
      <c r="U327">
        <f>IF(Wizards!$A$19="","",IF(OR(ISNUMBER(SEARCH(", "&amp;$B327&amp;", ", ", "&amp;INDEX('Form Responses'!$I$1:$Q$200,19,$A327)&amp;", ")),ISNUMBER(SEARCH(", "&amp;$B327&amp;", ", ", "&amp;INDEX('Form Responses'!$R$1:$R$200,19)&amp;", "))),1,""))</f>
        <v/>
      </c>
      <c r="V327">
        <f>IF(Wizards!$A$20="","",IF(OR(ISNUMBER(SEARCH(", "&amp;$B327&amp;", ", ", "&amp;INDEX('Form Responses'!$I$1:$Q$200,20,$A327)&amp;", ")),ISNUMBER(SEARCH(", "&amp;$B327&amp;", ", ", "&amp;INDEX('Form Responses'!$R$1:$R$200,20)&amp;", "))),1,""))</f>
        <v/>
      </c>
      <c r="W327">
        <f>IF(Wizards!$A$21="","",IF(OR(ISNUMBER(SEARCH(", "&amp;$B327&amp;", ", ", "&amp;INDEX('Form Responses'!$I$1:$Q$200,21,$A327)&amp;", ")),ISNUMBER(SEARCH(", "&amp;$B327&amp;", ", ", "&amp;INDEX('Form Responses'!$R$1:$R$200,21)&amp;", "))),1,""))</f>
        <v/>
      </c>
      <c r="X327">
        <f>IF(Wizards!$A$22="","",IF(OR(ISNUMBER(SEARCH(", "&amp;$B327&amp;", ", ", "&amp;INDEX('Form Responses'!$I$1:$Q$200,22,$A327)&amp;", ")),ISNUMBER(SEARCH(", "&amp;$B327&amp;", ", ", "&amp;INDEX('Form Responses'!$R$1:$R$200,22)&amp;", "))),1,""))</f>
        <v/>
      </c>
      <c r="Y327">
        <f>IF(Wizards!$A$23="","",IF(OR(ISNUMBER(SEARCH(", "&amp;$B327&amp;", ", ", "&amp;INDEX('Form Responses'!$I$1:$Q$200,23,$A327)&amp;", ")),ISNUMBER(SEARCH(", "&amp;$B327&amp;", ", ", "&amp;INDEX('Form Responses'!$R$1:$R$200,23)&amp;", "))),1,""))</f>
        <v/>
      </c>
      <c r="Z327">
        <f>IF(Wizards!$A$24="","",IF(OR(ISNUMBER(SEARCH(", "&amp;$B327&amp;", ", ", "&amp;INDEX('Form Responses'!$I$1:$Q$200,24,$A327)&amp;", ")),ISNUMBER(SEARCH(", "&amp;$B327&amp;", ", ", "&amp;INDEX('Form Responses'!$R$1:$R$200,24)&amp;", "))),1,""))</f>
        <v/>
      </c>
      <c r="AA327">
        <f>IF(Wizards!$A$25="","",IF(OR(ISNUMBER(SEARCH(", "&amp;$B327&amp;", ", ", "&amp;INDEX('Form Responses'!$I$1:$Q$200,25,$A327)&amp;", ")),ISNUMBER(SEARCH(", "&amp;$B327&amp;", ", ", "&amp;INDEX('Form Responses'!$R$1:$R$200,25)&amp;", "))),1,""))</f>
        <v/>
      </c>
      <c r="AB327">
        <f>IF(D327=1,", "&amp;D$1,"")</f>
        <v/>
      </c>
      <c r="AC327">
        <f>IF(E327=1,", "&amp;E$1,"")</f>
        <v/>
      </c>
      <c r="AD327">
        <f>IF(F327=1,", "&amp;F$1,"")</f>
        <v/>
      </c>
      <c r="AE327">
        <f>IF(G327=1,", "&amp;G$1,"")</f>
        <v/>
      </c>
      <c r="AF327">
        <f>IF(H327=1,", "&amp;H$1,"")</f>
        <v/>
      </c>
      <c r="AG327">
        <f>IF(I327=1,", "&amp;I$1,"")</f>
        <v/>
      </c>
      <c r="AH327">
        <f>IF(J327=1,", "&amp;J$1,"")</f>
        <v/>
      </c>
      <c r="AI327">
        <f>IF(K327=1,", "&amp;K$1,"")</f>
        <v/>
      </c>
      <c r="AJ327">
        <f>IF(L327=1,", "&amp;L$1,"")</f>
        <v/>
      </c>
      <c r="AK327">
        <f>IF(M327=1,", "&amp;M$1,"")</f>
        <v/>
      </c>
      <c r="AL327">
        <f>IF(N327=1,", "&amp;N$1,"")</f>
        <v/>
      </c>
      <c r="AM327">
        <f>IF(O327=1,", "&amp;O$1,"")</f>
        <v/>
      </c>
      <c r="AN327">
        <f>IF(P327=1,", "&amp;P$1,"")</f>
        <v/>
      </c>
      <c r="AO327">
        <f>IF(Q327=1,", "&amp;Q$1,"")</f>
        <v/>
      </c>
      <c r="AP327">
        <f>IF(R327=1,", "&amp;R$1,"")</f>
        <v/>
      </c>
      <c r="AQ327">
        <f>IF(S327=1,", "&amp;S$1,"")</f>
        <v/>
      </c>
      <c r="AR327">
        <f>IF(T327=1,", "&amp;T$1,"")</f>
        <v/>
      </c>
      <c r="AS327">
        <f>IF(U327=1,", "&amp;U$1,"")</f>
        <v/>
      </c>
      <c r="AT327">
        <f>IF(V327=1,", "&amp;V$1,"")</f>
        <v/>
      </c>
      <c r="AU327">
        <f>IF(W327=1,", "&amp;W$1,"")</f>
        <v/>
      </c>
      <c r="AV327">
        <f>IF(X327=1,", "&amp;X$1,"")</f>
        <v/>
      </c>
      <c r="AW327">
        <f>IF(Y327=1,", "&amp;Y$1,"")</f>
        <v/>
      </c>
      <c r="AX327">
        <f>IF(Z327=1,", "&amp;Z$1,"")</f>
        <v/>
      </c>
      <c r="AY327">
        <f>IF(AA327=1,", "&amp;AA$1,"")</f>
        <v/>
      </c>
      <c r="AZ327">
        <f>MID($AB327&amp;$AC327&amp;$AD327&amp;$AE327&amp;$AF327&amp;$AG327&amp;$AH327&amp;$AI327&amp;$AJ327&amp;$AK327&amp;$AL327&amp;$AM327&amp;$AN327&amp;$AO327&amp;$AP327&amp;$AQ327&amp;$AR327&amp;$AS327&amp;$AT327&amp;$AU327&amp;$AV327&amp;$AW327&amp;$AX327&amp;$AY327,3,32767)</f>
        <v/>
      </c>
      <c r="BA327">
        <f>COUNT($D327:$AA327)</f>
        <v/>
      </c>
    </row>
    <row r="328">
      <c r="A328" t="n">
        <v>8</v>
      </c>
      <c r="B328" t="inlineStr">
        <is>
          <t>Moment of Prescience</t>
        </is>
      </c>
      <c r="C328" t="inlineStr">
        <is>
          <t>Divination</t>
        </is>
      </c>
      <c r="D328">
        <f>IF(Wizards!$A$2="","",IF(OR(ISNUMBER(SEARCH(", "&amp;$B328&amp;", ", ", "&amp;INDEX('Form Responses'!$I$1:$Q$200,2,$A328)&amp;", ")),ISNUMBER(SEARCH(", "&amp;$B328&amp;", ", ", "&amp;INDEX('Form Responses'!$R$1:$R$200,2)&amp;", "))),1,""))</f>
        <v/>
      </c>
      <c r="E328">
        <f>IF(Wizards!$A$3="","",IF(OR(ISNUMBER(SEARCH(", "&amp;$B328&amp;", ", ", "&amp;INDEX('Form Responses'!$I$1:$Q$200,3,$A328)&amp;", ")),ISNUMBER(SEARCH(", "&amp;$B328&amp;", ", ", "&amp;INDEX('Form Responses'!$R$1:$R$200,3)&amp;", "))),1,""))</f>
        <v/>
      </c>
      <c r="F328">
        <f>IF(Wizards!$A$4="","",IF(OR(ISNUMBER(SEARCH(", "&amp;$B328&amp;", ", ", "&amp;INDEX('Form Responses'!$I$1:$Q$200,4,$A328)&amp;", ")),ISNUMBER(SEARCH(", "&amp;$B328&amp;", ", ", "&amp;INDEX('Form Responses'!$R$1:$R$200,4)&amp;", "))),1,""))</f>
        <v/>
      </c>
      <c r="G328">
        <f>IF(Wizards!$A$5="","",IF(OR(ISNUMBER(SEARCH(", "&amp;$B328&amp;", ", ", "&amp;INDEX('Form Responses'!$I$1:$Q$200,5,$A328)&amp;", ")),ISNUMBER(SEARCH(", "&amp;$B328&amp;", ", ", "&amp;INDEX('Form Responses'!$R$1:$R$200,5)&amp;", "))),1,""))</f>
        <v/>
      </c>
      <c r="H328">
        <f>IF(Wizards!$A$6="","",IF(OR(ISNUMBER(SEARCH(", "&amp;$B328&amp;", ", ", "&amp;INDEX('Form Responses'!$I$1:$Q$200,6,$A328)&amp;", ")),ISNUMBER(SEARCH(", "&amp;$B328&amp;", ", ", "&amp;INDEX('Form Responses'!$R$1:$R$200,6)&amp;", "))),1,""))</f>
        <v/>
      </c>
      <c r="I328">
        <f>IF(Wizards!$A$7="","",IF(OR(ISNUMBER(SEARCH(", "&amp;$B328&amp;", ", ", "&amp;INDEX('Form Responses'!$I$1:$Q$200,7,$A328)&amp;", ")),ISNUMBER(SEARCH(", "&amp;$B328&amp;", ", ", "&amp;INDEX('Form Responses'!$R$1:$R$200,7)&amp;", "))),1,""))</f>
        <v/>
      </c>
      <c r="J328">
        <f>IF(Wizards!$A$8="","",IF(OR(ISNUMBER(SEARCH(", "&amp;$B328&amp;", ", ", "&amp;INDEX('Form Responses'!$I$1:$Q$200,8,$A328)&amp;", ")),ISNUMBER(SEARCH(", "&amp;$B328&amp;", ", ", "&amp;INDEX('Form Responses'!$R$1:$R$200,8)&amp;", "))),1,""))</f>
        <v/>
      </c>
      <c r="K328">
        <f>IF(Wizards!$A$9="","",IF(OR(ISNUMBER(SEARCH(", "&amp;$B328&amp;", ", ", "&amp;INDEX('Form Responses'!$I$1:$Q$200,9,$A328)&amp;", ")),ISNUMBER(SEARCH(", "&amp;$B328&amp;", ", ", "&amp;INDEX('Form Responses'!$R$1:$R$200,9)&amp;", "))),1,""))</f>
        <v/>
      </c>
      <c r="L328">
        <f>IF(Wizards!$A$10="","",IF(OR(ISNUMBER(SEARCH(", "&amp;$B328&amp;", ", ", "&amp;INDEX('Form Responses'!$I$1:$Q$200,10,$A328)&amp;", ")),ISNUMBER(SEARCH(", "&amp;$B328&amp;", ", ", "&amp;INDEX('Form Responses'!$R$1:$R$200,10)&amp;", "))),1,""))</f>
        <v/>
      </c>
      <c r="M328">
        <f>IF(Wizards!$A$11="","",IF(OR(ISNUMBER(SEARCH(", "&amp;$B328&amp;", ", ", "&amp;INDEX('Form Responses'!$I$1:$Q$200,11,$A328)&amp;", ")),ISNUMBER(SEARCH(", "&amp;$B328&amp;", ", ", "&amp;INDEX('Form Responses'!$R$1:$R$200,11)&amp;", "))),1,""))</f>
        <v/>
      </c>
      <c r="N328">
        <f>IF(Wizards!$A$12="","",IF(OR(ISNUMBER(SEARCH(", "&amp;$B328&amp;", ", ", "&amp;INDEX('Form Responses'!$I$1:$Q$200,12,$A328)&amp;", ")),ISNUMBER(SEARCH(", "&amp;$B328&amp;", ", ", "&amp;INDEX('Form Responses'!$R$1:$R$200,12)&amp;", "))),1,""))</f>
        <v/>
      </c>
      <c r="O328">
        <f>IF(Wizards!$A$13="","",IF(OR(ISNUMBER(SEARCH(", "&amp;$B328&amp;", ", ", "&amp;INDEX('Form Responses'!$I$1:$Q$200,13,$A328)&amp;", ")),ISNUMBER(SEARCH(", "&amp;$B328&amp;", ", ", "&amp;INDEX('Form Responses'!$R$1:$R$200,13)&amp;", "))),1,""))</f>
        <v/>
      </c>
      <c r="P328">
        <f>IF(Wizards!$A$14="","",IF(OR(ISNUMBER(SEARCH(", "&amp;$B328&amp;", ", ", "&amp;INDEX('Form Responses'!$I$1:$Q$200,14,$A328)&amp;", ")),ISNUMBER(SEARCH(", "&amp;$B328&amp;", ", ", "&amp;INDEX('Form Responses'!$R$1:$R$200,14)&amp;", "))),1,""))</f>
        <v/>
      </c>
      <c r="Q328">
        <f>IF(Wizards!$A$15="","",IF(OR(ISNUMBER(SEARCH(", "&amp;$B328&amp;", ", ", "&amp;INDEX('Form Responses'!$I$1:$Q$200,15,$A328)&amp;", ")),ISNUMBER(SEARCH(", "&amp;$B328&amp;", ", ", "&amp;INDEX('Form Responses'!$R$1:$R$200,15)&amp;", "))),1,""))</f>
        <v/>
      </c>
      <c r="R328">
        <f>IF(Wizards!$A$16="","",IF(OR(ISNUMBER(SEARCH(", "&amp;$B328&amp;", ", ", "&amp;INDEX('Form Responses'!$I$1:$Q$200,16,$A328)&amp;", ")),ISNUMBER(SEARCH(", "&amp;$B328&amp;", ", ", "&amp;INDEX('Form Responses'!$R$1:$R$200,16)&amp;", "))),1,""))</f>
        <v/>
      </c>
      <c r="S328">
        <f>IF(Wizards!$A$17="","",IF(OR(ISNUMBER(SEARCH(", "&amp;$B328&amp;", ", ", "&amp;INDEX('Form Responses'!$I$1:$Q$200,17,$A328)&amp;", ")),ISNUMBER(SEARCH(", "&amp;$B328&amp;", ", ", "&amp;INDEX('Form Responses'!$R$1:$R$200,17)&amp;", "))),1,""))</f>
        <v/>
      </c>
      <c r="T328">
        <f>IF(Wizards!$A$18="","",IF(OR(ISNUMBER(SEARCH(", "&amp;$B328&amp;", ", ", "&amp;INDEX('Form Responses'!$I$1:$Q$200,18,$A328)&amp;", ")),ISNUMBER(SEARCH(", "&amp;$B328&amp;", ", ", "&amp;INDEX('Form Responses'!$R$1:$R$200,18)&amp;", "))),1,""))</f>
        <v/>
      </c>
      <c r="U328">
        <f>IF(Wizards!$A$19="","",IF(OR(ISNUMBER(SEARCH(", "&amp;$B328&amp;", ", ", "&amp;INDEX('Form Responses'!$I$1:$Q$200,19,$A328)&amp;", ")),ISNUMBER(SEARCH(", "&amp;$B328&amp;", ", ", "&amp;INDEX('Form Responses'!$R$1:$R$200,19)&amp;", "))),1,""))</f>
        <v/>
      </c>
      <c r="V328">
        <f>IF(Wizards!$A$20="","",IF(OR(ISNUMBER(SEARCH(", "&amp;$B328&amp;", ", ", "&amp;INDEX('Form Responses'!$I$1:$Q$200,20,$A328)&amp;", ")),ISNUMBER(SEARCH(", "&amp;$B328&amp;", ", ", "&amp;INDEX('Form Responses'!$R$1:$R$200,20)&amp;", "))),1,""))</f>
        <v/>
      </c>
      <c r="W328">
        <f>IF(Wizards!$A$21="","",IF(OR(ISNUMBER(SEARCH(", "&amp;$B328&amp;", ", ", "&amp;INDEX('Form Responses'!$I$1:$Q$200,21,$A328)&amp;", ")),ISNUMBER(SEARCH(", "&amp;$B328&amp;", ", ", "&amp;INDEX('Form Responses'!$R$1:$R$200,21)&amp;", "))),1,""))</f>
        <v/>
      </c>
      <c r="X328">
        <f>IF(Wizards!$A$22="","",IF(OR(ISNUMBER(SEARCH(", "&amp;$B328&amp;", ", ", "&amp;INDEX('Form Responses'!$I$1:$Q$200,22,$A328)&amp;", ")),ISNUMBER(SEARCH(", "&amp;$B328&amp;", ", ", "&amp;INDEX('Form Responses'!$R$1:$R$200,22)&amp;", "))),1,""))</f>
        <v/>
      </c>
      <c r="Y328">
        <f>IF(Wizards!$A$23="","",IF(OR(ISNUMBER(SEARCH(", "&amp;$B328&amp;", ", ", "&amp;INDEX('Form Responses'!$I$1:$Q$200,23,$A328)&amp;", ")),ISNUMBER(SEARCH(", "&amp;$B328&amp;", ", ", "&amp;INDEX('Form Responses'!$R$1:$R$200,23)&amp;", "))),1,""))</f>
        <v/>
      </c>
      <c r="Z328">
        <f>IF(Wizards!$A$24="","",IF(OR(ISNUMBER(SEARCH(", "&amp;$B328&amp;", ", ", "&amp;INDEX('Form Responses'!$I$1:$Q$200,24,$A328)&amp;", ")),ISNUMBER(SEARCH(", "&amp;$B328&amp;", ", ", "&amp;INDEX('Form Responses'!$R$1:$R$200,24)&amp;", "))),1,""))</f>
        <v/>
      </c>
      <c r="AA328">
        <f>IF(Wizards!$A$25="","",IF(OR(ISNUMBER(SEARCH(", "&amp;$B328&amp;", ", ", "&amp;INDEX('Form Responses'!$I$1:$Q$200,25,$A328)&amp;", ")),ISNUMBER(SEARCH(", "&amp;$B328&amp;", ", ", "&amp;INDEX('Form Responses'!$R$1:$R$200,25)&amp;", "))),1,""))</f>
        <v/>
      </c>
      <c r="AB328">
        <f>IF(D328=1,", "&amp;D$1,"")</f>
        <v/>
      </c>
      <c r="AC328">
        <f>IF(E328=1,", "&amp;E$1,"")</f>
        <v/>
      </c>
      <c r="AD328">
        <f>IF(F328=1,", "&amp;F$1,"")</f>
        <v/>
      </c>
      <c r="AE328">
        <f>IF(G328=1,", "&amp;G$1,"")</f>
        <v/>
      </c>
      <c r="AF328">
        <f>IF(H328=1,", "&amp;H$1,"")</f>
        <v/>
      </c>
      <c r="AG328">
        <f>IF(I328=1,", "&amp;I$1,"")</f>
        <v/>
      </c>
      <c r="AH328">
        <f>IF(J328=1,", "&amp;J$1,"")</f>
        <v/>
      </c>
      <c r="AI328">
        <f>IF(K328=1,", "&amp;K$1,"")</f>
        <v/>
      </c>
      <c r="AJ328">
        <f>IF(L328=1,", "&amp;L$1,"")</f>
        <v/>
      </c>
      <c r="AK328">
        <f>IF(M328=1,", "&amp;M$1,"")</f>
        <v/>
      </c>
      <c r="AL328">
        <f>IF(N328=1,", "&amp;N$1,"")</f>
        <v/>
      </c>
      <c r="AM328">
        <f>IF(O328=1,", "&amp;O$1,"")</f>
        <v/>
      </c>
      <c r="AN328">
        <f>IF(P328=1,", "&amp;P$1,"")</f>
        <v/>
      </c>
      <c r="AO328">
        <f>IF(Q328=1,", "&amp;Q$1,"")</f>
        <v/>
      </c>
      <c r="AP328">
        <f>IF(R328=1,", "&amp;R$1,"")</f>
        <v/>
      </c>
      <c r="AQ328">
        <f>IF(S328=1,", "&amp;S$1,"")</f>
        <v/>
      </c>
      <c r="AR328">
        <f>IF(T328=1,", "&amp;T$1,"")</f>
        <v/>
      </c>
      <c r="AS328">
        <f>IF(U328=1,", "&amp;U$1,"")</f>
        <v/>
      </c>
      <c r="AT328">
        <f>IF(V328=1,", "&amp;V$1,"")</f>
        <v/>
      </c>
      <c r="AU328">
        <f>IF(W328=1,", "&amp;W$1,"")</f>
        <v/>
      </c>
      <c r="AV328">
        <f>IF(X328=1,", "&amp;X$1,"")</f>
        <v/>
      </c>
      <c r="AW328">
        <f>IF(Y328=1,", "&amp;Y$1,"")</f>
        <v/>
      </c>
      <c r="AX328">
        <f>IF(Z328=1,", "&amp;Z$1,"")</f>
        <v/>
      </c>
      <c r="AY328">
        <f>IF(AA328=1,", "&amp;AA$1,"")</f>
        <v/>
      </c>
      <c r="AZ328">
        <f>MID($AB328&amp;$AC328&amp;$AD328&amp;$AE328&amp;$AF328&amp;$AG328&amp;$AH328&amp;$AI328&amp;$AJ328&amp;$AK328&amp;$AL328&amp;$AM328&amp;$AN328&amp;$AO328&amp;$AP328&amp;$AQ328&amp;$AR328&amp;$AS328&amp;$AT328&amp;$AU328&amp;$AV328&amp;$AW328&amp;$AX328&amp;$AY328,3,32767)</f>
        <v/>
      </c>
      <c r="BA328">
        <f>COUNT($D328:$AA328)</f>
        <v/>
      </c>
    </row>
    <row r="329">
      <c r="A329" t="n">
        <v>8</v>
      </c>
      <c r="B329" t="inlineStr">
        <is>
          <t>Power Word Stun</t>
        </is>
      </c>
      <c r="C329" t="inlineStr">
        <is>
          <t>Enchantment</t>
        </is>
      </c>
      <c r="D329">
        <f>IF(Wizards!$A$2="","",IF(OR(ISNUMBER(SEARCH(", "&amp;$B329&amp;", ", ", "&amp;INDEX('Form Responses'!$I$1:$Q$200,2,$A329)&amp;", ")),ISNUMBER(SEARCH(", "&amp;$B329&amp;", ", ", "&amp;INDEX('Form Responses'!$R$1:$R$200,2)&amp;", "))),1,""))</f>
        <v/>
      </c>
      <c r="E329">
        <f>IF(Wizards!$A$3="","",IF(OR(ISNUMBER(SEARCH(", "&amp;$B329&amp;", ", ", "&amp;INDEX('Form Responses'!$I$1:$Q$200,3,$A329)&amp;", ")),ISNUMBER(SEARCH(", "&amp;$B329&amp;", ", ", "&amp;INDEX('Form Responses'!$R$1:$R$200,3)&amp;", "))),1,""))</f>
        <v/>
      </c>
      <c r="F329">
        <f>IF(Wizards!$A$4="","",IF(OR(ISNUMBER(SEARCH(", "&amp;$B329&amp;", ", ", "&amp;INDEX('Form Responses'!$I$1:$Q$200,4,$A329)&amp;", ")),ISNUMBER(SEARCH(", "&amp;$B329&amp;", ", ", "&amp;INDEX('Form Responses'!$R$1:$R$200,4)&amp;", "))),1,""))</f>
        <v/>
      </c>
      <c r="G329">
        <f>IF(Wizards!$A$5="","",IF(OR(ISNUMBER(SEARCH(", "&amp;$B329&amp;", ", ", "&amp;INDEX('Form Responses'!$I$1:$Q$200,5,$A329)&amp;", ")),ISNUMBER(SEARCH(", "&amp;$B329&amp;", ", ", "&amp;INDEX('Form Responses'!$R$1:$R$200,5)&amp;", "))),1,""))</f>
        <v/>
      </c>
      <c r="H329">
        <f>IF(Wizards!$A$6="","",IF(OR(ISNUMBER(SEARCH(", "&amp;$B329&amp;", ", ", "&amp;INDEX('Form Responses'!$I$1:$Q$200,6,$A329)&amp;", ")),ISNUMBER(SEARCH(", "&amp;$B329&amp;", ", ", "&amp;INDEX('Form Responses'!$R$1:$R$200,6)&amp;", "))),1,""))</f>
        <v/>
      </c>
      <c r="I329">
        <f>IF(Wizards!$A$7="","",IF(OR(ISNUMBER(SEARCH(", "&amp;$B329&amp;", ", ", "&amp;INDEX('Form Responses'!$I$1:$Q$200,7,$A329)&amp;", ")),ISNUMBER(SEARCH(", "&amp;$B329&amp;", ", ", "&amp;INDEX('Form Responses'!$R$1:$R$200,7)&amp;", "))),1,""))</f>
        <v/>
      </c>
      <c r="J329">
        <f>IF(Wizards!$A$8="","",IF(OR(ISNUMBER(SEARCH(", "&amp;$B329&amp;", ", ", "&amp;INDEX('Form Responses'!$I$1:$Q$200,8,$A329)&amp;", ")),ISNUMBER(SEARCH(", "&amp;$B329&amp;", ", ", "&amp;INDEX('Form Responses'!$R$1:$R$200,8)&amp;", "))),1,""))</f>
        <v/>
      </c>
      <c r="K329">
        <f>IF(Wizards!$A$9="","",IF(OR(ISNUMBER(SEARCH(", "&amp;$B329&amp;", ", ", "&amp;INDEX('Form Responses'!$I$1:$Q$200,9,$A329)&amp;", ")),ISNUMBER(SEARCH(", "&amp;$B329&amp;", ", ", "&amp;INDEX('Form Responses'!$R$1:$R$200,9)&amp;", "))),1,""))</f>
        <v/>
      </c>
      <c r="L329">
        <f>IF(Wizards!$A$10="","",IF(OR(ISNUMBER(SEARCH(", "&amp;$B329&amp;", ", ", "&amp;INDEX('Form Responses'!$I$1:$Q$200,10,$A329)&amp;", ")),ISNUMBER(SEARCH(", "&amp;$B329&amp;", ", ", "&amp;INDEX('Form Responses'!$R$1:$R$200,10)&amp;", "))),1,""))</f>
        <v/>
      </c>
      <c r="M329">
        <f>IF(Wizards!$A$11="","",IF(OR(ISNUMBER(SEARCH(", "&amp;$B329&amp;", ", ", "&amp;INDEX('Form Responses'!$I$1:$Q$200,11,$A329)&amp;", ")),ISNUMBER(SEARCH(", "&amp;$B329&amp;", ", ", "&amp;INDEX('Form Responses'!$R$1:$R$200,11)&amp;", "))),1,""))</f>
        <v/>
      </c>
      <c r="N329">
        <f>IF(Wizards!$A$12="","",IF(OR(ISNUMBER(SEARCH(", "&amp;$B329&amp;", ", ", "&amp;INDEX('Form Responses'!$I$1:$Q$200,12,$A329)&amp;", ")),ISNUMBER(SEARCH(", "&amp;$B329&amp;", ", ", "&amp;INDEX('Form Responses'!$R$1:$R$200,12)&amp;", "))),1,""))</f>
        <v/>
      </c>
      <c r="O329">
        <f>IF(Wizards!$A$13="","",IF(OR(ISNUMBER(SEARCH(", "&amp;$B329&amp;", ", ", "&amp;INDEX('Form Responses'!$I$1:$Q$200,13,$A329)&amp;", ")),ISNUMBER(SEARCH(", "&amp;$B329&amp;", ", ", "&amp;INDEX('Form Responses'!$R$1:$R$200,13)&amp;", "))),1,""))</f>
        <v/>
      </c>
      <c r="P329">
        <f>IF(Wizards!$A$14="","",IF(OR(ISNUMBER(SEARCH(", "&amp;$B329&amp;", ", ", "&amp;INDEX('Form Responses'!$I$1:$Q$200,14,$A329)&amp;", ")),ISNUMBER(SEARCH(", "&amp;$B329&amp;", ", ", "&amp;INDEX('Form Responses'!$R$1:$R$200,14)&amp;", "))),1,""))</f>
        <v/>
      </c>
      <c r="Q329">
        <f>IF(Wizards!$A$15="","",IF(OR(ISNUMBER(SEARCH(", "&amp;$B329&amp;", ", ", "&amp;INDEX('Form Responses'!$I$1:$Q$200,15,$A329)&amp;", ")),ISNUMBER(SEARCH(", "&amp;$B329&amp;", ", ", "&amp;INDEX('Form Responses'!$R$1:$R$200,15)&amp;", "))),1,""))</f>
        <v/>
      </c>
      <c r="R329">
        <f>IF(Wizards!$A$16="","",IF(OR(ISNUMBER(SEARCH(", "&amp;$B329&amp;", ", ", "&amp;INDEX('Form Responses'!$I$1:$Q$200,16,$A329)&amp;", ")),ISNUMBER(SEARCH(", "&amp;$B329&amp;", ", ", "&amp;INDEX('Form Responses'!$R$1:$R$200,16)&amp;", "))),1,""))</f>
        <v/>
      </c>
      <c r="S329">
        <f>IF(Wizards!$A$17="","",IF(OR(ISNUMBER(SEARCH(", "&amp;$B329&amp;", ", ", "&amp;INDEX('Form Responses'!$I$1:$Q$200,17,$A329)&amp;", ")),ISNUMBER(SEARCH(", "&amp;$B329&amp;", ", ", "&amp;INDEX('Form Responses'!$R$1:$R$200,17)&amp;", "))),1,""))</f>
        <v/>
      </c>
      <c r="T329">
        <f>IF(Wizards!$A$18="","",IF(OR(ISNUMBER(SEARCH(", "&amp;$B329&amp;", ", ", "&amp;INDEX('Form Responses'!$I$1:$Q$200,18,$A329)&amp;", ")),ISNUMBER(SEARCH(", "&amp;$B329&amp;", ", ", "&amp;INDEX('Form Responses'!$R$1:$R$200,18)&amp;", "))),1,""))</f>
        <v/>
      </c>
      <c r="U329">
        <f>IF(Wizards!$A$19="","",IF(OR(ISNUMBER(SEARCH(", "&amp;$B329&amp;", ", ", "&amp;INDEX('Form Responses'!$I$1:$Q$200,19,$A329)&amp;", ")),ISNUMBER(SEARCH(", "&amp;$B329&amp;", ", ", "&amp;INDEX('Form Responses'!$R$1:$R$200,19)&amp;", "))),1,""))</f>
        <v/>
      </c>
      <c r="V329">
        <f>IF(Wizards!$A$20="","",IF(OR(ISNUMBER(SEARCH(", "&amp;$B329&amp;", ", ", "&amp;INDEX('Form Responses'!$I$1:$Q$200,20,$A329)&amp;", ")),ISNUMBER(SEARCH(", "&amp;$B329&amp;", ", ", "&amp;INDEX('Form Responses'!$R$1:$R$200,20)&amp;", "))),1,""))</f>
        <v/>
      </c>
      <c r="W329">
        <f>IF(Wizards!$A$21="","",IF(OR(ISNUMBER(SEARCH(", "&amp;$B329&amp;", ", ", "&amp;INDEX('Form Responses'!$I$1:$Q$200,21,$A329)&amp;", ")),ISNUMBER(SEARCH(", "&amp;$B329&amp;", ", ", "&amp;INDEX('Form Responses'!$R$1:$R$200,21)&amp;", "))),1,""))</f>
        <v/>
      </c>
      <c r="X329">
        <f>IF(Wizards!$A$22="","",IF(OR(ISNUMBER(SEARCH(", "&amp;$B329&amp;", ", ", "&amp;INDEX('Form Responses'!$I$1:$Q$200,22,$A329)&amp;", ")),ISNUMBER(SEARCH(", "&amp;$B329&amp;", ", ", "&amp;INDEX('Form Responses'!$R$1:$R$200,22)&amp;", "))),1,""))</f>
        <v/>
      </c>
      <c r="Y329">
        <f>IF(Wizards!$A$23="","",IF(OR(ISNUMBER(SEARCH(", "&amp;$B329&amp;", ", ", "&amp;INDEX('Form Responses'!$I$1:$Q$200,23,$A329)&amp;", ")),ISNUMBER(SEARCH(", "&amp;$B329&amp;", ", ", "&amp;INDEX('Form Responses'!$R$1:$R$200,23)&amp;", "))),1,""))</f>
        <v/>
      </c>
      <c r="Z329">
        <f>IF(Wizards!$A$24="","",IF(OR(ISNUMBER(SEARCH(", "&amp;$B329&amp;", ", ", "&amp;INDEX('Form Responses'!$I$1:$Q$200,24,$A329)&amp;", ")),ISNUMBER(SEARCH(", "&amp;$B329&amp;", ", ", "&amp;INDEX('Form Responses'!$R$1:$R$200,24)&amp;", "))),1,""))</f>
        <v/>
      </c>
      <c r="AA329">
        <f>IF(Wizards!$A$25="","",IF(OR(ISNUMBER(SEARCH(", "&amp;$B329&amp;", ", ", "&amp;INDEX('Form Responses'!$I$1:$Q$200,25,$A329)&amp;", ")),ISNUMBER(SEARCH(", "&amp;$B329&amp;", ", ", "&amp;INDEX('Form Responses'!$R$1:$R$200,25)&amp;", "))),1,""))</f>
        <v/>
      </c>
      <c r="AB329">
        <f>IF(D329=1,", "&amp;D$1,"")</f>
        <v/>
      </c>
      <c r="AC329">
        <f>IF(E329=1,", "&amp;E$1,"")</f>
        <v/>
      </c>
      <c r="AD329">
        <f>IF(F329=1,", "&amp;F$1,"")</f>
        <v/>
      </c>
      <c r="AE329">
        <f>IF(G329=1,", "&amp;G$1,"")</f>
        <v/>
      </c>
      <c r="AF329">
        <f>IF(H329=1,", "&amp;H$1,"")</f>
        <v/>
      </c>
      <c r="AG329">
        <f>IF(I329=1,", "&amp;I$1,"")</f>
        <v/>
      </c>
      <c r="AH329">
        <f>IF(J329=1,", "&amp;J$1,"")</f>
        <v/>
      </c>
      <c r="AI329">
        <f>IF(K329=1,", "&amp;K$1,"")</f>
        <v/>
      </c>
      <c r="AJ329">
        <f>IF(L329=1,", "&amp;L$1,"")</f>
        <v/>
      </c>
      <c r="AK329">
        <f>IF(M329=1,", "&amp;M$1,"")</f>
        <v/>
      </c>
      <c r="AL329">
        <f>IF(N329=1,", "&amp;N$1,"")</f>
        <v/>
      </c>
      <c r="AM329">
        <f>IF(O329=1,", "&amp;O$1,"")</f>
        <v/>
      </c>
      <c r="AN329">
        <f>IF(P329=1,", "&amp;P$1,"")</f>
        <v/>
      </c>
      <c r="AO329">
        <f>IF(Q329=1,", "&amp;Q$1,"")</f>
        <v/>
      </c>
      <c r="AP329">
        <f>IF(R329=1,", "&amp;R$1,"")</f>
        <v/>
      </c>
      <c r="AQ329">
        <f>IF(S329=1,", "&amp;S$1,"")</f>
        <v/>
      </c>
      <c r="AR329">
        <f>IF(T329=1,", "&amp;T$1,"")</f>
        <v/>
      </c>
      <c r="AS329">
        <f>IF(U329=1,", "&amp;U$1,"")</f>
        <v/>
      </c>
      <c r="AT329">
        <f>IF(V329=1,", "&amp;V$1,"")</f>
        <v/>
      </c>
      <c r="AU329">
        <f>IF(W329=1,", "&amp;W$1,"")</f>
        <v/>
      </c>
      <c r="AV329">
        <f>IF(X329=1,", "&amp;X$1,"")</f>
        <v/>
      </c>
      <c r="AW329">
        <f>IF(Y329=1,", "&amp;Y$1,"")</f>
        <v/>
      </c>
      <c r="AX329">
        <f>IF(Z329=1,", "&amp;Z$1,"")</f>
        <v/>
      </c>
      <c r="AY329">
        <f>IF(AA329=1,", "&amp;AA$1,"")</f>
        <v/>
      </c>
      <c r="AZ329">
        <f>MID($AB329&amp;$AC329&amp;$AD329&amp;$AE329&amp;$AF329&amp;$AG329&amp;$AH329&amp;$AI329&amp;$AJ329&amp;$AK329&amp;$AL329&amp;$AM329&amp;$AN329&amp;$AO329&amp;$AP329&amp;$AQ329&amp;$AR329&amp;$AS329&amp;$AT329&amp;$AU329&amp;$AV329&amp;$AW329&amp;$AX329&amp;$AY329,3,32767)</f>
        <v/>
      </c>
      <c r="BA329">
        <f>COUNT($D329:$AA329)</f>
        <v/>
      </c>
    </row>
    <row r="330">
      <c r="A330" t="n">
        <v>8</v>
      </c>
      <c r="B330" t="inlineStr">
        <is>
          <t>Sunburst</t>
        </is>
      </c>
      <c r="C330" t="inlineStr">
        <is>
          <t>Evocation</t>
        </is>
      </c>
      <c r="D330">
        <f>IF(Wizards!$A$2="","",IF(OR(ISNUMBER(SEARCH(", "&amp;$B330&amp;", ", ", "&amp;INDEX('Form Responses'!$I$1:$Q$200,2,$A330)&amp;", ")),ISNUMBER(SEARCH(", "&amp;$B330&amp;", ", ", "&amp;INDEX('Form Responses'!$R$1:$R$200,2)&amp;", "))),1,""))</f>
        <v/>
      </c>
      <c r="E330">
        <f>IF(Wizards!$A$3="","",IF(OR(ISNUMBER(SEARCH(", "&amp;$B330&amp;", ", ", "&amp;INDEX('Form Responses'!$I$1:$Q$200,3,$A330)&amp;", ")),ISNUMBER(SEARCH(", "&amp;$B330&amp;", ", ", "&amp;INDEX('Form Responses'!$R$1:$R$200,3)&amp;", "))),1,""))</f>
        <v/>
      </c>
      <c r="F330">
        <f>IF(Wizards!$A$4="","",IF(OR(ISNUMBER(SEARCH(", "&amp;$B330&amp;", ", ", "&amp;INDEX('Form Responses'!$I$1:$Q$200,4,$A330)&amp;", ")),ISNUMBER(SEARCH(", "&amp;$B330&amp;", ", ", "&amp;INDEX('Form Responses'!$R$1:$R$200,4)&amp;", "))),1,""))</f>
        <v/>
      </c>
      <c r="G330">
        <f>IF(Wizards!$A$5="","",IF(OR(ISNUMBER(SEARCH(", "&amp;$B330&amp;", ", ", "&amp;INDEX('Form Responses'!$I$1:$Q$200,5,$A330)&amp;", ")),ISNUMBER(SEARCH(", "&amp;$B330&amp;", ", ", "&amp;INDEX('Form Responses'!$R$1:$R$200,5)&amp;", "))),1,""))</f>
        <v/>
      </c>
      <c r="H330">
        <f>IF(Wizards!$A$6="","",IF(OR(ISNUMBER(SEARCH(", "&amp;$B330&amp;", ", ", "&amp;INDEX('Form Responses'!$I$1:$Q$200,6,$A330)&amp;", ")),ISNUMBER(SEARCH(", "&amp;$B330&amp;", ", ", "&amp;INDEX('Form Responses'!$R$1:$R$200,6)&amp;", "))),1,""))</f>
        <v/>
      </c>
      <c r="I330">
        <f>IF(Wizards!$A$7="","",IF(OR(ISNUMBER(SEARCH(", "&amp;$B330&amp;", ", ", "&amp;INDEX('Form Responses'!$I$1:$Q$200,7,$A330)&amp;", ")),ISNUMBER(SEARCH(", "&amp;$B330&amp;", ", ", "&amp;INDEX('Form Responses'!$R$1:$R$200,7)&amp;", "))),1,""))</f>
        <v/>
      </c>
      <c r="J330">
        <f>IF(Wizards!$A$8="","",IF(OR(ISNUMBER(SEARCH(", "&amp;$B330&amp;", ", ", "&amp;INDEX('Form Responses'!$I$1:$Q$200,8,$A330)&amp;", ")),ISNUMBER(SEARCH(", "&amp;$B330&amp;", ", ", "&amp;INDEX('Form Responses'!$R$1:$R$200,8)&amp;", "))),1,""))</f>
        <v/>
      </c>
      <c r="K330">
        <f>IF(Wizards!$A$9="","",IF(OR(ISNUMBER(SEARCH(", "&amp;$B330&amp;", ", ", "&amp;INDEX('Form Responses'!$I$1:$Q$200,9,$A330)&amp;", ")),ISNUMBER(SEARCH(", "&amp;$B330&amp;", ", ", "&amp;INDEX('Form Responses'!$R$1:$R$200,9)&amp;", "))),1,""))</f>
        <v/>
      </c>
      <c r="L330">
        <f>IF(Wizards!$A$10="","",IF(OR(ISNUMBER(SEARCH(", "&amp;$B330&amp;", ", ", "&amp;INDEX('Form Responses'!$I$1:$Q$200,10,$A330)&amp;", ")),ISNUMBER(SEARCH(", "&amp;$B330&amp;", ", ", "&amp;INDEX('Form Responses'!$R$1:$R$200,10)&amp;", "))),1,""))</f>
        <v/>
      </c>
      <c r="M330">
        <f>IF(Wizards!$A$11="","",IF(OR(ISNUMBER(SEARCH(", "&amp;$B330&amp;", ", ", "&amp;INDEX('Form Responses'!$I$1:$Q$200,11,$A330)&amp;", ")),ISNUMBER(SEARCH(", "&amp;$B330&amp;", ", ", "&amp;INDEX('Form Responses'!$R$1:$R$200,11)&amp;", "))),1,""))</f>
        <v/>
      </c>
      <c r="N330">
        <f>IF(Wizards!$A$12="","",IF(OR(ISNUMBER(SEARCH(", "&amp;$B330&amp;", ", ", "&amp;INDEX('Form Responses'!$I$1:$Q$200,12,$A330)&amp;", ")),ISNUMBER(SEARCH(", "&amp;$B330&amp;", ", ", "&amp;INDEX('Form Responses'!$R$1:$R$200,12)&amp;", "))),1,""))</f>
        <v/>
      </c>
      <c r="O330">
        <f>IF(Wizards!$A$13="","",IF(OR(ISNUMBER(SEARCH(", "&amp;$B330&amp;", ", ", "&amp;INDEX('Form Responses'!$I$1:$Q$200,13,$A330)&amp;", ")),ISNUMBER(SEARCH(", "&amp;$B330&amp;", ", ", "&amp;INDEX('Form Responses'!$R$1:$R$200,13)&amp;", "))),1,""))</f>
        <v/>
      </c>
      <c r="P330">
        <f>IF(Wizards!$A$14="","",IF(OR(ISNUMBER(SEARCH(", "&amp;$B330&amp;", ", ", "&amp;INDEX('Form Responses'!$I$1:$Q$200,14,$A330)&amp;", ")),ISNUMBER(SEARCH(", "&amp;$B330&amp;", ", ", "&amp;INDEX('Form Responses'!$R$1:$R$200,14)&amp;", "))),1,""))</f>
        <v/>
      </c>
      <c r="Q330">
        <f>IF(Wizards!$A$15="","",IF(OR(ISNUMBER(SEARCH(", "&amp;$B330&amp;", ", ", "&amp;INDEX('Form Responses'!$I$1:$Q$200,15,$A330)&amp;", ")),ISNUMBER(SEARCH(", "&amp;$B330&amp;", ", ", "&amp;INDEX('Form Responses'!$R$1:$R$200,15)&amp;", "))),1,""))</f>
        <v/>
      </c>
      <c r="R330">
        <f>IF(Wizards!$A$16="","",IF(OR(ISNUMBER(SEARCH(", "&amp;$B330&amp;", ", ", "&amp;INDEX('Form Responses'!$I$1:$Q$200,16,$A330)&amp;", ")),ISNUMBER(SEARCH(", "&amp;$B330&amp;", ", ", "&amp;INDEX('Form Responses'!$R$1:$R$200,16)&amp;", "))),1,""))</f>
        <v/>
      </c>
      <c r="S330">
        <f>IF(Wizards!$A$17="","",IF(OR(ISNUMBER(SEARCH(", "&amp;$B330&amp;", ", ", "&amp;INDEX('Form Responses'!$I$1:$Q$200,17,$A330)&amp;", ")),ISNUMBER(SEARCH(", "&amp;$B330&amp;", ", ", "&amp;INDEX('Form Responses'!$R$1:$R$200,17)&amp;", "))),1,""))</f>
        <v/>
      </c>
      <c r="T330">
        <f>IF(Wizards!$A$18="","",IF(OR(ISNUMBER(SEARCH(", "&amp;$B330&amp;", ", ", "&amp;INDEX('Form Responses'!$I$1:$Q$200,18,$A330)&amp;", ")),ISNUMBER(SEARCH(", "&amp;$B330&amp;", ", ", "&amp;INDEX('Form Responses'!$R$1:$R$200,18)&amp;", "))),1,""))</f>
        <v/>
      </c>
      <c r="U330">
        <f>IF(Wizards!$A$19="","",IF(OR(ISNUMBER(SEARCH(", "&amp;$B330&amp;", ", ", "&amp;INDEX('Form Responses'!$I$1:$Q$200,19,$A330)&amp;", ")),ISNUMBER(SEARCH(", "&amp;$B330&amp;", ", ", "&amp;INDEX('Form Responses'!$R$1:$R$200,19)&amp;", "))),1,""))</f>
        <v/>
      </c>
      <c r="V330">
        <f>IF(Wizards!$A$20="","",IF(OR(ISNUMBER(SEARCH(", "&amp;$B330&amp;", ", ", "&amp;INDEX('Form Responses'!$I$1:$Q$200,20,$A330)&amp;", ")),ISNUMBER(SEARCH(", "&amp;$B330&amp;", ", ", "&amp;INDEX('Form Responses'!$R$1:$R$200,20)&amp;", "))),1,""))</f>
        <v/>
      </c>
      <c r="W330">
        <f>IF(Wizards!$A$21="","",IF(OR(ISNUMBER(SEARCH(", "&amp;$B330&amp;", ", ", "&amp;INDEX('Form Responses'!$I$1:$Q$200,21,$A330)&amp;", ")),ISNUMBER(SEARCH(", "&amp;$B330&amp;", ", ", "&amp;INDEX('Form Responses'!$R$1:$R$200,21)&amp;", "))),1,""))</f>
        <v/>
      </c>
      <c r="X330">
        <f>IF(Wizards!$A$22="","",IF(OR(ISNUMBER(SEARCH(", "&amp;$B330&amp;", ", ", "&amp;INDEX('Form Responses'!$I$1:$Q$200,22,$A330)&amp;", ")),ISNUMBER(SEARCH(", "&amp;$B330&amp;", ", ", "&amp;INDEX('Form Responses'!$R$1:$R$200,22)&amp;", "))),1,""))</f>
        <v/>
      </c>
      <c r="Y330">
        <f>IF(Wizards!$A$23="","",IF(OR(ISNUMBER(SEARCH(", "&amp;$B330&amp;", ", ", "&amp;INDEX('Form Responses'!$I$1:$Q$200,23,$A330)&amp;", ")),ISNUMBER(SEARCH(", "&amp;$B330&amp;", ", ", "&amp;INDEX('Form Responses'!$R$1:$R$200,23)&amp;", "))),1,""))</f>
        <v/>
      </c>
      <c r="Z330">
        <f>IF(Wizards!$A$24="","",IF(OR(ISNUMBER(SEARCH(", "&amp;$B330&amp;", ", ", "&amp;INDEX('Form Responses'!$I$1:$Q$200,24,$A330)&amp;", ")),ISNUMBER(SEARCH(", "&amp;$B330&amp;", ", ", "&amp;INDEX('Form Responses'!$R$1:$R$200,24)&amp;", "))),1,""))</f>
        <v/>
      </c>
      <c r="AA330">
        <f>IF(Wizards!$A$25="","",IF(OR(ISNUMBER(SEARCH(", "&amp;$B330&amp;", ", ", "&amp;INDEX('Form Responses'!$I$1:$Q$200,25,$A330)&amp;", ")),ISNUMBER(SEARCH(", "&amp;$B330&amp;", ", ", "&amp;INDEX('Form Responses'!$R$1:$R$200,25)&amp;", "))),1,""))</f>
        <v/>
      </c>
      <c r="AB330">
        <f>IF(D330=1,", "&amp;D$1,"")</f>
        <v/>
      </c>
      <c r="AC330">
        <f>IF(E330=1,", "&amp;E$1,"")</f>
        <v/>
      </c>
      <c r="AD330">
        <f>IF(F330=1,", "&amp;F$1,"")</f>
        <v/>
      </c>
      <c r="AE330">
        <f>IF(G330=1,", "&amp;G$1,"")</f>
        <v/>
      </c>
      <c r="AF330">
        <f>IF(H330=1,", "&amp;H$1,"")</f>
        <v/>
      </c>
      <c r="AG330">
        <f>IF(I330=1,", "&amp;I$1,"")</f>
        <v/>
      </c>
      <c r="AH330">
        <f>IF(J330=1,", "&amp;J$1,"")</f>
        <v/>
      </c>
      <c r="AI330">
        <f>IF(K330=1,", "&amp;K$1,"")</f>
        <v/>
      </c>
      <c r="AJ330">
        <f>IF(L330=1,", "&amp;L$1,"")</f>
        <v/>
      </c>
      <c r="AK330">
        <f>IF(M330=1,", "&amp;M$1,"")</f>
        <v/>
      </c>
      <c r="AL330">
        <f>IF(N330=1,", "&amp;N$1,"")</f>
        <v/>
      </c>
      <c r="AM330">
        <f>IF(O330=1,", "&amp;O$1,"")</f>
        <v/>
      </c>
      <c r="AN330">
        <f>IF(P330=1,", "&amp;P$1,"")</f>
        <v/>
      </c>
      <c r="AO330">
        <f>IF(Q330=1,", "&amp;Q$1,"")</f>
        <v/>
      </c>
      <c r="AP330">
        <f>IF(R330=1,", "&amp;R$1,"")</f>
        <v/>
      </c>
      <c r="AQ330">
        <f>IF(S330=1,", "&amp;S$1,"")</f>
        <v/>
      </c>
      <c r="AR330">
        <f>IF(T330=1,", "&amp;T$1,"")</f>
        <v/>
      </c>
      <c r="AS330">
        <f>IF(U330=1,", "&amp;U$1,"")</f>
        <v/>
      </c>
      <c r="AT330">
        <f>IF(V330=1,", "&amp;V$1,"")</f>
        <v/>
      </c>
      <c r="AU330">
        <f>IF(W330=1,", "&amp;W$1,"")</f>
        <v/>
      </c>
      <c r="AV330">
        <f>IF(X330=1,", "&amp;X$1,"")</f>
        <v/>
      </c>
      <c r="AW330">
        <f>IF(Y330=1,", "&amp;Y$1,"")</f>
        <v/>
      </c>
      <c r="AX330">
        <f>IF(Z330=1,", "&amp;Z$1,"")</f>
        <v/>
      </c>
      <c r="AY330">
        <f>IF(AA330=1,", "&amp;AA$1,"")</f>
        <v/>
      </c>
      <c r="AZ330">
        <f>MID($AB330&amp;$AC330&amp;$AD330&amp;$AE330&amp;$AF330&amp;$AG330&amp;$AH330&amp;$AI330&amp;$AJ330&amp;$AK330&amp;$AL330&amp;$AM330&amp;$AN330&amp;$AO330&amp;$AP330&amp;$AQ330&amp;$AR330&amp;$AS330&amp;$AT330&amp;$AU330&amp;$AV330&amp;$AW330&amp;$AX330&amp;$AY330,3,32767)</f>
        <v/>
      </c>
      <c r="BA330">
        <f>COUNT($D330:$AA330)</f>
        <v/>
      </c>
    </row>
    <row r="331">
      <c r="A331" t="n">
        <v>8</v>
      </c>
      <c r="B331" t="inlineStr">
        <is>
          <t>Telepathy</t>
        </is>
      </c>
      <c r="C331" t="inlineStr">
        <is>
          <t>Divination</t>
        </is>
      </c>
      <c r="D331">
        <f>IF(Wizards!$A$2="","",IF(OR(ISNUMBER(SEARCH(", "&amp;$B331&amp;", ", ", "&amp;INDEX('Form Responses'!$I$1:$Q$200,2,$A331)&amp;", ")),ISNUMBER(SEARCH(", "&amp;$B331&amp;", ", ", "&amp;INDEX('Form Responses'!$R$1:$R$200,2)&amp;", "))),1,""))</f>
        <v/>
      </c>
      <c r="E331">
        <f>IF(Wizards!$A$3="","",IF(OR(ISNUMBER(SEARCH(", "&amp;$B331&amp;", ", ", "&amp;INDEX('Form Responses'!$I$1:$Q$200,3,$A331)&amp;", ")),ISNUMBER(SEARCH(", "&amp;$B331&amp;", ", ", "&amp;INDEX('Form Responses'!$R$1:$R$200,3)&amp;", "))),1,""))</f>
        <v/>
      </c>
      <c r="F331">
        <f>IF(Wizards!$A$4="","",IF(OR(ISNUMBER(SEARCH(", "&amp;$B331&amp;", ", ", "&amp;INDEX('Form Responses'!$I$1:$Q$200,4,$A331)&amp;", ")),ISNUMBER(SEARCH(", "&amp;$B331&amp;", ", ", "&amp;INDEX('Form Responses'!$R$1:$R$200,4)&amp;", "))),1,""))</f>
        <v/>
      </c>
      <c r="G331">
        <f>IF(Wizards!$A$5="","",IF(OR(ISNUMBER(SEARCH(", "&amp;$B331&amp;", ", ", "&amp;INDEX('Form Responses'!$I$1:$Q$200,5,$A331)&amp;", ")),ISNUMBER(SEARCH(", "&amp;$B331&amp;", ", ", "&amp;INDEX('Form Responses'!$R$1:$R$200,5)&amp;", "))),1,""))</f>
        <v/>
      </c>
      <c r="H331">
        <f>IF(Wizards!$A$6="","",IF(OR(ISNUMBER(SEARCH(", "&amp;$B331&amp;", ", ", "&amp;INDEX('Form Responses'!$I$1:$Q$200,6,$A331)&amp;", ")),ISNUMBER(SEARCH(", "&amp;$B331&amp;", ", ", "&amp;INDEX('Form Responses'!$R$1:$R$200,6)&amp;", "))),1,""))</f>
        <v/>
      </c>
      <c r="I331">
        <f>IF(Wizards!$A$7="","",IF(OR(ISNUMBER(SEARCH(", "&amp;$B331&amp;", ", ", "&amp;INDEX('Form Responses'!$I$1:$Q$200,7,$A331)&amp;", ")),ISNUMBER(SEARCH(", "&amp;$B331&amp;", ", ", "&amp;INDEX('Form Responses'!$R$1:$R$200,7)&amp;", "))),1,""))</f>
        <v/>
      </c>
      <c r="J331">
        <f>IF(Wizards!$A$8="","",IF(OR(ISNUMBER(SEARCH(", "&amp;$B331&amp;", ", ", "&amp;INDEX('Form Responses'!$I$1:$Q$200,8,$A331)&amp;", ")),ISNUMBER(SEARCH(", "&amp;$B331&amp;", ", ", "&amp;INDEX('Form Responses'!$R$1:$R$200,8)&amp;", "))),1,""))</f>
        <v/>
      </c>
      <c r="K331">
        <f>IF(Wizards!$A$9="","",IF(OR(ISNUMBER(SEARCH(", "&amp;$B331&amp;", ", ", "&amp;INDEX('Form Responses'!$I$1:$Q$200,9,$A331)&amp;", ")),ISNUMBER(SEARCH(", "&amp;$B331&amp;", ", ", "&amp;INDEX('Form Responses'!$R$1:$R$200,9)&amp;", "))),1,""))</f>
        <v/>
      </c>
      <c r="L331">
        <f>IF(Wizards!$A$10="","",IF(OR(ISNUMBER(SEARCH(", "&amp;$B331&amp;", ", ", "&amp;INDEX('Form Responses'!$I$1:$Q$200,10,$A331)&amp;", ")),ISNUMBER(SEARCH(", "&amp;$B331&amp;", ", ", "&amp;INDEX('Form Responses'!$R$1:$R$200,10)&amp;", "))),1,""))</f>
        <v/>
      </c>
      <c r="M331">
        <f>IF(Wizards!$A$11="","",IF(OR(ISNUMBER(SEARCH(", "&amp;$B331&amp;", ", ", "&amp;INDEX('Form Responses'!$I$1:$Q$200,11,$A331)&amp;", ")),ISNUMBER(SEARCH(", "&amp;$B331&amp;", ", ", "&amp;INDEX('Form Responses'!$R$1:$R$200,11)&amp;", "))),1,""))</f>
        <v/>
      </c>
      <c r="N331">
        <f>IF(Wizards!$A$12="","",IF(OR(ISNUMBER(SEARCH(", "&amp;$B331&amp;", ", ", "&amp;INDEX('Form Responses'!$I$1:$Q$200,12,$A331)&amp;", ")),ISNUMBER(SEARCH(", "&amp;$B331&amp;", ", ", "&amp;INDEX('Form Responses'!$R$1:$R$200,12)&amp;", "))),1,""))</f>
        <v/>
      </c>
      <c r="O331">
        <f>IF(Wizards!$A$13="","",IF(OR(ISNUMBER(SEARCH(", "&amp;$B331&amp;", ", ", "&amp;INDEX('Form Responses'!$I$1:$Q$200,13,$A331)&amp;", ")),ISNUMBER(SEARCH(", "&amp;$B331&amp;", ", ", "&amp;INDEX('Form Responses'!$R$1:$R$200,13)&amp;", "))),1,""))</f>
        <v/>
      </c>
      <c r="P331">
        <f>IF(Wizards!$A$14="","",IF(OR(ISNUMBER(SEARCH(", "&amp;$B331&amp;", ", ", "&amp;INDEX('Form Responses'!$I$1:$Q$200,14,$A331)&amp;", ")),ISNUMBER(SEARCH(", "&amp;$B331&amp;", ", ", "&amp;INDEX('Form Responses'!$R$1:$R$200,14)&amp;", "))),1,""))</f>
        <v/>
      </c>
      <c r="Q331">
        <f>IF(Wizards!$A$15="","",IF(OR(ISNUMBER(SEARCH(", "&amp;$B331&amp;", ", ", "&amp;INDEX('Form Responses'!$I$1:$Q$200,15,$A331)&amp;", ")),ISNUMBER(SEARCH(", "&amp;$B331&amp;", ", ", "&amp;INDEX('Form Responses'!$R$1:$R$200,15)&amp;", "))),1,""))</f>
        <v/>
      </c>
      <c r="R331">
        <f>IF(Wizards!$A$16="","",IF(OR(ISNUMBER(SEARCH(", "&amp;$B331&amp;", ", ", "&amp;INDEX('Form Responses'!$I$1:$Q$200,16,$A331)&amp;", ")),ISNUMBER(SEARCH(", "&amp;$B331&amp;", ", ", "&amp;INDEX('Form Responses'!$R$1:$R$200,16)&amp;", "))),1,""))</f>
        <v/>
      </c>
      <c r="S331">
        <f>IF(Wizards!$A$17="","",IF(OR(ISNUMBER(SEARCH(", "&amp;$B331&amp;", ", ", "&amp;INDEX('Form Responses'!$I$1:$Q$200,17,$A331)&amp;", ")),ISNUMBER(SEARCH(", "&amp;$B331&amp;", ", ", "&amp;INDEX('Form Responses'!$R$1:$R$200,17)&amp;", "))),1,""))</f>
        <v/>
      </c>
      <c r="T331">
        <f>IF(Wizards!$A$18="","",IF(OR(ISNUMBER(SEARCH(", "&amp;$B331&amp;", ", ", "&amp;INDEX('Form Responses'!$I$1:$Q$200,18,$A331)&amp;", ")),ISNUMBER(SEARCH(", "&amp;$B331&amp;", ", ", "&amp;INDEX('Form Responses'!$R$1:$R$200,18)&amp;", "))),1,""))</f>
        <v/>
      </c>
      <c r="U331">
        <f>IF(Wizards!$A$19="","",IF(OR(ISNUMBER(SEARCH(", "&amp;$B331&amp;", ", ", "&amp;INDEX('Form Responses'!$I$1:$Q$200,19,$A331)&amp;", ")),ISNUMBER(SEARCH(", "&amp;$B331&amp;", ", ", "&amp;INDEX('Form Responses'!$R$1:$R$200,19)&amp;", "))),1,""))</f>
        <v/>
      </c>
      <c r="V331">
        <f>IF(Wizards!$A$20="","",IF(OR(ISNUMBER(SEARCH(", "&amp;$B331&amp;", ", ", "&amp;INDEX('Form Responses'!$I$1:$Q$200,20,$A331)&amp;", ")),ISNUMBER(SEARCH(", "&amp;$B331&amp;", ", ", "&amp;INDEX('Form Responses'!$R$1:$R$200,20)&amp;", "))),1,""))</f>
        <v/>
      </c>
      <c r="W331">
        <f>IF(Wizards!$A$21="","",IF(OR(ISNUMBER(SEARCH(", "&amp;$B331&amp;", ", ", "&amp;INDEX('Form Responses'!$I$1:$Q$200,21,$A331)&amp;", ")),ISNUMBER(SEARCH(", "&amp;$B331&amp;", ", ", "&amp;INDEX('Form Responses'!$R$1:$R$200,21)&amp;", "))),1,""))</f>
        <v/>
      </c>
      <c r="X331">
        <f>IF(Wizards!$A$22="","",IF(OR(ISNUMBER(SEARCH(", "&amp;$B331&amp;", ", ", "&amp;INDEX('Form Responses'!$I$1:$Q$200,22,$A331)&amp;", ")),ISNUMBER(SEARCH(", "&amp;$B331&amp;", ", ", "&amp;INDEX('Form Responses'!$R$1:$R$200,22)&amp;", "))),1,""))</f>
        <v/>
      </c>
      <c r="Y331">
        <f>IF(Wizards!$A$23="","",IF(OR(ISNUMBER(SEARCH(", "&amp;$B331&amp;", ", ", "&amp;INDEX('Form Responses'!$I$1:$Q$200,23,$A331)&amp;", ")),ISNUMBER(SEARCH(", "&amp;$B331&amp;", ", ", "&amp;INDEX('Form Responses'!$R$1:$R$200,23)&amp;", "))),1,""))</f>
        <v/>
      </c>
      <c r="Z331">
        <f>IF(Wizards!$A$24="","",IF(OR(ISNUMBER(SEARCH(", "&amp;$B331&amp;", ", ", "&amp;INDEX('Form Responses'!$I$1:$Q$200,24,$A331)&amp;", ")),ISNUMBER(SEARCH(", "&amp;$B331&amp;", ", ", "&amp;INDEX('Form Responses'!$R$1:$R$200,24)&amp;", "))),1,""))</f>
        <v/>
      </c>
      <c r="AA331">
        <f>IF(Wizards!$A$25="","",IF(OR(ISNUMBER(SEARCH(", "&amp;$B331&amp;", ", ", "&amp;INDEX('Form Responses'!$I$1:$Q$200,25,$A331)&amp;", ")),ISNUMBER(SEARCH(", "&amp;$B331&amp;", ", ", "&amp;INDEX('Form Responses'!$R$1:$R$200,25)&amp;", "))),1,""))</f>
        <v/>
      </c>
      <c r="AB331">
        <f>IF(D331=1,", "&amp;D$1,"")</f>
        <v/>
      </c>
      <c r="AC331">
        <f>IF(E331=1,", "&amp;E$1,"")</f>
        <v/>
      </c>
      <c r="AD331">
        <f>IF(F331=1,", "&amp;F$1,"")</f>
        <v/>
      </c>
      <c r="AE331">
        <f>IF(G331=1,", "&amp;G$1,"")</f>
        <v/>
      </c>
      <c r="AF331">
        <f>IF(H331=1,", "&amp;H$1,"")</f>
        <v/>
      </c>
      <c r="AG331">
        <f>IF(I331=1,", "&amp;I$1,"")</f>
        <v/>
      </c>
      <c r="AH331">
        <f>IF(J331=1,", "&amp;J$1,"")</f>
        <v/>
      </c>
      <c r="AI331">
        <f>IF(K331=1,", "&amp;K$1,"")</f>
        <v/>
      </c>
      <c r="AJ331">
        <f>IF(L331=1,", "&amp;L$1,"")</f>
        <v/>
      </c>
      <c r="AK331">
        <f>IF(M331=1,", "&amp;M$1,"")</f>
        <v/>
      </c>
      <c r="AL331">
        <f>IF(N331=1,", "&amp;N$1,"")</f>
        <v/>
      </c>
      <c r="AM331">
        <f>IF(O331=1,", "&amp;O$1,"")</f>
        <v/>
      </c>
      <c r="AN331">
        <f>IF(P331=1,", "&amp;P$1,"")</f>
        <v/>
      </c>
      <c r="AO331">
        <f>IF(Q331=1,", "&amp;Q$1,"")</f>
        <v/>
      </c>
      <c r="AP331">
        <f>IF(R331=1,", "&amp;R$1,"")</f>
        <v/>
      </c>
      <c r="AQ331">
        <f>IF(S331=1,", "&amp;S$1,"")</f>
        <v/>
      </c>
      <c r="AR331">
        <f>IF(T331=1,", "&amp;T$1,"")</f>
        <v/>
      </c>
      <c r="AS331">
        <f>IF(U331=1,", "&amp;U$1,"")</f>
        <v/>
      </c>
      <c r="AT331">
        <f>IF(V331=1,", "&amp;V$1,"")</f>
        <v/>
      </c>
      <c r="AU331">
        <f>IF(W331=1,", "&amp;W$1,"")</f>
        <v/>
      </c>
      <c r="AV331">
        <f>IF(X331=1,", "&amp;X$1,"")</f>
        <v/>
      </c>
      <c r="AW331">
        <f>IF(Y331=1,", "&amp;Y$1,"")</f>
        <v/>
      </c>
      <c r="AX331">
        <f>IF(Z331=1,", "&amp;Z$1,"")</f>
        <v/>
      </c>
      <c r="AY331">
        <f>IF(AA331=1,", "&amp;AA$1,"")</f>
        <v/>
      </c>
      <c r="AZ331">
        <f>MID($AB331&amp;$AC331&amp;$AD331&amp;$AE331&amp;$AF331&amp;$AG331&amp;$AH331&amp;$AI331&amp;$AJ331&amp;$AK331&amp;$AL331&amp;$AM331&amp;$AN331&amp;$AO331&amp;$AP331&amp;$AQ331&amp;$AR331&amp;$AS331&amp;$AT331&amp;$AU331&amp;$AV331&amp;$AW331&amp;$AX331&amp;$AY331,3,32767)</f>
        <v/>
      </c>
      <c r="BA331">
        <f>COUNT($D331:$AA331)</f>
        <v/>
      </c>
    </row>
    <row r="332">
      <c r="A332" t="n">
        <v>9</v>
      </c>
      <c r="B332" t="inlineStr">
        <is>
          <t>Astral Projection</t>
        </is>
      </c>
      <c r="C332" t="inlineStr">
        <is>
          <t>Necromancy</t>
        </is>
      </c>
      <c r="D332">
        <f>IF(Wizards!$A$2="","",IF(OR(ISNUMBER(SEARCH(", "&amp;$B332&amp;", ", ", "&amp;INDEX('Form Responses'!$I$1:$Q$200,2,$A332)&amp;", ")),ISNUMBER(SEARCH(", "&amp;$B332&amp;", ", ", "&amp;INDEX('Form Responses'!$R$1:$R$200,2)&amp;", "))),1,""))</f>
        <v/>
      </c>
      <c r="E332">
        <f>IF(Wizards!$A$3="","",IF(OR(ISNUMBER(SEARCH(", "&amp;$B332&amp;", ", ", "&amp;INDEX('Form Responses'!$I$1:$Q$200,3,$A332)&amp;", ")),ISNUMBER(SEARCH(", "&amp;$B332&amp;", ", ", "&amp;INDEX('Form Responses'!$R$1:$R$200,3)&amp;", "))),1,""))</f>
        <v/>
      </c>
      <c r="F332">
        <f>IF(Wizards!$A$4="","",IF(OR(ISNUMBER(SEARCH(", "&amp;$B332&amp;", ", ", "&amp;INDEX('Form Responses'!$I$1:$Q$200,4,$A332)&amp;", ")),ISNUMBER(SEARCH(", "&amp;$B332&amp;", ", ", "&amp;INDEX('Form Responses'!$R$1:$R$200,4)&amp;", "))),1,""))</f>
        <v/>
      </c>
      <c r="G332">
        <f>IF(Wizards!$A$5="","",IF(OR(ISNUMBER(SEARCH(", "&amp;$B332&amp;", ", ", "&amp;INDEX('Form Responses'!$I$1:$Q$200,5,$A332)&amp;", ")),ISNUMBER(SEARCH(", "&amp;$B332&amp;", ", ", "&amp;INDEX('Form Responses'!$R$1:$R$200,5)&amp;", "))),1,""))</f>
        <v/>
      </c>
      <c r="H332">
        <f>IF(Wizards!$A$6="","",IF(OR(ISNUMBER(SEARCH(", "&amp;$B332&amp;", ", ", "&amp;INDEX('Form Responses'!$I$1:$Q$200,6,$A332)&amp;", ")),ISNUMBER(SEARCH(", "&amp;$B332&amp;", ", ", "&amp;INDEX('Form Responses'!$R$1:$R$200,6)&amp;", "))),1,""))</f>
        <v/>
      </c>
      <c r="I332">
        <f>IF(Wizards!$A$7="","",IF(OR(ISNUMBER(SEARCH(", "&amp;$B332&amp;", ", ", "&amp;INDEX('Form Responses'!$I$1:$Q$200,7,$A332)&amp;", ")),ISNUMBER(SEARCH(", "&amp;$B332&amp;", ", ", "&amp;INDEX('Form Responses'!$R$1:$R$200,7)&amp;", "))),1,""))</f>
        <v/>
      </c>
      <c r="J332">
        <f>IF(Wizards!$A$8="","",IF(OR(ISNUMBER(SEARCH(", "&amp;$B332&amp;", ", ", "&amp;INDEX('Form Responses'!$I$1:$Q$200,8,$A332)&amp;", ")),ISNUMBER(SEARCH(", "&amp;$B332&amp;", ", ", "&amp;INDEX('Form Responses'!$R$1:$R$200,8)&amp;", "))),1,""))</f>
        <v/>
      </c>
      <c r="K332">
        <f>IF(Wizards!$A$9="","",IF(OR(ISNUMBER(SEARCH(", "&amp;$B332&amp;", ", ", "&amp;INDEX('Form Responses'!$I$1:$Q$200,9,$A332)&amp;", ")),ISNUMBER(SEARCH(", "&amp;$B332&amp;", ", ", "&amp;INDEX('Form Responses'!$R$1:$R$200,9)&amp;", "))),1,""))</f>
        <v/>
      </c>
      <c r="L332">
        <f>IF(Wizards!$A$10="","",IF(OR(ISNUMBER(SEARCH(", "&amp;$B332&amp;", ", ", "&amp;INDEX('Form Responses'!$I$1:$Q$200,10,$A332)&amp;", ")),ISNUMBER(SEARCH(", "&amp;$B332&amp;", ", ", "&amp;INDEX('Form Responses'!$R$1:$R$200,10)&amp;", "))),1,""))</f>
        <v/>
      </c>
      <c r="M332">
        <f>IF(Wizards!$A$11="","",IF(OR(ISNUMBER(SEARCH(", "&amp;$B332&amp;", ", ", "&amp;INDEX('Form Responses'!$I$1:$Q$200,11,$A332)&amp;", ")),ISNUMBER(SEARCH(", "&amp;$B332&amp;", ", ", "&amp;INDEX('Form Responses'!$R$1:$R$200,11)&amp;", "))),1,""))</f>
        <v/>
      </c>
      <c r="N332">
        <f>IF(Wizards!$A$12="","",IF(OR(ISNUMBER(SEARCH(", "&amp;$B332&amp;", ", ", "&amp;INDEX('Form Responses'!$I$1:$Q$200,12,$A332)&amp;", ")),ISNUMBER(SEARCH(", "&amp;$B332&amp;", ", ", "&amp;INDEX('Form Responses'!$R$1:$R$200,12)&amp;", "))),1,""))</f>
        <v/>
      </c>
      <c r="O332">
        <f>IF(Wizards!$A$13="","",IF(OR(ISNUMBER(SEARCH(", "&amp;$B332&amp;", ", ", "&amp;INDEX('Form Responses'!$I$1:$Q$200,13,$A332)&amp;", ")),ISNUMBER(SEARCH(", "&amp;$B332&amp;", ", ", "&amp;INDEX('Form Responses'!$R$1:$R$200,13)&amp;", "))),1,""))</f>
        <v/>
      </c>
      <c r="P332">
        <f>IF(Wizards!$A$14="","",IF(OR(ISNUMBER(SEARCH(", "&amp;$B332&amp;", ", ", "&amp;INDEX('Form Responses'!$I$1:$Q$200,14,$A332)&amp;", ")),ISNUMBER(SEARCH(", "&amp;$B332&amp;", ", ", "&amp;INDEX('Form Responses'!$R$1:$R$200,14)&amp;", "))),1,""))</f>
        <v/>
      </c>
      <c r="Q332">
        <f>IF(Wizards!$A$15="","",IF(OR(ISNUMBER(SEARCH(", "&amp;$B332&amp;", ", ", "&amp;INDEX('Form Responses'!$I$1:$Q$200,15,$A332)&amp;", ")),ISNUMBER(SEARCH(", "&amp;$B332&amp;", ", ", "&amp;INDEX('Form Responses'!$R$1:$R$200,15)&amp;", "))),1,""))</f>
        <v/>
      </c>
      <c r="R332">
        <f>IF(Wizards!$A$16="","",IF(OR(ISNUMBER(SEARCH(", "&amp;$B332&amp;", ", ", "&amp;INDEX('Form Responses'!$I$1:$Q$200,16,$A332)&amp;", ")),ISNUMBER(SEARCH(", "&amp;$B332&amp;", ", ", "&amp;INDEX('Form Responses'!$R$1:$R$200,16)&amp;", "))),1,""))</f>
        <v/>
      </c>
      <c r="S332">
        <f>IF(Wizards!$A$17="","",IF(OR(ISNUMBER(SEARCH(", "&amp;$B332&amp;", ", ", "&amp;INDEX('Form Responses'!$I$1:$Q$200,17,$A332)&amp;", ")),ISNUMBER(SEARCH(", "&amp;$B332&amp;", ", ", "&amp;INDEX('Form Responses'!$R$1:$R$200,17)&amp;", "))),1,""))</f>
        <v/>
      </c>
      <c r="T332">
        <f>IF(Wizards!$A$18="","",IF(OR(ISNUMBER(SEARCH(", "&amp;$B332&amp;", ", ", "&amp;INDEX('Form Responses'!$I$1:$Q$200,18,$A332)&amp;", ")),ISNUMBER(SEARCH(", "&amp;$B332&amp;", ", ", "&amp;INDEX('Form Responses'!$R$1:$R$200,18)&amp;", "))),1,""))</f>
        <v/>
      </c>
      <c r="U332">
        <f>IF(Wizards!$A$19="","",IF(OR(ISNUMBER(SEARCH(", "&amp;$B332&amp;", ", ", "&amp;INDEX('Form Responses'!$I$1:$Q$200,19,$A332)&amp;", ")),ISNUMBER(SEARCH(", "&amp;$B332&amp;", ", ", "&amp;INDEX('Form Responses'!$R$1:$R$200,19)&amp;", "))),1,""))</f>
        <v/>
      </c>
      <c r="V332">
        <f>IF(Wizards!$A$20="","",IF(OR(ISNUMBER(SEARCH(", "&amp;$B332&amp;", ", ", "&amp;INDEX('Form Responses'!$I$1:$Q$200,20,$A332)&amp;", ")),ISNUMBER(SEARCH(", "&amp;$B332&amp;", ", ", "&amp;INDEX('Form Responses'!$R$1:$R$200,20)&amp;", "))),1,""))</f>
        <v/>
      </c>
      <c r="W332">
        <f>IF(Wizards!$A$21="","",IF(OR(ISNUMBER(SEARCH(", "&amp;$B332&amp;", ", ", "&amp;INDEX('Form Responses'!$I$1:$Q$200,21,$A332)&amp;", ")),ISNUMBER(SEARCH(", "&amp;$B332&amp;", ", ", "&amp;INDEX('Form Responses'!$R$1:$R$200,21)&amp;", "))),1,""))</f>
        <v/>
      </c>
      <c r="X332">
        <f>IF(Wizards!$A$22="","",IF(OR(ISNUMBER(SEARCH(", "&amp;$B332&amp;", ", ", "&amp;INDEX('Form Responses'!$I$1:$Q$200,22,$A332)&amp;", ")),ISNUMBER(SEARCH(", "&amp;$B332&amp;", ", ", "&amp;INDEX('Form Responses'!$R$1:$R$200,22)&amp;", "))),1,""))</f>
        <v/>
      </c>
      <c r="Y332">
        <f>IF(Wizards!$A$23="","",IF(OR(ISNUMBER(SEARCH(", "&amp;$B332&amp;", ", ", "&amp;INDEX('Form Responses'!$I$1:$Q$200,23,$A332)&amp;", ")),ISNUMBER(SEARCH(", "&amp;$B332&amp;", ", ", "&amp;INDEX('Form Responses'!$R$1:$R$200,23)&amp;", "))),1,""))</f>
        <v/>
      </c>
      <c r="Z332">
        <f>IF(Wizards!$A$24="","",IF(OR(ISNUMBER(SEARCH(", "&amp;$B332&amp;", ", ", "&amp;INDEX('Form Responses'!$I$1:$Q$200,24,$A332)&amp;", ")),ISNUMBER(SEARCH(", "&amp;$B332&amp;", ", ", "&amp;INDEX('Form Responses'!$R$1:$R$200,24)&amp;", "))),1,""))</f>
        <v/>
      </c>
      <c r="AA332">
        <f>IF(Wizards!$A$25="","",IF(OR(ISNUMBER(SEARCH(", "&amp;$B332&amp;", ", ", "&amp;INDEX('Form Responses'!$I$1:$Q$200,25,$A332)&amp;", ")),ISNUMBER(SEARCH(", "&amp;$B332&amp;", ", ", "&amp;INDEX('Form Responses'!$R$1:$R$200,25)&amp;", "))),1,""))</f>
        <v/>
      </c>
      <c r="AB332">
        <f>IF(D332=1,", "&amp;D$1,"")</f>
        <v/>
      </c>
      <c r="AC332">
        <f>IF(E332=1,", "&amp;E$1,"")</f>
        <v/>
      </c>
      <c r="AD332">
        <f>IF(F332=1,", "&amp;F$1,"")</f>
        <v/>
      </c>
      <c r="AE332">
        <f>IF(G332=1,", "&amp;G$1,"")</f>
        <v/>
      </c>
      <c r="AF332">
        <f>IF(H332=1,", "&amp;H$1,"")</f>
        <v/>
      </c>
      <c r="AG332">
        <f>IF(I332=1,", "&amp;I$1,"")</f>
        <v/>
      </c>
      <c r="AH332">
        <f>IF(J332=1,", "&amp;J$1,"")</f>
        <v/>
      </c>
      <c r="AI332">
        <f>IF(K332=1,", "&amp;K$1,"")</f>
        <v/>
      </c>
      <c r="AJ332">
        <f>IF(L332=1,", "&amp;L$1,"")</f>
        <v/>
      </c>
      <c r="AK332">
        <f>IF(M332=1,", "&amp;M$1,"")</f>
        <v/>
      </c>
      <c r="AL332">
        <f>IF(N332=1,", "&amp;N$1,"")</f>
        <v/>
      </c>
      <c r="AM332">
        <f>IF(O332=1,", "&amp;O$1,"")</f>
        <v/>
      </c>
      <c r="AN332">
        <f>IF(P332=1,", "&amp;P$1,"")</f>
        <v/>
      </c>
      <c r="AO332">
        <f>IF(Q332=1,", "&amp;Q$1,"")</f>
        <v/>
      </c>
      <c r="AP332">
        <f>IF(R332=1,", "&amp;R$1,"")</f>
        <v/>
      </c>
      <c r="AQ332">
        <f>IF(S332=1,", "&amp;S$1,"")</f>
        <v/>
      </c>
      <c r="AR332">
        <f>IF(T332=1,", "&amp;T$1,"")</f>
        <v/>
      </c>
      <c r="AS332">
        <f>IF(U332=1,", "&amp;U$1,"")</f>
        <v/>
      </c>
      <c r="AT332">
        <f>IF(V332=1,", "&amp;V$1,"")</f>
        <v/>
      </c>
      <c r="AU332">
        <f>IF(W332=1,", "&amp;W$1,"")</f>
        <v/>
      </c>
      <c r="AV332">
        <f>IF(X332=1,", "&amp;X$1,"")</f>
        <v/>
      </c>
      <c r="AW332">
        <f>IF(Y332=1,", "&amp;Y$1,"")</f>
        <v/>
      </c>
      <c r="AX332">
        <f>IF(Z332=1,", "&amp;Z$1,"")</f>
        <v/>
      </c>
      <c r="AY332">
        <f>IF(AA332=1,", "&amp;AA$1,"")</f>
        <v/>
      </c>
      <c r="AZ332">
        <f>MID($AB332&amp;$AC332&amp;$AD332&amp;$AE332&amp;$AF332&amp;$AG332&amp;$AH332&amp;$AI332&amp;$AJ332&amp;$AK332&amp;$AL332&amp;$AM332&amp;$AN332&amp;$AO332&amp;$AP332&amp;$AQ332&amp;$AR332&amp;$AS332&amp;$AT332&amp;$AU332&amp;$AV332&amp;$AW332&amp;$AX332&amp;$AY332,3,32767)</f>
        <v/>
      </c>
      <c r="BA332">
        <f>COUNT($D332:$AA332)</f>
        <v/>
      </c>
    </row>
    <row r="333">
      <c r="A333" t="n">
        <v>9</v>
      </c>
      <c r="B333" t="inlineStr">
        <is>
          <t>Blade of Disaster</t>
        </is>
      </c>
      <c r="C333" t="inlineStr">
        <is>
          <t>Conjuration</t>
        </is>
      </c>
      <c r="D333">
        <f>IF(Wizards!$A$2="","",IF(OR(ISNUMBER(SEARCH(", "&amp;$B333&amp;", ", ", "&amp;INDEX('Form Responses'!$I$1:$Q$200,2,$A333)&amp;", ")),ISNUMBER(SEARCH(", "&amp;$B333&amp;", ", ", "&amp;INDEX('Form Responses'!$R$1:$R$200,2)&amp;", "))),1,""))</f>
        <v/>
      </c>
      <c r="E333">
        <f>IF(Wizards!$A$3="","",IF(OR(ISNUMBER(SEARCH(", "&amp;$B333&amp;", ", ", "&amp;INDEX('Form Responses'!$I$1:$Q$200,3,$A333)&amp;", ")),ISNUMBER(SEARCH(", "&amp;$B333&amp;", ", ", "&amp;INDEX('Form Responses'!$R$1:$R$200,3)&amp;", "))),1,""))</f>
        <v/>
      </c>
      <c r="F333">
        <f>IF(Wizards!$A$4="","",IF(OR(ISNUMBER(SEARCH(", "&amp;$B333&amp;", ", ", "&amp;INDEX('Form Responses'!$I$1:$Q$200,4,$A333)&amp;", ")),ISNUMBER(SEARCH(", "&amp;$B333&amp;", ", ", "&amp;INDEX('Form Responses'!$R$1:$R$200,4)&amp;", "))),1,""))</f>
        <v/>
      </c>
      <c r="G333">
        <f>IF(Wizards!$A$5="","",IF(OR(ISNUMBER(SEARCH(", "&amp;$B333&amp;", ", ", "&amp;INDEX('Form Responses'!$I$1:$Q$200,5,$A333)&amp;", ")),ISNUMBER(SEARCH(", "&amp;$B333&amp;", ", ", "&amp;INDEX('Form Responses'!$R$1:$R$200,5)&amp;", "))),1,""))</f>
        <v/>
      </c>
      <c r="H333">
        <f>IF(Wizards!$A$6="","",IF(OR(ISNUMBER(SEARCH(", "&amp;$B333&amp;", ", ", "&amp;INDEX('Form Responses'!$I$1:$Q$200,6,$A333)&amp;", ")),ISNUMBER(SEARCH(", "&amp;$B333&amp;", ", ", "&amp;INDEX('Form Responses'!$R$1:$R$200,6)&amp;", "))),1,""))</f>
        <v/>
      </c>
      <c r="I333">
        <f>IF(Wizards!$A$7="","",IF(OR(ISNUMBER(SEARCH(", "&amp;$B333&amp;", ", ", "&amp;INDEX('Form Responses'!$I$1:$Q$200,7,$A333)&amp;", ")),ISNUMBER(SEARCH(", "&amp;$B333&amp;", ", ", "&amp;INDEX('Form Responses'!$R$1:$R$200,7)&amp;", "))),1,""))</f>
        <v/>
      </c>
      <c r="J333">
        <f>IF(Wizards!$A$8="","",IF(OR(ISNUMBER(SEARCH(", "&amp;$B333&amp;", ", ", "&amp;INDEX('Form Responses'!$I$1:$Q$200,8,$A333)&amp;", ")),ISNUMBER(SEARCH(", "&amp;$B333&amp;", ", ", "&amp;INDEX('Form Responses'!$R$1:$R$200,8)&amp;", "))),1,""))</f>
        <v/>
      </c>
      <c r="K333">
        <f>IF(Wizards!$A$9="","",IF(OR(ISNUMBER(SEARCH(", "&amp;$B333&amp;", ", ", "&amp;INDEX('Form Responses'!$I$1:$Q$200,9,$A333)&amp;", ")),ISNUMBER(SEARCH(", "&amp;$B333&amp;", ", ", "&amp;INDEX('Form Responses'!$R$1:$R$200,9)&amp;", "))),1,""))</f>
        <v/>
      </c>
      <c r="L333">
        <f>IF(Wizards!$A$10="","",IF(OR(ISNUMBER(SEARCH(", "&amp;$B333&amp;", ", ", "&amp;INDEX('Form Responses'!$I$1:$Q$200,10,$A333)&amp;", ")),ISNUMBER(SEARCH(", "&amp;$B333&amp;", ", ", "&amp;INDEX('Form Responses'!$R$1:$R$200,10)&amp;", "))),1,""))</f>
        <v/>
      </c>
      <c r="M333">
        <f>IF(Wizards!$A$11="","",IF(OR(ISNUMBER(SEARCH(", "&amp;$B333&amp;", ", ", "&amp;INDEX('Form Responses'!$I$1:$Q$200,11,$A333)&amp;", ")),ISNUMBER(SEARCH(", "&amp;$B333&amp;", ", ", "&amp;INDEX('Form Responses'!$R$1:$R$200,11)&amp;", "))),1,""))</f>
        <v/>
      </c>
      <c r="N333">
        <f>IF(Wizards!$A$12="","",IF(OR(ISNUMBER(SEARCH(", "&amp;$B333&amp;", ", ", "&amp;INDEX('Form Responses'!$I$1:$Q$200,12,$A333)&amp;", ")),ISNUMBER(SEARCH(", "&amp;$B333&amp;", ", ", "&amp;INDEX('Form Responses'!$R$1:$R$200,12)&amp;", "))),1,""))</f>
        <v/>
      </c>
      <c r="O333">
        <f>IF(Wizards!$A$13="","",IF(OR(ISNUMBER(SEARCH(", "&amp;$B333&amp;", ", ", "&amp;INDEX('Form Responses'!$I$1:$Q$200,13,$A333)&amp;", ")),ISNUMBER(SEARCH(", "&amp;$B333&amp;", ", ", "&amp;INDEX('Form Responses'!$R$1:$R$200,13)&amp;", "))),1,""))</f>
        <v/>
      </c>
      <c r="P333">
        <f>IF(Wizards!$A$14="","",IF(OR(ISNUMBER(SEARCH(", "&amp;$B333&amp;", ", ", "&amp;INDEX('Form Responses'!$I$1:$Q$200,14,$A333)&amp;", ")),ISNUMBER(SEARCH(", "&amp;$B333&amp;", ", ", "&amp;INDEX('Form Responses'!$R$1:$R$200,14)&amp;", "))),1,""))</f>
        <v/>
      </c>
      <c r="Q333">
        <f>IF(Wizards!$A$15="","",IF(OR(ISNUMBER(SEARCH(", "&amp;$B333&amp;", ", ", "&amp;INDEX('Form Responses'!$I$1:$Q$200,15,$A333)&amp;", ")),ISNUMBER(SEARCH(", "&amp;$B333&amp;", ", ", "&amp;INDEX('Form Responses'!$R$1:$R$200,15)&amp;", "))),1,""))</f>
        <v/>
      </c>
      <c r="R333">
        <f>IF(Wizards!$A$16="","",IF(OR(ISNUMBER(SEARCH(", "&amp;$B333&amp;", ", ", "&amp;INDEX('Form Responses'!$I$1:$Q$200,16,$A333)&amp;", ")),ISNUMBER(SEARCH(", "&amp;$B333&amp;", ", ", "&amp;INDEX('Form Responses'!$R$1:$R$200,16)&amp;", "))),1,""))</f>
        <v/>
      </c>
      <c r="S333">
        <f>IF(Wizards!$A$17="","",IF(OR(ISNUMBER(SEARCH(", "&amp;$B333&amp;", ", ", "&amp;INDEX('Form Responses'!$I$1:$Q$200,17,$A333)&amp;", ")),ISNUMBER(SEARCH(", "&amp;$B333&amp;", ", ", "&amp;INDEX('Form Responses'!$R$1:$R$200,17)&amp;", "))),1,""))</f>
        <v/>
      </c>
      <c r="T333">
        <f>IF(Wizards!$A$18="","",IF(OR(ISNUMBER(SEARCH(", "&amp;$B333&amp;", ", ", "&amp;INDEX('Form Responses'!$I$1:$Q$200,18,$A333)&amp;", ")),ISNUMBER(SEARCH(", "&amp;$B333&amp;", ", ", "&amp;INDEX('Form Responses'!$R$1:$R$200,18)&amp;", "))),1,""))</f>
        <v/>
      </c>
      <c r="U333">
        <f>IF(Wizards!$A$19="","",IF(OR(ISNUMBER(SEARCH(", "&amp;$B333&amp;", ", ", "&amp;INDEX('Form Responses'!$I$1:$Q$200,19,$A333)&amp;", ")),ISNUMBER(SEARCH(", "&amp;$B333&amp;", ", ", "&amp;INDEX('Form Responses'!$R$1:$R$200,19)&amp;", "))),1,""))</f>
        <v/>
      </c>
      <c r="V333">
        <f>IF(Wizards!$A$20="","",IF(OR(ISNUMBER(SEARCH(", "&amp;$B333&amp;", ", ", "&amp;INDEX('Form Responses'!$I$1:$Q$200,20,$A333)&amp;", ")),ISNUMBER(SEARCH(", "&amp;$B333&amp;", ", ", "&amp;INDEX('Form Responses'!$R$1:$R$200,20)&amp;", "))),1,""))</f>
        <v/>
      </c>
      <c r="W333">
        <f>IF(Wizards!$A$21="","",IF(OR(ISNUMBER(SEARCH(", "&amp;$B333&amp;", ", ", "&amp;INDEX('Form Responses'!$I$1:$Q$200,21,$A333)&amp;", ")),ISNUMBER(SEARCH(", "&amp;$B333&amp;", ", ", "&amp;INDEX('Form Responses'!$R$1:$R$200,21)&amp;", "))),1,""))</f>
        <v/>
      </c>
      <c r="X333">
        <f>IF(Wizards!$A$22="","",IF(OR(ISNUMBER(SEARCH(", "&amp;$B333&amp;", ", ", "&amp;INDEX('Form Responses'!$I$1:$Q$200,22,$A333)&amp;", ")),ISNUMBER(SEARCH(", "&amp;$B333&amp;", ", ", "&amp;INDEX('Form Responses'!$R$1:$R$200,22)&amp;", "))),1,""))</f>
        <v/>
      </c>
      <c r="Y333">
        <f>IF(Wizards!$A$23="","",IF(OR(ISNUMBER(SEARCH(", "&amp;$B333&amp;", ", ", "&amp;INDEX('Form Responses'!$I$1:$Q$200,23,$A333)&amp;", ")),ISNUMBER(SEARCH(", "&amp;$B333&amp;", ", ", "&amp;INDEX('Form Responses'!$R$1:$R$200,23)&amp;", "))),1,""))</f>
        <v/>
      </c>
      <c r="Z333">
        <f>IF(Wizards!$A$24="","",IF(OR(ISNUMBER(SEARCH(", "&amp;$B333&amp;", ", ", "&amp;INDEX('Form Responses'!$I$1:$Q$200,24,$A333)&amp;", ")),ISNUMBER(SEARCH(", "&amp;$B333&amp;", ", ", "&amp;INDEX('Form Responses'!$R$1:$R$200,24)&amp;", "))),1,""))</f>
        <v/>
      </c>
      <c r="AA333">
        <f>IF(Wizards!$A$25="","",IF(OR(ISNUMBER(SEARCH(", "&amp;$B333&amp;", ", ", "&amp;INDEX('Form Responses'!$I$1:$Q$200,25,$A333)&amp;", ")),ISNUMBER(SEARCH(", "&amp;$B333&amp;", ", ", "&amp;INDEX('Form Responses'!$R$1:$R$200,25)&amp;", "))),1,""))</f>
        <v/>
      </c>
      <c r="AB333">
        <f>IF(D333=1,", "&amp;D$1,"")</f>
        <v/>
      </c>
      <c r="AC333">
        <f>IF(E333=1,", "&amp;E$1,"")</f>
        <v/>
      </c>
      <c r="AD333">
        <f>IF(F333=1,", "&amp;F$1,"")</f>
        <v/>
      </c>
      <c r="AE333">
        <f>IF(G333=1,", "&amp;G$1,"")</f>
        <v/>
      </c>
      <c r="AF333">
        <f>IF(H333=1,", "&amp;H$1,"")</f>
        <v/>
      </c>
      <c r="AG333">
        <f>IF(I333=1,", "&amp;I$1,"")</f>
        <v/>
      </c>
      <c r="AH333">
        <f>IF(J333=1,", "&amp;J$1,"")</f>
        <v/>
      </c>
      <c r="AI333">
        <f>IF(K333=1,", "&amp;K$1,"")</f>
        <v/>
      </c>
      <c r="AJ333">
        <f>IF(L333=1,", "&amp;L$1,"")</f>
        <v/>
      </c>
      <c r="AK333">
        <f>IF(M333=1,", "&amp;M$1,"")</f>
        <v/>
      </c>
      <c r="AL333">
        <f>IF(N333=1,", "&amp;N$1,"")</f>
        <v/>
      </c>
      <c r="AM333">
        <f>IF(O333=1,", "&amp;O$1,"")</f>
        <v/>
      </c>
      <c r="AN333">
        <f>IF(P333=1,", "&amp;P$1,"")</f>
        <v/>
      </c>
      <c r="AO333">
        <f>IF(Q333=1,", "&amp;Q$1,"")</f>
        <v/>
      </c>
      <c r="AP333">
        <f>IF(R333=1,", "&amp;R$1,"")</f>
        <v/>
      </c>
      <c r="AQ333">
        <f>IF(S333=1,", "&amp;S$1,"")</f>
        <v/>
      </c>
      <c r="AR333">
        <f>IF(T333=1,", "&amp;T$1,"")</f>
        <v/>
      </c>
      <c r="AS333">
        <f>IF(U333=1,", "&amp;U$1,"")</f>
        <v/>
      </c>
      <c r="AT333">
        <f>IF(V333=1,", "&amp;V$1,"")</f>
        <v/>
      </c>
      <c r="AU333">
        <f>IF(W333=1,", "&amp;W$1,"")</f>
        <v/>
      </c>
      <c r="AV333">
        <f>IF(X333=1,", "&amp;X$1,"")</f>
        <v/>
      </c>
      <c r="AW333">
        <f>IF(Y333=1,", "&amp;Y$1,"")</f>
        <v/>
      </c>
      <c r="AX333">
        <f>IF(Z333=1,", "&amp;Z$1,"")</f>
        <v/>
      </c>
      <c r="AY333">
        <f>IF(AA333=1,", "&amp;AA$1,"")</f>
        <v/>
      </c>
      <c r="AZ333">
        <f>MID($AB333&amp;$AC333&amp;$AD333&amp;$AE333&amp;$AF333&amp;$AG333&amp;$AH333&amp;$AI333&amp;$AJ333&amp;$AK333&amp;$AL333&amp;$AM333&amp;$AN333&amp;$AO333&amp;$AP333&amp;$AQ333&amp;$AR333&amp;$AS333&amp;$AT333&amp;$AU333&amp;$AV333&amp;$AW333&amp;$AX333&amp;$AY333,3,32767)</f>
        <v/>
      </c>
      <c r="BA333">
        <f>COUNT($D333:$AA333)</f>
        <v/>
      </c>
    </row>
    <row r="334">
      <c r="A334" t="n">
        <v>9</v>
      </c>
      <c r="B334" t="inlineStr">
        <is>
          <t>Detonate</t>
        </is>
      </c>
      <c r="C334" t="inlineStr">
        <is>
          <t>Evocation</t>
        </is>
      </c>
      <c r="D334">
        <f>IF(Wizards!$A$2="","",IF(OR(ISNUMBER(SEARCH(", "&amp;$B334&amp;", ", ", "&amp;INDEX('Form Responses'!$I$1:$Q$200,2,$A334)&amp;", ")),ISNUMBER(SEARCH(", "&amp;$B334&amp;", ", ", "&amp;INDEX('Form Responses'!$R$1:$R$200,2)&amp;", "))),1,""))</f>
        <v/>
      </c>
      <c r="E334">
        <f>IF(Wizards!$A$3="","",IF(OR(ISNUMBER(SEARCH(", "&amp;$B334&amp;", ", ", "&amp;INDEX('Form Responses'!$I$1:$Q$200,3,$A334)&amp;", ")),ISNUMBER(SEARCH(", "&amp;$B334&amp;", ", ", "&amp;INDEX('Form Responses'!$R$1:$R$200,3)&amp;", "))),1,""))</f>
        <v/>
      </c>
      <c r="F334">
        <f>IF(Wizards!$A$4="","",IF(OR(ISNUMBER(SEARCH(", "&amp;$B334&amp;", ", ", "&amp;INDEX('Form Responses'!$I$1:$Q$200,4,$A334)&amp;", ")),ISNUMBER(SEARCH(", "&amp;$B334&amp;", ", ", "&amp;INDEX('Form Responses'!$R$1:$R$200,4)&amp;", "))),1,""))</f>
        <v/>
      </c>
      <c r="G334">
        <f>IF(Wizards!$A$5="","",IF(OR(ISNUMBER(SEARCH(", "&amp;$B334&amp;", ", ", "&amp;INDEX('Form Responses'!$I$1:$Q$200,5,$A334)&amp;", ")),ISNUMBER(SEARCH(", "&amp;$B334&amp;", ", ", "&amp;INDEX('Form Responses'!$R$1:$R$200,5)&amp;", "))),1,""))</f>
        <v/>
      </c>
      <c r="H334">
        <f>IF(Wizards!$A$6="","",IF(OR(ISNUMBER(SEARCH(", "&amp;$B334&amp;", ", ", "&amp;INDEX('Form Responses'!$I$1:$Q$200,6,$A334)&amp;", ")),ISNUMBER(SEARCH(", "&amp;$B334&amp;", ", ", "&amp;INDEX('Form Responses'!$R$1:$R$200,6)&amp;", "))),1,""))</f>
        <v/>
      </c>
      <c r="I334">
        <f>IF(Wizards!$A$7="","",IF(OR(ISNUMBER(SEARCH(", "&amp;$B334&amp;", ", ", "&amp;INDEX('Form Responses'!$I$1:$Q$200,7,$A334)&amp;", ")),ISNUMBER(SEARCH(", "&amp;$B334&amp;", ", ", "&amp;INDEX('Form Responses'!$R$1:$R$200,7)&amp;", "))),1,""))</f>
        <v/>
      </c>
      <c r="J334">
        <f>IF(Wizards!$A$8="","",IF(OR(ISNUMBER(SEARCH(", "&amp;$B334&amp;", ", ", "&amp;INDEX('Form Responses'!$I$1:$Q$200,8,$A334)&amp;", ")),ISNUMBER(SEARCH(", "&amp;$B334&amp;", ", ", "&amp;INDEX('Form Responses'!$R$1:$R$200,8)&amp;", "))),1,""))</f>
        <v/>
      </c>
      <c r="K334">
        <f>IF(Wizards!$A$9="","",IF(OR(ISNUMBER(SEARCH(", "&amp;$B334&amp;", ", ", "&amp;INDEX('Form Responses'!$I$1:$Q$200,9,$A334)&amp;", ")),ISNUMBER(SEARCH(", "&amp;$B334&amp;", ", ", "&amp;INDEX('Form Responses'!$R$1:$R$200,9)&amp;", "))),1,""))</f>
        <v/>
      </c>
      <c r="L334">
        <f>IF(Wizards!$A$10="","",IF(OR(ISNUMBER(SEARCH(", "&amp;$B334&amp;", ", ", "&amp;INDEX('Form Responses'!$I$1:$Q$200,10,$A334)&amp;", ")),ISNUMBER(SEARCH(", "&amp;$B334&amp;", ", ", "&amp;INDEX('Form Responses'!$R$1:$R$200,10)&amp;", "))),1,""))</f>
        <v/>
      </c>
      <c r="M334">
        <f>IF(Wizards!$A$11="","",IF(OR(ISNUMBER(SEARCH(", "&amp;$B334&amp;", ", ", "&amp;INDEX('Form Responses'!$I$1:$Q$200,11,$A334)&amp;", ")),ISNUMBER(SEARCH(", "&amp;$B334&amp;", ", ", "&amp;INDEX('Form Responses'!$R$1:$R$200,11)&amp;", "))),1,""))</f>
        <v/>
      </c>
      <c r="N334">
        <f>IF(Wizards!$A$12="","",IF(OR(ISNUMBER(SEARCH(", "&amp;$B334&amp;", ", ", "&amp;INDEX('Form Responses'!$I$1:$Q$200,12,$A334)&amp;", ")),ISNUMBER(SEARCH(", "&amp;$B334&amp;", ", ", "&amp;INDEX('Form Responses'!$R$1:$R$200,12)&amp;", "))),1,""))</f>
        <v/>
      </c>
      <c r="O334">
        <f>IF(Wizards!$A$13="","",IF(OR(ISNUMBER(SEARCH(", "&amp;$B334&amp;", ", ", "&amp;INDEX('Form Responses'!$I$1:$Q$200,13,$A334)&amp;", ")),ISNUMBER(SEARCH(", "&amp;$B334&amp;", ", ", "&amp;INDEX('Form Responses'!$R$1:$R$200,13)&amp;", "))),1,""))</f>
        <v/>
      </c>
      <c r="P334">
        <f>IF(Wizards!$A$14="","",IF(OR(ISNUMBER(SEARCH(", "&amp;$B334&amp;", ", ", "&amp;INDEX('Form Responses'!$I$1:$Q$200,14,$A334)&amp;", ")),ISNUMBER(SEARCH(", "&amp;$B334&amp;", ", ", "&amp;INDEX('Form Responses'!$R$1:$R$200,14)&amp;", "))),1,""))</f>
        <v/>
      </c>
      <c r="Q334">
        <f>IF(Wizards!$A$15="","",IF(OR(ISNUMBER(SEARCH(", "&amp;$B334&amp;", ", ", "&amp;INDEX('Form Responses'!$I$1:$Q$200,15,$A334)&amp;", ")),ISNUMBER(SEARCH(", "&amp;$B334&amp;", ", ", "&amp;INDEX('Form Responses'!$R$1:$R$200,15)&amp;", "))),1,""))</f>
        <v/>
      </c>
      <c r="R334">
        <f>IF(Wizards!$A$16="","",IF(OR(ISNUMBER(SEARCH(", "&amp;$B334&amp;", ", ", "&amp;INDEX('Form Responses'!$I$1:$Q$200,16,$A334)&amp;", ")),ISNUMBER(SEARCH(", "&amp;$B334&amp;", ", ", "&amp;INDEX('Form Responses'!$R$1:$R$200,16)&amp;", "))),1,""))</f>
        <v/>
      </c>
      <c r="S334">
        <f>IF(Wizards!$A$17="","",IF(OR(ISNUMBER(SEARCH(", "&amp;$B334&amp;", ", ", "&amp;INDEX('Form Responses'!$I$1:$Q$200,17,$A334)&amp;", ")),ISNUMBER(SEARCH(", "&amp;$B334&amp;", ", ", "&amp;INDEX('Form Responses'!$R$1:$R$200,17)&amp;", "))),1,""))</f>
        <v/>
      </c>
      <c r="T334">
        <f>IF(Wizards!$A$18="","",IF(OR(ISNUMBER(SEARCH(", "&amp;$B334&amp;", ", ", "&amp;INDEX('Form Responses'!$I$1:$Q$200,18,$A334)&amp;", ")),ISNUMBER(SEARCH(", "&amp;$B334&amp;", ", ", "&amp;INDEX('Form Responses'!$R$1:$R$200,18)&amp;", "))),1,""))</f>
        <v/>
      </c>
      <c r="U334">
        <f>IF(Wizards!$A$19="","",IF(OR(ISNUMBER(SEARCH(", "&amp;$B334&amp;", ", ", "&amp;INDEX('Form Responses'!$I$1:$Q$200,19,$A334)&amp;", ")),ISNUMBER(SEARCH(", "&amp;$B334&amp;", ", ", "&amp;INDEX('Form Responses'!$R$1:$R$200,19)&amp;", "))),1,""))</f>
        <v/>
      </c>
      <c r="V334">
        <f>IF(Wizards!$A$20="","",IF(OR(ISNUMBER(SEARCH(", "&amp;$B334&amp;", ", ", "&amp;INDEX('Form Responses'!$I$1:$Q$200,20,$A334)&amp;", ")),ISNUMBER(SEARCH(", "&amp;$B334&amp;", ", ", "&amp;INDEX('Form Responses'!$R$1:$R$200,20)&amp;", "))),1,""))</f>
        <v/>
      </c>
      <c r="W334">
        <f>IF(Wizards!$A$21="","",IF(OR(ISNUMBER(SEARCH(", "&amp;$B334&amp;", ", ", "&amp;INDEX('Form Responses'!$I$1:$Q$200,21,$A334)&amp;", ")),ISNUMBER(SEARCH(", "&amp;$B334&amp;", ", ", "&amp;INDEX('Form Responses'!$R$1:$R$200,21)&amp;", "))),1,""))</f>
        <v/>
      </c>
      <c r="X334">
        <f>IF(Wizards!$A$22="","",IF(OR(ISNUMBER(SEARCH(", "&amp;$B334&amp;", ", ", "&amp;INDEX('Form Responses'!$I$1:$Q$200,22,$A334)&amp;", ")),ISNUMBER(SEARCH(", "&amp;$B334&amp;", ", ", "&amp;INDEX('Form Responses'!$R$1:$R$200,22)&amp;", "))),1,""))</f>
        <v/>
      </c>
      <c r="Y334">
        <f>IF(Wizards!$A$23="","",IF(OR(ISNUMBER(SEARCH(", "&amp;$B334&amp;", ", ", "&amp;INDEX('Form Responses'!$I$1:$Q$200,23,$A334)&amp;", ")),ISNUMBER(SEARCH(", "&amp;$B334&amp;", ", ", "&amp;INDEX('Form Responses'!$R$1:$R$200,23)&amp;", "))),1,""))</f>
        <v/>
      </c>
      <c r="Z334">
        <f>IF(Wizards!$A$24="","",IF(OR(ISNUMBER(SEARCH(", "&amp;$B334&amp;", ", ", "&amp;INDEX('Form Responses'!$I$1:$Q$200,24,$A334)&amp;", ")),ISNUMBER(SEARCH(", "&amp;$B334&amp;", ", ", "&amp;INDEX('Form Responses'!$R$1:$R$200,24)&amp;", "))),1,""))</f>
        <v/>
      </c>
      <c r="AA334">
        <f>IF(Wizards!$A$25="","",IF(OR(ISNUMBER(SEARCH(", "&amp;$B334&amp;", ", ", "&amp;INDEX('Form Responses'!$I$1:$Q$200,25,$A334)&amp;", ")),ISNUMBER(SEARCH(", "&amp;$B334&amp;", ", ", "&amp;INDEX('Form Responses'!$R$1:$R$200,25)&amp;", "))),1,""))</f>
        <v/>
      </c>
      <c r="AB334">
        <f>IF(D334=1,", "&amp;D$1,"")</f>
        <v/>
      </c>
      <c r="AC334">
        <f>IF(E334=1,", "&amp;E$1,"")</f>
        <v/>
      </c>
      <c r="AD334">
        <f>IF(F334=1,", "&amp;F$1,"")</f>
        <v/>
      </c>
      <c r="AE334">
        <f>IF(G334=1,", "&amp;G$1,"")</f>
        <v/>
      </c>
      <c r="AF334">
        <f>IF(H334=1,", "&amp;H$1,"")</f>
        <v/>
      </c>
      <c r="AG334">
        <f>IF(I334=1,", "&amp;I$1,"")</f>
        <v/>
      </c>
      <c r="AH334">
        <f>IF(J334=1,", "&amp;J$1,"")</f>
        <v/>
      </c>
      <c r="AI334">
        <f>IF(K334=1,", "&amp;K$1,"")</f>
        <v/>
      </c>
      <c r="AJ334">
        <f>IF(L334=1,", "&amp;L$1,"")</f>
        <v/>
      </c>
      <c r="AK334">
        <f>IF(M334=1,", "&amp;M$1,"")</f>
        <v/>
      </c>
      <c r="AL334">
        <f>IF(N334=1,", "&amp;N$1,"")</f>
        <v/>
      </c>
      <c r="AM334">
        <f>IF(O334=1,", "&amp;O$1,"")</f>
        <v/>
      </c>
      <c r="AN334">
        <f>IF(P334=1,", "&amp;P$1,"")</f>
        <v/>
      </c>
      <c r="AO334">
        <f>IF(Q334=1,", "&amp;Q$1,"")</f>
        <v/>
      </c>
      <c r="AP334">
        <f>IF(R334=1,", "&amp;R$1,"")</f>
        <v/>
      </c>
      <c r="AQ334">
        <f>IF(S334=1,", "&amp;S$1,"")</f>
        <v/>
      </c>
      <c r="AR334">
        <f>IF(T334=1,", "&amp;T$1,"")</f>
        <v/>
      </c>
      <c r="AS334">
        <f>IF(U334=1,", "&amp;U$1,"")</f>
        <v/>
      </c>
      <c r="AT334">
        <f>IF(V334=1,", "&amp;V$1,"")</f>
        <v/>
      </c>
      <c r="AU334">
        <f>IF(W334=1,", "&amp;W$1,"")</f>
        <v/>
      </c>
      <c r="AV334">
        <f>IF(X334=1,", "&amp;X$1,"")</f>
        <v/>
      </c>
      <c r="AW334">
        <f>IF(Y334=1,", "&amp;Y$1,"")</f>
        <v/>
      </c>
      <c r="AX334">
        <f>IF(Z334=1,", "&amp;Z$1,"")</f>
        <v/>
      </c>
      <c r="AY334">
        <f>IF(AA334=1,", "&amp;AA$1,"")</f>
        <v/>
      </c>
      <c r="AZ334">
        <f>MID($AB334&amp;$AC334&amp;$AD334&amp;$AE334&amp;$AF334&amp;$AG334&amp;$AH334&amp;$AI334&amp;$AJ334&amp;$AK334&amp;$AL334&amp;$AM334&amp;$AN334&amp;$AO334&amp;$AP334&amp;$AQ334&amp;$AR334&amp;$AS334&amp;$AT334&amp;$AU334&amp;$AV334&amp;$AW334&amp;$AX334&amp;$AY334,3,32767)</f>
        <v/>
      </c>
      <c r="BA334">
        <f>COUNT($D334:$AA334)</f>
        <v/>
      </c>
    </row>
    <row r="335">
      <c r="A335" t="n">
        <v>9</v>
      </c>
      <c r="B335" t="inlineStr">
        <is>
          <t>Foresight</t>
        </is>
      </c>
      <c r="C335" t="inlineStr">
        <is>
          <t>Divination</t>
        </is>
      </c>
      <c r="D335">
        <f>IF(Wizards!$A$2="","",IF(OR(ISNUMBER(SEARCH(", "&amp;$B335&amp;", ", ", "&amp;INDEX('Form Responses'!$I$1:$Q$200,2,$A335)&amp;", ")),ISNUMBER(SEARCH(", "&amp;$B335&amp;", ", ", "&amp;INDEX('Form Responses'!$R$1:$R$200,2)&amp;", "))),1,""))</f>
        <v/>
      </c>
      <c r="E335">
        <f>IF(Wizards!$A$3="","",IF(OR(ISNUMBER(SEARCH(", "&amp;$B335&amp;", ", ", "&amp;INDEX('Form Responses'!$I$1:$Q$200,3,$A335)&amp;", ")),ISNUMBER(SEARCH(", "&amp;$B335&amp;", ", ", "&amp;INDEX('Form Responses'!$R$1:$R$200,3)&amp;", "))),1,""))</f>
        <v/>
      </c>
      <c r="F335">
        <f>IF(Wizards!$A$4="","",IF(OR(ISNUMBER(SEARCH(", "&amp;$B335&amp;", ", ", "&amp;INDEX('Form Responses'!$I$1:$Q$200,4,$A335)&amp;", ")),ISNUMBER(SEARCH(", "&amp;$B335&amp;", ", ", "&amp;INDEX('Form Responses'!$R$1:$R$200,4)&amp;", "))),1,""))</f>
        <v/>
      </c>
      <c r="G335">
        <f>IF(Wizards!$A$5="","",IF(OR(ISNUMBER(SEARCH(", "&amp;$B335&amp;", ", ", "&amp;INDEX('Form Responses'!$I$1:$Q$200,5,$A335)&amp;", ")),ISNUMBER(SEARCH(", "&amp;$B335&amp;", ", ", "&amp;INDEX('Form Responses'!$R$1:$R$200,5)&amp;", "))),1,""))</f>
        <v/>
      </c>
      <c r="H335">
        <f>IF(Wizards!$A$6="","",IF(OR(ISNUMBER(SEARCH(", "&amp;$B335&amp;", ", ", "&amp;INDEX('Form Responses'!$I$1:$Q$200,6,$A335)&amp;", ")),ISNUMBER(SEARCH(", "&amp;$B335&amp;", ", ", "&amp;INDEX('Form Responses'!$R$1:$R$200,6)&amp;", "))),1,""))</f>
        <v/>
      </c>
      <c r="I335">
        <f>IF(Wizards!$A$7="","",IF(OR(ISNUMBER(SEARCH(", "&amp;$B335&amp;", ", ", "&amp;INDEX('Form Responses'!$I$1:$Q$200,7,$A335)&amp;", ")),ISNUMBER(SEARCH(", "&amp;$B335&amp;", ", ", "&amp;INDEX('Form Responses'!$R$1:$R$200,7)&amp;", "))),1,""))</f>
        <v/>
      </c>
      <c r="J335">
        <f>IF(Wizards!$A$8="","",IF(OR(ISNUMBER(SEARCH(", "&amp;$B335&amp;", ", ", "&amp;INDEX('Form Responses'!$I$1:$Q$200,8,$A335)&amp;", ")),ISNUMBER(SEARCH(", "&amp;$B335&amp;", ", ", "&amp;INDEX('Form Responses'!$R$1:$R$200,8)&amp;", "))),1,""))</f>
        <v/>
      </c>
      <c r="K335">
        <f>IF(Wizards!$A$9="","",IF(OR(ISNUMBER(SEARCH(", "&amp;$B335&amp;", ", ", "&amp;INDEX('Form Responses'!$I$1:$Q$200,9,$A335)&amp;", ")),ISNUMBER(SEARCH(", "&amp;$B335&amp;", ", ", "&amp;INDEX('Form Responses'!$R$1:$R$200,9)&amp;", "))),1,""))</f>
        <v/>
      </c>
      <c r="L335">
        <f>IF(Wizards!$A$10="","",IF(OR(ISNUMBER(SEARCH(", "&amp;$B335&amp;", ", ", "&amp;INDEX('Form Responses'!$I$1:$Q$200,10,$A335)&amp;", ")),ISNUMBER(SEARCH(", "&amp;$B335&amp;", ", ", "&amp;INDEX('Form Responses'!$R$1:$R$200,10)&amp;", "))),1,""))</f>
        <v/>
      </c>
      <c r="M335">
        <f>IF(Wizards!$A$11="","",IF(OR(ISNUMBER(SEARCH(", "&amp;$B335&amp;", ", ", "&amp;INDEX('Form Responses'!$I$1:$Q$200,11,$A335)&amp;", ")),ISNUMBER(SEARCH(", "&amp;$B335&amp;", ", ", "&amp;INDEX('Form Responses'!$R$1:$R$200,11)&amp;", "))),1,""))</f>
        <v/>
      </c>
      <c r="N335">
        <f>IF(Wizards!$A$12="","",IF(OR(ISNUMBER(SEARCH(", "&amp;$B335&amp;", ", ", "&amp;INDEX('Form Responses'!$I$1:$Q$200,12,$A335)&amp;", ")),ISNUMBER(SEARCH(", "&amp;$B335&amp;", ", ", "&amp;INDEX('Form Responses'!$R$1:$R$200,12)&amp;", "))),1,""))</f>
        <v/>
      </c>
      <c r="O335">
        <f>IF(Wizards!$A$13="","",IF(OR(ISNUMBER(SEARCH(", "&amp;$B335&amp;", ", ", "&amp;INDEX('Form Responses'!$I$1:$Q$200,13,$A335)&amp;", ")),ISNUMBER(SEARCH(", "&amp;$B335&amp;", ", ", "&amp;INDEX('Form Responses'!$R$1:$R$200,13)&amp;", "))),1,""))</f>
        <v/>
      </c>
      <c r="P335">
        <f>IF(Wizards!$A$14="","",IF(OR(ISNUMBER(SEARCH(", "&amp;$B335&amp;", ", ", "&amp;INDEX('Form Responses'!$I$1:$Q$200,14,$A335)&amp;", ")),ISNUMBER(SEARCH(", "&amp;$B335&amp;", ", ", "&amp;INDEX('Form Responses'!$R$1:$R$200,14)&amp;", "))),1,""))</f>
        <v/>
      </c>
      <c r="Q335">
        <f>IF(Wizards!$A$15="","",IF(OR(ISNUMBER(SEARCH(", "&amp;$B335&amp;", ", ", "&amp;INDEX('Form Responses'!$I$1:$Q$200,15,$A335)&amp;", ")),ISNUMBER(SEARCH(", "&amp;$B335&amp;", ", ", "&amp;INDEX('Form Responses'!$R$1:$R$200,15)&amp;", "))),1,""))</f>
        <v/>
      </c>
      <c r="R335">
        <f>IF(Wizards!$A$16="","",IF(OR(ISNUMBER(SEARCH(", "&amp;$B335&amp;", ", ", "&amp;INDEX('Form Responses'!$I$1:$Q$200,16,$A335)&amp;", ")),ISNUMBER(SEARCH(", "&amp;$B335&amp;", ", ", "&amp;INDEX('Form Responses'!$R$1:$R$200,16)&amp;", "))),1,""))</f>
        <v/>
      </c>
      <c r="S335">
        <f>IF(Wizards!$A$17="","",IF(OR(ISNUMBER(SEARCH(", "&amp;$B335&amp;", ", ", "&amp;INDEX('Form Responses'!$I$1:$Q$200,17,$A335)&amp;", ")),ISNUMBER(SEARCH(", "&amp;$B335&amp;", ", ", "&amp;INDEX('Form Responses'!$R$1:$R$200,17)&amp;", "))),1,""))</f>
        <v/>
      </c>
      <c r="T335">
        <f>IF(Wizards!$A$18="","",IF(OR(ISNUMBER(SEARCH(", "&amp;$B335&amp;", ", ", "&amp;INDEX('Form Responses'!$I$1:$Q$200,18,$A335)&amp;", ")),ISNUMBER(SEARCH(", "&amp;$B335&amp;", ", ", "&amp;INDEX('Form Responses'!$R$1:$R$200,18)&amp;", "))),1,""))</f>
        <v/>
      </c>
      <c r="U335">
        <f>IF(Wizards!$A$19="","",IF(OR(ISNUMBER(SEARCH(", "&amp;$B335&amp;", ", ", "&amp;INDEX('Form Responses'!$I$1:$Q$200,19,$A335)&amp;", ")),ISNUMBER(SEARCH(", "&amp;$B335&amp;", ", ", "&amp;INDEX('Form Responses'!$R$1:$R$200,19)&amp;", "))),1,""))</f>
        <v/>
      </c>
      <c r="V335">
        <f>IF(Wizards!$A$20="","",IF(OR(ISNUMBER(SEARCH(", "&amp;$B335&amp;", ", ", "&amp;INDEX('Form Responses'!$I$1:$Q$200,20,$A335)&amp;", ")),ISNUMBER(SEARCH(", "&amp;$B335&amp;", ", ", "&amp;INDEX('Form Responses'!$R$1:$R$200,20)&amp;", "))),1,""))</f>
        <v/>
      </c>
      <c r="W335">
        <f>IF(Wizards!$A$21="","",IF(OR(ISNUMBER(SEARCH(", "&amp;$B335&amp;", ", ", "&amp;INDEX('Form Responses'!$I$1:$Q$200,21,$A335)&amp;", ")),ISNUMBER(SEARCH(", "&amp;$B335&amp;", ", ", "&amp;INDEX('Form Responses'!$R$1:$R$200,21)&amp;", "))),1,""))</f>
        <v/>
      </c>
      <c r="X335">
        <f>IF(Wizards!$A$22="","",IF(OR(ISNUMBER(SEARCH(", "&amp;$B335&amp;", ", ", "&amp;INDEX('Form Responses'!$I$1:$Q$200,22,$A335)&amp;", ")),ISNUMBER(SEARCH(", "&amp;$B335&amp;", ", ", "&amp;INDEX('Form Responses'!$R$1:$R$200,22)&amp;", "))),1,""))</f>
        <v/>
      </c>
      <c r="Y335">
        <f>IF(Wizards!$A$23="","",IF(OR(ISNUMBER(SEARCH(", "&amp;$B335&amp;", ", ", "&amp;INDEX('Form Responses'!$I$1:$Q$200,23,$A335)&amp;", ")),ISNUMBER(SEARCH(", "&amp;$B335&amp;", ", ", "&amp;INDEX('Form Responses'!$R$1:$R$200,23)&amp;", "))),1,""))</f>
        <v/>
      </c>
      <c r="Z335">
        <f>IF(Wizards!$A$24="","",IF(OR(ISNUMBER(SEARCH(", "&amp;$B335&amp;", ", ", "&amp;INDEX('Form Responses'!$I$1:$Q$200,24,$A335)&amp;", ")),ISNUMBER(SEARCH(", "&amp;$B335&amp;", ", ", "&amp;INDEX('Form Responses'!$R$1:$R$200,24)&amp;", "))),1,""))</f>
        <v/>
      </c>
      <c r="AA335">
        <f>IF(Wizards!$A$25="","",IF(OR(ISNUMBER(SEARCH(", "&amp;$B335&amp;", ", ", "&amp;INDEX('Form Responses'!$I$1:$Q$200,25,$A335)&amp;", ")),ISNUMBER(SEARCH(", "&amp;$B335&amp;", ", ", "&amp;INDEX('Form Responses'!$R$1:$R$200,25)&amp;", "))),1,""))</f>
        <v/>
      </c>
      <c r="AB335">
        <f>IF(D335=1,", "&amp;D$1,"")</f>
        <v/>
      </c>
      <c r="AC335">
        <f>IF(E335=1,", "&amp;E$1,"")</f>
        <v/>
      </c>
      <c r="AD335">
        <f>IF(F335=1,", "&amp;F$1,"")</f>
        <v/>
      </c>
      <c r="AE335">
        <f>IF(G335=1,", "&amp;G$1,"")</f>
        <v/>
      </c>
      <c r="AF335">
        <f>IF(H335=1,", "&amp;H$1,"")</f>
        <v/>
      </c>
      <c r="AG335">
        <f>IF(I335=1,", "&amp;I$1,"")</f>
        <v/>
      </c>
      <c r="AH335">
        <f>IF(J335=1,", "&amp;J$1,"")</f>
        <v/>
      </c>
      <c r="AI335">
        <f>IF(K335=1,", "&amp;K$1,"")</f>
        <v/>
      </c>
      <c r="AJ335">
        <f>IF(L335=1,", "&amp;L$1,"")</f>
        <v/>
      </c>
      <c r="AK335">
        <f>IF(M335=1,", "&amp;M$1,"")</f>
        <v/>
      </c>
      <c r="AL335">
        <f>IF(N335=1,", "&amp;N$1,"")</f>
        <v/>
      </c>
      <c r="AM335">
        <f>IF(O335=1,", "&amp;O$1,"")</f>
        <v/>
      </c>
      <c r="AN335">
        <f>IF(P335=1,", "&amp;P$1,"")</f>
        <v/>
      </c>
      <c r="AO335">
        <f>IF(Q335=1,", "&amp;Q$1,"")</f>
        <v/>
      </c>
      <c r="AP335">
        <f>IF(R335=1,", "&amp;R$1,"")</f>
        <v/>
      </c>
      <c r="AQ335">
        <f>IF(S335=1,", "&amp;S$1,"")</f>
        <v/>
      </c>
      <c r="AR335">
        <f>IF(T335=1,", "&amp;T$1,"")</f>
        <v/>
      </c>
      <c r="AS335">
        <f>IF(U335=1,", "&amp;U$1,"")</f>
        <v/>
      </c>
      <c r="AT335">
        <f>IF(V335=1,", "&amp;V$1,"")</f>
        <v/>
      </c>
      <c r="AU335">
        <f>IF(W335=1,", "&amp;W$1,"")</f>
        <v/>
      </c>
      <c r="AV335">
        <f>IF(X335=1,", "&amp;X$1,"")</f>
        <v/>
      </c>
      <c r="AW335">
        <f>IF(Y335=1,", "&amp;Y$1,"")</f>
        <v/>
      </c>
      <c r="AX335">
        <f>IF(Z335=1,", "&amp;Z$1,"")</f>
        <v/>
      </c>
      <c r="AY335">
        <f>IF(AA335=1,", "&amp;AA$1,"")</f>
        <v/>
      </c>
      <c r="AZ335">
        <f>MID($AB335&amp;$AC335&amp;$AD335&amp;$AE335&amp;$AF335&amp;$AG335&amp;$AH335&amp;$AI335&amp;$AJ335&amp;$AK335&amp;$AL335&amp;$AM335&amp;$AN335&amp;$AO335&amp;$AP335&amp;$AQ335&amp;$AR335&amp;$AS335&amp;$AT335&amp;$AU335&amp;$AV335&amp;$AW335&amp;$AX335&amp;$AY335,3,32767)</f>
        <v/>
      </c>
      <c r="BA335">
        <f>COUNT($D335:$AA335)</f>
        <v/>
      </c>
    </row>
    <row r="336">
      <c r="A336" t="n">
        <v>9</v>
      </c>
      <c r="B336" t="inlineStr">
        <is>
          <t>Gate</t>
        </is>
      </c>
      <c r="C336" t="inlineStr">
        <is>
          <t>Conjuration</t>
        </is>
      </c>
      <c r="D336">
        <f>IF(Wizards!$A$2="","",IF(OR(ISNUMBER(SEARCH(", "&amp;$B336&amp;", ", ", "&amp;INDEX('Form Responses'!$I$1:$Q$200,2,$A336)&amp;", ")),ISNUMBER(SEARCH(", "&amp;$B336&amp;", ", ", "&amp;INDEX('Form Responses'!$R$1:$R$200,2)&amp;", "))),1,""))</f>
        <v/>
      </c>
      <c r="E336">
        <f>IF(Wizards!$A$3="","",IF(OR(ISNUMBER(SEARCH(", "&amp;$B336&amp;", ", ", "&amp;INDEX('Form Responses'!$I$1:$Q$200,3,$A336)&amp;", ")),ISNUMBER(SEARCH(", "&amp;$B336&amp;", ", ", "&amp;INDEX('Form Responses'!$R$1:$R$200,3)&amp;", "))),1,""))</f>
        <v/>
      </c>
      <c r="F336">
        <f>IF(Wizards!$A$4="","",IF(OR(ISNUMBER(SEARCH(", "&amp;$B336&amp;", ", ", "&amp;INDEX('Form Responses'!$I$1:$Q$200,4,$A336)&amp;", ")),ISNUMBER(SEARCH(", "&amp;$B336&amp;", ", ", "&amp;INDEX('Form Responses'!$R$1:$R$200,4)&amp;", "))),1,""))</f>
        <v/>
      </c>
      <c r="G336">
        <f>IF(Wizards!$A$5="","",IF(OR(ISNUMBER(SEARCH(", "&amp;$B336&amp;", ", ", "&amp;INDEX('Form Responses'!$I$1:$Q$200,5,$A336)&amp;", ")),ISNUMBER(SEARCH(", "&amp;$B336&amp;", ", ", "&amp;INDEX('Form Responses'!$R$1:$R$200,5)&amp;", "))),1,""))</f>
        <v/>
      </c>
      <c r="H336">
        <f>IF(Wizards!$A$6="","",IF(OR(ISNUMBER(SEARCH(", "&amp;$B336&amp;", ", ", "&amp;INDEX('Form Responses'!$I$1:$Q$200,6,$A336)&amp;", ")),ISNUMBER(SEARCH(", "&amp;$B336&amp;", ", ", "&amp;INDEX('Form Responses'!$R$1:$R$200,6)&amp;", "))),1,""))</f>
        <v/>
      </c>
      <c r="I336">
        <f>IF(Wizards!$A$7="","",IF(OR(ISNUMBER(SEARCH(", "&amp;$B336&amp;", ", ", "&amp;INDEX('Form Responses'!$I$1:$Q$200,7,$A336)&amp;", ")),ISNUMBER(SEARCH(", "&amp;$B336&amp;", ", ", "&amp;INDEX('Form Responses'!$R$1:$R$200,7)&amp;", "))),1,""))</f>
        <v/>
      </c>
      <c r="J336">
        <f>IF(Wizards!$A$8="","",IF(OR(ISNUMBER(SEARCH(", "&amp;$B336&amp;", ", ", "&amp;INDEX('Form Responses'!$I$1:$Q$200,8,$A336)&amp;", ")),ISNUMBER(SEARCH(", "&amp;$B336&amp;", ", ", "&amp;INDEX('Form Responses'!$R$1:$R$200,8)&amp;", "))),1,""))</f>
        <v/>
      </c>
      <c r="K336">
        <f>IF(Wizards!$A$9="","",IF(OR(ISNUMBER(SEARCH(", "&amp;$B336&amp;", ", ", "&amp;INDEX('Form Responses'!$I$1:$Q$200,9,$A336)&amp;", ")),ISNUMBER(SEARCH(", "&amp;$B336&amp;", ", ", "&amp;INDEX('Form Responses'!$R$1:$R$200,9)&amp;", "))),1,""))</f>
        <v/>
      </c>
      <c r="L336">
        <f>IF(Wizards!$A$10="","",IF(OR(ISNUMBER(SEARCH(", "&amp;$B336&amp;", ", ", "&amp;INDEX('Form Responses'!$I$1:$Q$200,10,$A336)&amp;", ")),ISNUMBER(SEARCH(", "&amp;$B336&amp;", ", ", "&amp;INDEX('Form Responses'!$R$1:$R$200,10)&amp;", "))),1,""))</f>
        <v/>
      </c>
      <c r="M336">
        <f>IF(Wizards!$A$11="","",IF(OR(ISNUMBER(SEARCH(", "&amp;$B336&amp;", ", ", "&amp;INDEX('Form Responses'!$I$1:$Q$200,11,$A336)&amp;", ")),ISNUMBER(SEARCH(", "&amp;$B336&amp;", ", ", "&amp;INDEX('Form Responses'!$R$1:$R$200,11)&amp;", "))),1,""))</f>
        <v/>
      </c>
      <c r="N336">
        <f>IF(Wizards!$A$12="","",IF(OR(ISNUMBER(SEARCH(", "&amp;$B336&amp;", ", ", "&amp;INDEX('Form Responses'!$I$1:$Q$200,12,$A336)&amp;", ")),ISNUMBER(SEARCH(", "&amp;$B336&amp;", ", ", "&amp;INDEX('Form Responses'!$R$1:$R$200,12)&amp;", "))),1,""))</f>
        <v/>
      </c>
      <c r="O336">
        <f>IF(Wizards!$A$13="","",IF(OR(ISNUMBER(SEARCH(", "&amp;$B336&amp;", ", ", "&amp;INDEX('Form Responses'!$I$1:$Q$200,13,$A336)&amp;", ")),ISNUMBER(SEARCH(", "&amp;$B336&amp;", ", ", "&amp;INDEX('Form Responses'!$R$1:$R$200,13)&amp;", "))),1,""))</f>
        <v/>
      </c>
      <c r="P336">
        <f>IF(Wizards!$A$14="","",IF(OR(ISNUMBER(SEARCH(", "&amp;$B336&amp;", ", ", "&amp;INDEX('Form Responses'!$I$1:$Q$200,14,$A336)&amp;", ")),ISNUMBER(SEARCH(", "&amp;$B336&amp;", ", ", "&amp;INDEX('Form Responses'!$R$1:$R$200,14)&amp;", "))),1,""))</f>
        <v/>
      </c>
      <c r="Q336">
        <f>IF(Wizards!$A$15="","",IF(OR(ISNUMBER(SEARCH(", "&amp;$B336&amp;", ", ", "&amp;INDEX('Form Responses'!$I$1:$Q$200,15,$A336)&amp;", ")),ISNUMBER(SEARCH(", "&amp;$B336&amp;", ", ", "&amp;INDEX('Form Responses'!$R$1:$R$200,15)&amp;", "))),1,""))</f>
        <v/>
      </c>
      <c r="R336">
        <f>IF(Wizards!$A$16="","",IF(OR(ISNUMBER(SEARCH(", "&amp;$B336&amp;", ", ", "&amp;INDEX('Form Responses'!$I$1:$Q$200,16,$A336)&amp;", ")),ISNUMBER(SEARCH(", "&amp;$B336&amp;", ", ", "&amp;INDEX('Form Responses'!$R$1:$R$200,16)&amp;", "))),1,""))</f>
        <v/>
      </c>
      <c r="S336">
        <f>IF(Wizards!$A$17="","",IF(OR(ISNUMBER(SEARCH(", "&amp;$B336&amp;", ", ", "&amp;INDEX('Form Responses'!$I$1:$Q$200,17,$A336)&amp;", ")),ISNUMBER(SEARCH(", "&amp;$B336&amp;", ", ", "&amp;INDEX('Form Responses'!$R$1:$R$200,17)&amp;", "))),1,""))</f>
        <v/>
      </c>
      <c r="T336">
        <f>IF(Wizards!$A$18="","",IF(OR(ISNUMBER(SEARCH(", "&amp;$B336&amp;", ", ", "&amp;INDEX('Form Responses'!$I$1:$Q$200,18,$A336)&amp;", ")),ISNUMBER(SEARCH(", "&amp;$B336&amp;", ", ", "&amp;INDEX('Form Responses'!$R$1:$R$200,18)&amp;", "))),1,""))</f>
        <v/>
      </c>
      <c r="U336">
        <f>IF(Wizards!$A$19="","",IF(OR(ISNUMBER(SEARCH(", "&amp;$B336&amp;", ", ", "&amp;INDEX('Form Responses'!$I$1:$Q$200,19,$A336)&amp;", ")),ISNUMBER(SEARCH(", "&amp;$B336&amp;", ", ", "&amp;INDEX('Form Responses'!$R$1:$R$200,19)&amp;", "))),1,""))</f>
        <v/>
      </c>
      <c r="V336">
        <f>IF(Wizards!$A$20="","",IF(OR(ISNUMBER(SEARCH(", "&amp;$B336&amp;", ", ", "&amp;INDEX('Form Responses'!$I$1:$Q$200,20,$A336)&amp;", ")),ISNUMBER(SEARCH(", "&amp;$B336&amp;", ", ", "&amp;INDEX('Form Responses'!$R$1:$R$200,20)&amp;", "))),1,""))</f>
        <v/>
      </c>
      <c r="W336">
        <f>IF(Wizards!$A$21="","",IF(OR(ISNUMBER(SEARCH(", "&amp;$B336&amp;", ", ", "&amp;INDEX('Form Responses'!$I$1:$Q$200,21,$A336)&amp;", ")),ISNUMBER(SEARCH(", "&amp;$B336&amp;", ", ", "&amp;INDEX('Form Responses'!$R$1:$R$200,21)&amp;", "))),1,""))</f>
        <v/>
      </c>
      <c r="X336">
        <f>IF(Wizards!$A$22="","",IF(OR(ISNUMBER(SEARCH(", "&amp;$B336&amp;", ", ", "&amp;INDEX('Form Responses'!$I$1:$Q$200,22,$A336)&amp;", ")),ISNUMBER(SEARCH(", "&amp;$B336&amp;", ", ", "&amp;INDEX('Form Responses'!$R$1:$R$200,22)&amp;", "))),1,""))</f>
        <v/>
      </c>
      <c r="Y336">
        <f>IF(Wizards!$A$23="","",IF(OR(ISNUMBER(SEARCH(", "&amp;$B336&amp;", ", ", "&amp;INDEX('Form Responses'!$I$1:$Q$200,23,$A336)&amp;", ")),ISNUMBER(SEARCH(", "&amp;$B336&amp;", ", ", "&amp;INDEX('Form Responses'!$R$1:$R$200,23)&amp;", "))),1,""))</f>
        <v/>
      </c>
      <c r="Z336">
        <f>IF(Wizards!$A$24="","",IF(OR(ISNUMBER(SEARCH(", "&amp;$B336&amp;", ", ", "&amp;INDEX('Form Responses'!$I$1:$Q$200,24,$A336)&amp;", ")),ISNUMBER(SEARCH(", "&amp;$B336&amp;", ", ", "&amp;INDEX('Form Responses'!$R$1:$R$200,24)&amp;", "))),1,""))</f>
        <v/>
      </c>
      <c r="AA336">
        <f>IF(Wizards!$A$25="","",IF(OR(ISNUMBER(SEARCH(", "&amp;$B336&amp;", ", ", "&amp;INDEX('Form Responses'!$I$1:$Q$200,25,$A336)&amp;", ")),ISNUMBER(SEARCH(", "&amp;$B336&amp;", ", ", "&amp;INDEX('Form Responses'!$R$1:$R$200,25)&amp;", "))),1,""))</f>
        <v/>
      </c>
      <c r="AB336">
        <f>IF(D336=1,", "&amp;D$1,"")</f>
        <v/>
      </c>
      <c r="AC336">
        <f>IF(E336=1,", "&amp;E$1,"")</f>
        <v/>
      </c>
      <c r="AD336">
        <f>IF(F336=1,", "&amp;F$1,"")</f>
        <v/>
      </c>
      <c r="AE336">
        <f>IF(G336=1,", "&amp;G$1,"")</f>
        <v/>
      </c>
      <c r="AF336">
        <f>IF(H336=1,", "&amp;H$1,"")</f>
        <v/>
      </c>
      <c r="AG336">
        <f>IF(I336=1,", "&amp;I$1,"")</f>
        <v/>
      </c>
      <c r="AH336">
        <f>IF(J336=1,", "&amp;J$1,"")</f>
        <v/>
      </c>
      <c r="AI336">
        <f>IF(K336=1,", "&amp;K$1,"")</f>
        <v/>
      </c>
      <c r="AJ336">
        <f>IF(L336=1,", "&amp;L$1,"")</f>
        <v/>
      </c>
      <c r="AK336">
        <f>IF(M336=1,", "&amp;M$1,"")</f>
        <v/>
      </c>
      <c r="AL336">
        <f>IF(N336=1,", "&amp;N$1,"")</f>
        <v/>
      </c>
      <c r="AM336">
        <f>IF(O336=1,", "&amp;O$1,"")</f>
        <v/>
      </c>
      <c r="AN336">
        <f>IF(P336=1,", "&amp;P$1,"")</f>
        <v/>
      </c>
      <c r="AO336">
        <f>IF(Q336=1,", "&amp;Q$1,"")</f>
        <v/>
      </c>
      <c r="AP336">
        <f>IF(R336=1,", "&amp;R$1,"")</f>
        <v/>
      </c>
      <c r="AQ336">
        <f>IF(S336=1,", "&amp;S$1,"")</f>
        <v/>
      </c>
      <c r="AR336">
        <f>IF(T336=1,", "&amp;T$1,"")</f>
        <v/>
      </c>
      <c r="AS336">
        <f>IF(U336=1,", "&amp;U$1,"")</f>
        <v/>
      </c>
      <c r="AT336">
        <f>IF(V336=1,", "&amp;V$1,"")</f>
        <v/>
      </c>
      <c r="AU336">
        <f>IF(W336=1,", "&amp;W$1,"")</f>
        <v/>
      </c>
      <c r="AV336">
        <f>IF(X336=1,", "&amp;X$1,"")</f>
        <v/>
      </c>
      <c r="AW336">
        <f>IF(Y336=1,", "&amp;Y$1,"")</f>
        <v/>
      </c>
      <c r="AX336">
        <f>IF(Z336=1,", "&amp;Z$1,"")</f>
        <v/>
      </c>
      <c r="AY336">
        <f>IF(AA336=1,", "&amp;AA$1,"")</f>
        <v/>
      </c>
      <c r="AZ336">
        <f>MID($AB336&amp;$AC336&amp;$AD336&amp;$AE336&amp;$AF336&amp;$AG336&amp;$AH336&amp;$AI336&amp;$AJ336&amp;$AK336&amp;$AL336&amp;$AM336&amp;$AN336&amp;$AO336&amp;$AP336&amp;$AQ336&amp;$AR336&amp;$AS336&amp;$AT336&amp;$AU336&amp;$AV336&amp;$AW336&amp;$AX336&amp;$AY336,3,32767)</f>
        <v/>
      </c>
      <c r="BA336">
        <f>COUNT($D336:$AA336)</f>
        <v/>
      </c>
    </row>
    <row r="337">
      <c r="A337" t="n">
        <v>9</v>
      </c>
      <c r="B337" t="inlineStr">
        <is>
          <t>Hindsight</t>
        </is>
      </c>
      <c r="C337" t="inlineStr">
        <is>
          <t>Divination</t>
        </is>
      </c>
      <c r="D337">
        <f>IF(Wizards!$A$2="","",IF(OR(ISNUMBER(SEARCH(", "&amp;$B337&amp;", ", ", "&amp;INDEX('Form Responses'!$I$1:$Q$200,2,$A337)&amp;", ")),ISNUMBER(SEARCH(", "&amp;$B337&amp;", ", ", "&amp;INDEX('Form Responses'!$R$1:$R$200,2)&amp;", "))),1,""))</f>
        <v/>
      </c>
      <c r="E337">
        <f>IF(Wizards!$A$3="","",IF(OR(ISNUMBER(SEARCH(", "&amp;$B337&amp;", ", ", "&amp;INDEX('Form Responses'!$I$1:$Q$200,3,$A337)&amp;", ")),ISNUMBER(SEARCH(", "&amp;$B337&amp;", ", ", "&amp;INDEX('Form Responses'!$R$1:$R$200,3)&amp;", "))),1,""))</f>
        <v/>
      </c>
      <c r="F337">
        <f>IF(Wizards!$A$4="","",IF(OR(ISNUMBER(SEARCH(", "&amp;$B337&amp;", ", ", "&amp;INDEX('Form Responses'!$I$1:$Q$200,4,$A337)&amp;", ")),ISNUMBER(SEARCH(", "&amp;$B337&amp;", ", ", "&amp;INDEX('Form Responses'!$R$1:$R$200,4)&amp;", "))),1,""))</f>
        <v/>
      </c>
      <c r="G337">
        <f>IF(Wizards!$A$5="","",IF(OR(ISNUMBER(SEARCH(", "&amp;$B337&amp;", ", ", "&amp;INDEX('Form Responses'!$I$1:$Q$200,5,$A337)&amp;", ")),ISNUMBER(SEARCH(", "&amp;$B337&amp;", ", ", "&amp;INDEX('Form Responses'!$R$1:$R$200,5)&amp;", "))),1,""))</f>
        <v/>
      </c>
      <c r="H337">
        <f>IF(Wizards!$A$6="","",IF(OR(ISNUMBER(SEARCH(", "&amp;$B337&amp;", ", ", "&amp;INDEX('Form Responses'!$I$1:$Q$200,6,$A337)&amp;", ")),ISNUMBER(SEARCH(", "&amp;$B337&amp;", ", ", "&amp;INDEX('Form Responses'!$R$1:$R$200,6)&amp;", "))),1,""))</f>
        <v/>
      </c>
      <c r="I337">
        <f>IF(Wizards!$A$7="","",IF(OR(ISNUMBER(SEARCH(", "&amp;$B337&amp;", ", ", "&amp;INDEX('Form Responses'!$I$1:$Q$200,7,$A337)&amp;", ")),ISNUMBER(SEARCH(", "&amp;$B337&amp;", ", ", "&amp;INDEX('Form Responses'!$R$1:$R$200,7)&amp;", "))),1,""))</f>
        <v/>
      </c>
      <c r="J337">
        <f>IF(Wizards!$A$8="","",IF(OR(ISNUMBER(SEARCH(", "&amp;$B337&amp;", ", ", "&amp;INDEX('Form Responses'!$I$1:$Q$200,8,$A337)&amp;", ")),ISNUMBER(SEARCH(", "&amp;$B337&amp;", ", ", "&amp;INDEX('Form Responses'!$R$1:$R$200,8)&amp;", "))),1,""))</f>
        <v/>
      </c>
      <c r="K337">
        <f>IF(Wizards!$A$9="","",IF(OR(ISNUMBER(SEARCH(", "&amp;$B337&amp;", ", ", "&amp;INDEX('Form Responses'!$I$1:$Q$200,9,$A337)&amp;", ")),ISNUMBER(SEARCH(", "&amp;$B337&amp;", ", ", "&amp;INDEX('Form Responses'!$R$1:$R$200,9)&amp;", "))),1,""))</f>
        <v/>
      </c>
      <c r="L337">
        <f>IF(Wizards!$A$10="","",IF(OR(ISNUMBER(SEARCH(", "&amp;$B337&amp;", ", ", "&amp;INDEX('Form Responses'!$I$1:$Q$200,10,$A337)&amp;", ")),ISNUMBER(SEARCH(", "&amp;$B337&amp;", ", ", "&amp;INDEX('Form Responses'!$R$1:$R$200,10)&amp;", "))),1,""))</f>
        <v/>
      </c>
      <c r="M337">
        <f>IF(Wizards!$A$11="","",IF(OR(ISNUMBER(SEARCH(", "&amp;$B337&amp;", ", ", "&amp;INDEX('Form Responses'!$I$1:$Q$200,11,$A337)&amp;", ")),ISNUMBER(SEARCH(", "&amp;$B337&amp;", ", ", "&amp;INDEX('Form Responses'!$R$1:$R$200,11)&amp;", "))),1,""))</f>
        <v/>
      </c>
      <c r="N337">
        <f>IF(Wizards!$A$12="","",IF(OR(ISNUMBER(SEARCH(", "&amp;$B337&amp;", ", ", "&amp;INDEX('Form Responses'!$I$1:$Q$200,12,$A337)&amp;", ")),ISNUMBER(SEARCH(", "&amp;$B337&amp;", ", ", "&amp;INDEX('Form Responses'!$R$1:$R$200,12)&amp;", "))),1,""))</f>
        <v/>
      </c>
      <c r="O337">
        <f>IF(Wizards!$A$13="","",IF(OR(ISNUMBER(SEARCH(", "&amp;$B337&amp;", ", ", "&amp;INDEX('Form Responses'!$I$1:$Q$200,13,$A337)&amp;", ")),ISNUMBER(SEARCH(", "&amp;$B337&amp;", ", ", "&amp;INDEX('Form Responses'!$R$1:$R$200,13)&amp;", "))),1,""))</f>
        <v/>
      </c>
      <c r="P337">
        <f>IF(Wizards!$A$14="","",IF(OR(ISNUMBER(SEARCH(", "&amp;$B337&amp;", ", ", "&amp;INDEX('Form Responses'!$I$1:$Q$200,14,$A337)&amp;", ")),ISNUMBER(SEARCH(", "&amp;$B337&amp;", ", ", "&amp;INDEX('Form Responses'!$R$1:$R$200,14)&amp;", "))),1,""))</f>
        <v/>
      </c>
      <c r="Q337">
        <f>IF(Wizards!$A$15="","",IF(OR(ISNUMBER(SEARCH(", "&amp;$B337&amp;", ", ", "&amp;INDEX('Form Responses'!$I$1:$Q$200,15,$A337)&amp;", ")),ISNUMBER(SEARCH(", "&amp;$B337&amp;", ", ", "&amp;INDEX('Form Responses'!$R$1:$R$200,15)&amp;", "))),1,""))</f>
        <v/>
      </c>
      <c r="R337">
        <f>IF(Wizards!$A$16="","",IF(OR(ISNUMBER(SEARCH(", "&amp;$B337&amp;", ", ", "&amp;INDEX('Form Responses'!$I$1:$Q$200,16,$A337)&amp;", ")),ISNUMBER(SEARCH(", "&amp;$B337&amp;", ", ", "&amp;INDEX('Form Responses'!$R$1:$R$200,16)&amp;", "))),1,""))</f>
        <v/>
      </c>
      <c r="S337">
        <f>IF(Wizards!$A$17="","",IF(OR(ISNUMBER(SEARCH(", "&amp;$B337&amp;", ", ", "&amp;INDEX('Form Responses'!$I$1:$Q$200,17,$A337)&amp;", ")),ISNUMBER(SEARCH(", "&amp;$B337&amp;", ", ", "&amp;INDEX('Form Responses'!$R$1:$R$200,17)&amp;", "))),1,""))</f>
        <v/>
      </c>
      <c r="T337">
        <f>IF(Wizards!$A$18="","",IF(OR(ISNUMBER(SEARCH(", "&amp;$B337&amp;", ", ", "&amp;INDEX('Form Responses'!$I$1:$Q$200,18,$A337)&amp;", ")),ISNUMBER(SEARCH(", "&amp;$B337&amp;", ", ", "&amp;INDEX('Form Responses'!$R$1:$R$200,18)&amp;", "))),1,""))</f>
        <v/>
      </c>
      <c r="U337">
        <f>IF(Wizards!$A$19="","",IF(OR(ISNUMBER(SEARCH(", "&amp;$B337&amp;", ", ", "&amp;INDEX('Form Responses'!$I$1:$Q$200,19,$A337)&amp;", ")),ISNUMBER(SEARCH(", "&amp;$B337&amp;", ", ", "&amp;INDEX('Form Responses'!$R$1:$R$200,19)&amp;", "))),1,""))</f>
        <v/>
      </c>
      <c r="V337">
        <f>IF(Wizards!$A$20="","",IF(OR(ISNUMBER(SEARCH(", "&amp;$B337&amp;", ", ", "&amp;INDEX('Form Responses'!$I$1:$Q$200,20,$A337)&amp;", ")),ISNUMBER(SEARCH(", "&amp;$B337&amp;", ", ", "&amp;INDEX('Form Responses'!$R$1:$R$200,20)&amp;", "))),1,""))</f>
        <v/>
      </c>
      <c r="W337">
        <f>IF(Wizards!$A$21="","",IF(OR(ISNUMBER(SEARCH(", "&amp;$B337&amp;", ", ", "&amp;INDEX('Form Responses'!$I$1:$Q$200,21,$A337)&amp;", ")),ISNUMBER(SEARCH(", "&amp;$B337&amp;", ", ", "&amp;INDEX('Form Responses'!$R$1:$R$200,21)&amp;", "))),1,""))</f>
        <v/>
      </c>
      <c r="X337">
        <f>IF(Wizards!$A$22="","",IF(OR(ISNUMBER(SEARCH(", "&amp;$B337&amp;", ", ", "&amp;INDEX('Form Responses'!$I$1:$Q$200,22,$A337)&amp;", ")),ISNUMBER(SEARCH(", "&amp;$B337&amp;", ", ", "&amp;INDEX('Form Responses'!$R$1:$R$200,22)&amp;", "))),1,""))</f>
        <v/>
      </c>
      <c r="Y337">
        <f>IF(Wizards!$A$23="","",IF(OR(ISNUMBER(SEARCH(", "&amp;$B337&amp;", ", ", "&amp;INDEX('Form Responses'!$I$1:$Q$200,23,$A337)&amp;", ")),ISNUMBER(SEARCH(", "&amp;$B337&amp;", ", ", "&amp;INDEX('Form Responses'!$R$1:$R$200,23)&amp;", "))),1,""))</f>
        <v/>
      </c>
      <c r="Z337">
        <f>IF(Wizards!$A$24="","",IF(OR(ISNUMBER(SEARCH(", "&amp;$B337&amp;", ", ", "&amp;INDEX('Form Responses'!$I$1:$Q$200,24,$A337)&amp;", ")),ISNUMBER(SEARCH(", "&amp;$B337&amp;", ", ", "&amp;INDEX('Form Responses'!$R$1:$R$200,24)&amp;", "))),1,""))</f>
        <v/>
      </c>
      <c r="AA337">
        <f>IF(Wizards!$A$25="","",IF(OR(ISNUMBER(SEARCH(", "&amp;$B337&amp;", ", ", "&amp;INDEX('Form Responses'!$I$1:$Q$200,25,$A337)&amp;", ")),ISNUMBER(SEARCH(", "&amp;$B337&amp;", ", ", "&amp;INDEX('Form Responses'!$R$1:$R$200,25)&amp;", "))),1,""))</f>
        <v/>
      </c>
      <c r="AB337">
        <f>IF(D337=1,", "&amp;D$1,"")</f>
        <v/>
      </c>
      <c r="AC337">
        <f>IF(E337=1,", "&amp;E$1,"")</f>
        <v/>
      </c>
      <c r="AD337">
        <f>IF(F337=1,", "&amp;F$1,"")</f>
        <v/>
      </c>
      <c r="AE337">
        <f>IF(G337=1,", "&amp;G$1,"")</f>
        <v/>
      </c>
      <c r="AF337">
        <f>IF(H337=1,", "&amp;H$1,"")</f>
        <v/>
      </c>
      <c r="AG337">
        <f>IF(I337=1,", "&amp;I$1,"")</f>
        <v/>
      </c>
      <c r="AH337">
        <f>IF(J337=1,", "&amp;J$1,"")</f>
        <v/>
      </c>
      <c r="AI337">
        <f>IF(K337=1,", "&amp;K$1,"")</f>
        <v/>
      </c>
      <c r="AJ337">
        <f>IF(L337=1,", "&amp;L$1,"")</f>
        <v/>
      </c>
      <c r="AK337">
        <f>IF(M337=1,", "&amp;M$1,"")</f>
        <v/>
      </c>
      <c r="AL337">
        <f>IF(N337=1,", "&amp;N$1,"")</f>
        <v/>
      </c>
      <c r="AM337">
        <f>IF(O337=1,", "&amp;O$1,"")</f>
        <v/>
      </c>
      <c r="AN337">
        <f>IF(P337=1,", "&amp;P$1,"")</f>
        <v/>
      </c>
      <c r="AO337">
        <f>IF(Q337=1,", "&amp;Q$1,"")</f>
        <v/>
      </c>
      <c r="AP337">
        <f>IF(R337=1,", "&amp;R$1,"")</f>
        <v/>
      </c>
      <c r="AQ337">
        <f>IF(S337=1,", "&amp;S$1,"")</f>
        <v/>
      </c>
      <c r="AR337">
        <f>IF(T337=1,", "&amp;T$1,"")</f>
        <v/>
      </c>
      <c r="AS337">
        <f>IF(U337=1,", "&amp;U$1,"")</f>
        <v/>
      </c>
      <c r="AT337">
        <f>IF(V337=1,", "&amp;V$1,"")</f>
        <v/>
      </c>
      <c r="AU337">
        <f>IF(W337=1,", "&amp;W$1,"")</f>
        <v/>
      </c>
      <c r="AV337">
        <f>IF(X337=1,", "&amp;X$1,"")</f>
        <v/>
      </c>
      <c r="AW337">
        <f>IF(Y337=1,", "&amp;Y$1,"")</f>
        <v/>
      </c>
      <c r="AX337">
        <f>IF(Z337=1,", "&amp;Z$1,"")</f>
        <v/>
      </c>
      <c r="AY337">
        <f>IF(AA337=1,", "&amp;AA$1,"")</f>
        <v/>
      </c>
      <c r="AZ337">
        <f>MID($AB337&amp;$AC337&amp;$AD337&amp;$AE337&amp;$AF337&amp;$AG337&amp;$AH337&amp;$AI337&amp;$AJ337&amp;$AK337&amp;$AL337&amp;$AM337&amp;$AN337&amp;$AO337&amp;$AP337&amp;$AQ337&amp;$AR337&amp;$AS337&amp;$AT337&amp;$AU337&amp;$AV337&amp;$AW337&amp;$AX337&amp;$AY337,3,32767)</f>
        <v/>
      </c>
      <c r="BA337">
        <f>COUNT($D337:$AA337)</f>
        <v/>
      </c>
    </row>
    <row r="338">
      <c r="A338" t="n">
        <v>9</v>
      </c>
      <c r="B338" t="inlineStr">
        <is>
          <t>Imprisonment</t>
        </is>
      </c>
      <c r="C338" t="inlineStr">
        <is>
          <t>Abjuration</t>
        </is>
      </c>
      <c r="D338">
        <f>IF(Wizards!$A$2="","",IF(OR(ISNUMBER(SEARCH(", "&amp;$B338&amp;", ", ", "&amp;INDEX('Form Responses'!$I$1:$Q$200,2,$A338)&amp;", ")),ISNUMBER(SEARCH(", "&amp;$B338&amp;", ", ", "&amp;INDEX('Form Responses'!$R$1:$R$200,2)&amp;", "))),1,""))</f>
        <v/>
      </c>
      <c r="E338">
        <f>IF(Wizards!$A$3="","",IF(OR(ISNUMBER(SEARCH(", "&amp;$B338&amp;", ", ", "&amp;INDEX('Form Responses'!$I$1:$Q$200,3,$A338)&amp;", ")),ISNUMBER(SEARCH(", "&amp;$B338&amp;", ", ", "&amp;INDEX('Form Responses'!$R$1:$R$200,3)&amp;", "))),1,""))</f>
        <v/>
      </c>
      <c r="F338">
        <f>IF(Wizards!$A$4="","",IF(OR(ISNUMBER(SEARCH(", "&amp;$B338&amp;", ", ", "&amp;INDEX('Form Responses'!$I$1:$Q$200,4,$A338)&amp;", ")),ISNUMBER(SEARCH(", "&amp;$B338&amp;", ", ", "&amp;INDEX('Form Responses'!$R$1:$R$200,4)&amp;", "))),1,""))</f>
        <v/>
      </c>
      <c r="G338">
        <f>IF(Wizards!$A$5="","",IF(OR(ISNUMBER(SEARCH(", "&amp;$B338&amp;", ", ", "&amp;INDEX('Form Responses'!$I$1:$Q$200,5,$A338)&amp;", ")),ISNUMBER(SEARCH(", "&amp;$B338&amp;", ", ", "&amp;INDEX('Form Responses'!$R$1:$R$200,5)&amp;", "))),1,""))</f>
        <v/>
      </c>
      <c r="H338">
        <f>IF(Wizards!$A$6="","",IF(OR(ISNUMBER(SEARCH(", "&amp;$B338&amp;", ", ", "&amp;INDEX('Form Responses'!$I$1:$Q$200,6,$A338)&amp;", ")),ISNUMBER(SEARCH(", "&amp;$B338&amp;", ", ", "&amp;INDEX('Form Responses'!$R$1:$R$200,6)&amp;", "))),1,""))</f>
        <v/>
      </c>
      <c r="I338">
        <f>IF(Wizards!$A$7="","",IF(OR(ISNUMBER(SEARCH(", "&amp;$B338&amp;", ", ", "&amp;INDEX('Form Responses'!$I$1:$Q$200,7,$A338)&amp;", ")),ISNUMBER(SEARCH(", "&amp;$B338&amp;", ", ", "&amp;INDEX('Form Responses'!$R$1:$R$200,7)&amp;", "))),1,""))</f>
        <v/>
      </c>
      <c r="J338">
        <f>IF(Wizards!$A$8="","",IF(OR(ISNUMBER(SEARCH(", "&amp;$B338&amp;", ", ", "&amp;INDEX('Form Responses'!$I$1:$Q$200,8,$A338)&amp;", ")),ISNUMBER(SEARCH(", "&amp;$B338&amp;", ", ", "&amp;INDEX('Form Responses'!$R$1:$R$200,8)&amp;", "))),1,""))</f>
        <v/>
      </c>
      <c r="K338">
        <f>IF(Wizards!$A$9="","",IF(OR(ISNUMBER(SEARCH(", "&amp;$B338&amp;", ", ", "&amp;INDEX('Form Responses'!$I$1:$Q$200,9,$A338)&amp;", ")),ISNUMBER(SEARCH(", "&amp;$B338&amp;", ", ", "&amp;INDEX('Form Responses'!$R$1:$R$200,9)&amp;", "))),1,""))</f>
        <v/>
      </c>
      <c r="L338">
        <f>IF(Wizards!$A$10="","",IF(OR(ISNUMBER(SEARCH(", "&amp;$B338&amp;", ", ", "&amp;INDEX('Form Responses'!$I$1:$Q$200,10,$A338)&amp;", ")),ISNUMBER(SEARCH(", "&amp;$B338&amp;", ", ", "&amp;INDEX('Form Responses'!$R$1:$R$200,10)&amp;", "))),1,""))</f>
        <v/>
      </c>
      <c r="M338">
        <f>IF(Wizards!$A$11="","",IF(OR(ISNUMBER(SEARCH(", "&amp;$B338&amp;", ", ", "&amp;INDEX('Form Responses'!$I$1:$Q$200,11,$A338)&amp;", ")),ISNUMBER(SEARCH(", "&amp;$B338&amp;", ", ", "&amp;INDEX('Form Responses'!$R$1:$R$200,11)&amp;", "))),1,""))</f>
        <v/>
      </c>
      <c r="N338">
        <f>IF(Wizards!$A$12="","",IF(OR(ISNUMBER(SEARCH(", "&amp;$B338&amp;", ", ", "&amp;INDEX('Form Responses'!$I$1:$Q$200,12,$A338)&amp;", ")),ISNUMBER(SEARCH(", "&amp;$B338&amp;", ", ", "&amp;INDEX('Form Responses'!$R$1:$R$200,12)&amp;", "))),1,""))</f>
        <v/>
      </c>
      <c r="O338">
        <f>IF(Wizards!$A$13="","",IF(OR(ISNUMBER(SEARCH(", "&amp;$B338&amp;", ", ", "&amp;INDEX('Form Responses'!$I$1:$Q$200,13,$A338)&amp;", ")),ISNUMBER(SEARCH(", "&amp;$B338&amp;", ", ", "&amp;INDEX('Form Responses'!$R$1:$R$200,13)&amp;", "))),1,""))</f>
        <v/>
      </c>
      <c r="P338">
        <f>IF(Wizards!$A$14="","",IF(OR(ISNUMBER(SEARCH(", "&amp;$B338&amp;", ", ", "&amp;INDEX('Form Responses'!$I$1:$Q$200,14,$A338)&amp;", ")),ISNUMBER(SEARCH(", "&amp;$B338&amp;", ", ", "&amp;INDEX('Form Responses'!$R$1:$R$200,14)&amp;", "))),1,""))</f>
        <v/>
      </c>
      <c r="Q338">
        <f>IF(Wizards!$A$15="","",IF(OR(ISNUMBER(SEARCH(", "&amp;$B338&amp;", ", ", "&amp;INDEX('Form Responses'!$I$1:$Q$200,15,$A338)&amp;", ")),ISNUMBER(SEARCH(", "&amp;$B338&amp;", ", ", "&amp;INDEX('Form Responses'!$R$1:$R$200,15)&amp;", "))),1,""))</f>
        <v/>
      </c>
      <c r="R338">
        <f>IF(Wizards!$A$16="","",IF(OR(ISNUMBER(SEARCH(", "&amp;$B338&amp;", ", ", "&amp;INDEX('Form Responses'!$I$1:$Q$200,16,$A338)&amp;", ")),ISNUMBER(SEARCH(", "&amp;$B338&amp;", ", ", "&amp;INDEX('Form Responses'!$R$1:$R$200,16)&amp;", "))),1,""))</f>
        <v/>
      </c>
      <c r="S338">
        <f>IF(Wizards!$A$17="","",IF(OR(ISNUMBER(SEARCH(", "&amp;$B338&amp;", ", ", "&amp;INDEX('Form Responses'!$I$1:$Q$200,17,$A338)&amp;", ")),ISNUMBER(SEARCH(", "&amp;$B338&amp;", ", ", "&amp;INDEX('Form Responses'!$R$1:$R$200,17)&amp;", "))),1,""))</f>
        <v/>
      </c>
      <c r="T338">
        <f>IF(Wizards!$A$18="","",IF(OR(ISNUMBER(SEARCH(", "&amp;$B338&amp;", ", ", "&amp;INDEX('Form Responses'!$I$1:$Q$200,18,$A338)&amp;", ")),ISNUMBER(SEARCH(", "&amp;$B338&amp;", ", ", "&amp;INDEX('Form Responses'!$R$1:$R$200,18)&amp;", "))),1,""))</f>
        <v/>
      </c>
      <c r="U338">
        <f>IF(Wizards!$A$19="","",IF(OR(ISNUMBER(SEARCH(", "&amp;$B338&amp;", ", ", "&amp;INDEX('Form Responses'!$I$1:$Q$200,19,$A338)&amp;", ")),ISNUMBER(SEARCH(", "&amp;$B338&amp;", ", ", "&amp;INDEX('Form Responses'!$R$1:$R$200,19)&amp;", "))),1,""))</f>
        <v/>
      </c>
      <c r="V338">
        <f>IF(Wizards!$A$20="","",IF(OR(ISNUMBER(SEARCH(", "&amp;$B338&amp;", ", ", "&amp;INDEX('Form Responses'!$I$1:$Q$200,20,$A338)&amp;", ")),ISNUMBER(SEARCH(", "&amp;$B338&amp;", ", ", "&amp;INDEX('Form Responses'!$R$1:$R$200,20)&amp;", "))),1,""))</f>
        <v/>
      </c>
      <c r="W338">
        <f>IF(Wizards!$A$21="","",IF(OR(ISNUMBER(SEARCH(", "&amp;$B338&amp;", ", ", "&amp;INDEX('Form Responses'!$I$1:$Q$200,21,$A338)&amp;", ")),ISNUMBER(SEARCH(", "&amp;$B338&amp;", ", ", "&amp;INDEX('Form Responses'!$R$1:$R$200,21)&amp;", "))),1,""))</f>
        <v/>
      </c>
      <c r="X338">
        <f>IF(Wizards!$A$22="","",IF(OR(ISNUMBER(SEARCH(", "&amp;$B338&amp;", ", ", "&amp;INDEX('Form Responses'!$I$1:$Q$200,22,$A338)&amp;", ")),ISNUMBER(SEARCH(", "&amp;$B338&amp;", ", ", "&amp;INDEX('Form Responses'!$R$1:$R$200,22)&amp;", "))),1,""))</f>
        <v/>
      </c>
      <c r="Y338">
        <f>IF(Wizards!$A$23="","",IF(OR(ISNUMBER(SEARCH(", "&amp;$B338&amp;", ", ", "&amp;INDEX('Form Responses'!$I$1:$Q$200,23,$A338)&amp;", ")),ISNUMBER(SEARCH(", "&amp;$B338&amp;", ", ", "&amp;INDEX('Form Responses'!$R$1:$R$200,23)&amp;", "))),1,""))</f>
        <v/>
      </c>
      <c r="Z338">
        <f>IF(Wizards!$A$24="","",IF(OR(ISNUMBER(SEARCH(", "&amp;$B338&amp;", ", ", "&amp;INDEX('Form Responses'!$I$1:$Q$200,24,$A338)&amp;", ")),ISNUMBER(SEARCH(", "&amp;$B338&amp;", ", ", "&amp;INDEX('Form Responses'!$R$1:$R$200,24)&amp;", "))),1,""))</f>
        <v/>
      </c>
      <c r="AA338">
        <f>IF(Wizards!$A$25="","",IF(OR(ISNUMBER(SEARCH(", "&amp;$B338&amp;", ", ", "&amp;INDEX('Form Responses'!$I$1:$Q$200,25,$A338)&amp;", ")),ISNUMBER(SEARCH(", "&amp;$B338&amp;", ", ", "&amp;INDEX('Form Responses'!$R$1:$R$200,25)&amp;", "))),1,""))</f>
        <v/>
      </c>
      <c r="AB338">
        <f>IF(D338=1,", "&amp;D$1,"")</f>
        <v/>
      </c>
      <c r="AC338">
        <f>IF(E338=1,", "&amp;E$1,"")</f>
        <v/>
      </c>
      <c r="AD338">
        <f>IF(F338=1,", "&amp;F$1,"")</f>
        <v/>
      </c>
      <c r="AE338">
        <f>IF(G338=1,", "&amp;G$1,"")</f>
        <v/>
      </c>
      <c r="AF338">
        <f>IF(H338=1,", "&amp;H$1,"")</f>
        <v/>
      </c>
      <c r="AG338">
        <f>IF(I338=1,", "&amp;I$1,"")</f>
        <v/>
      </c>
      <c r="AH338">
        <f>IF(J338=1,", "&amp;J$1,"")</f>
        <v/>
      </c>
      <c r="AI338">
        <f>IF(K338=1,", "&amp;K$1,"")</f>
        <v/>
      </c>
      <c r="AJ338">
        <f>IF(L338=1,", "&amp;L$1,"")</f>
        <v/>
      </c>
      <c r="AK338">
        <f>IF(M338=1,", "&amp;M$1,"")</f>
        <v/>
      </c>
      <c r="AL338">
        <f>IF(N338=1,", "&amp;N$1,"")</f>
        <v/>
      </c>
      <c r="AM338">
        <f>IF(O338=1,", "&amp;O$1,"")</f>
        <v/>
      </c>
      <c r="AN338">
        <f>IF(P338=1,", "&amp;P$1,"")</f>
        <v/>
      </c>
      <c r="AO338">
        <f>IF(Q338=1,", "&amp;Q$1,"")</f>
        <v/>
      </c>
      <c r="AP338">
        <f>IF(R338=1,", "&amp;R$1,"")</f>
        <v/>
      </c>
      <c r="AQ338">
        <f>IF(S338=1,", "&amp;S$1,"")</f>
        <v/>
      </c>
      <c r="AR338">
        <f>IF(T338=1,", "&amp;T$1,"")</f>
        <v/>
      </c>
      <c r="AS338">
        <f>IF(U338=1,", "&amp;U$1,"")</f>
        <v/>
      </c>
      <c r="AT338">
        <f>IF(V338=1,", "&amp;V$1,"")</f>
        <v/>
      </c>
      <c r="AU338">
        <f>IF(W338=1,", "&amp;W$1,"")</f>
        <v/>
      </c>
      <c r="AV338">
        <f>IF(X338=1,", "&amp;X$1,"")</f>
        <v/>
      </c>
      <c r="AW338">
        <f>IF(Y338=1,", "&amp;Y$1,"")</f>
        <v/>
      </c>
      <c r="AX338">
        <f>IF(Z338=1,", "&amp;Z$1,"")</f>
        <v/>
      </c>
      <c r="AY338">
        <f>IF(AA338=1,", "&amp;AA$1,"")</f>
        <v/>
      </c>
      <c r="AZ338">
        <f>MID($AB338&amp;$AC338&amp;$AD338&amp;$AE338&amp;$AF338&amp;$AG338&amp;$AH338&amp;$AI338&amp;$AJ338&amp;$AK338&amp;$AL338&amp;$AM338&amp;$AN338&amp;$AO338&amp;$AP338&amp;$AQ338&amp;$AR338&amp;$AS338&amp;$AT338&amp;$AU338&amp;$AV338&amp;$AW338&amp;$AX338&amp;$AY338,3,32767)</f>
        <v/>
      </c>
      <c r="BA338">
        <f>COUNT($D338:$AA338)</f>
        <v/>
      </c>
    </row>
    <row r="339">
      <c r="A339" t="n">
        <v>9</v>
      </c>
      <c r="B339" t="inlineStr">
        <is>
          <t>Invulnerability</t>
        </is>
      </c>
      <c r="C339" t="inlineStr">
        <is>
          <t>Abjuration</t>
        </is>
      </c>
      <c r="D339">
        <f>IF(Wizards!$A$2="","",IF(OR(ISNUMBER(SEARCH(", "&amp;$B339&amp;", ", ", "&amp;INDEX('Form Responses'!$I$1:$Q$200,2,$A339)&amp;", ")),ISNUMBER(SEARCH(", "&amp;$B339&amp;", ", ", "&amp;INDEX('Form Responses'!$R$1:$R$200,2)&amp;", "))),1,""))</f>
        <v/>
      </c>
      <c r="E339">
        <f>IF(Wizards!$A$3="","",IF(OR(ISNUMBER(SEARCH(", "&amp;$B339&amp;", ", ", "&amp;INDEX('Form Responses'!$I$1:$Q$200,3,$A339)&amp;", ")),ISNUMBER(SEARCH(", "&amp;$B339&amp;", ", ", "&amp;INDEX('Form Responses'!$R$1:$R$200,3)&amp;", "))),1,""))</f>
        <v/>
      </c>
      <c r="F339">
        <f>IF(Wizards!$A$4="","",IF(OR(ISNUMBER(SEARCH(", "&amp;$B339&amp;", ", ", "&amp;INDEX('Form Responses'!$I$1:$Q$200,4,$A339)&amp;", ")),ISNUMBER(SEARCH(", "&amp;$B339&amp;", ", ", "&amp;INDEX('Form Responses'!$R$1:$R$200,4)&amp;", "))),1,""))</f>
        <v/>
      </c>
      <c r="G339">
        <f>IF(Wizards!$A$5="","",IF(OR(ISNUMBER(SEARCH(", "&amp;$B339&amp;", ", ", "&amp;INDEX('Form Responses'!$I$1:$Q$200,5,$A339)&amp;", ")),ISNUMBER(SEARCH(", "&amp;$B339&amp;", ", ", "&amp;INDEX('Form Responses'!$R$1:$R$200,5)&amp;", "))),1,""))</f>
        <v/>
      </c>
      <c r="H339">
        <f>IF(Wizards!$A$6="","",IF(OR(ISNUMBER(SEARCH(", "&amp;$B339&amp;", ", ", "&amp;INDEX('Form Responses'!$I$1:$Q$200,6,$A339)&amp;", ")),ISNUMBER(SEARCH(", "&amp;$B339&amp;", ", ", "&amp;INDEX('Form Responses'!$R$1:$R$200,6)&amp;", "))),1,""))</f>
        <v/>
      </c>
      <c r="I339">
        <f>IF(Wizards!$A$7="","",IF(OR(ISNUMBER(SEARCH(", "&amp;$B339&amp;", ", ", "&amp;INDEX('Form Responses'!$I$1:$Q$200,7,$A339)&amp;", ")),ISNUMBER(SEARCH(", "&amp;$B339&amp;", ", ", "&amp;INDEX('Form Responses'!$R$1:$R$200,7)&amp;", "))),1,""))</f>
        <v/>
      </c>
      <c r="J339">
        <f>IF(Wizards!$A$8="","",IF(OR(ISNUMBER(SEARCH(", "&amp;$B339&amp;", ", ", "&amp;INDEX('Form Responses'!$I$1:$Q$200,8,$A339)&amp;", ")),ISNUMBER(SEARCH(", "&amp;$B339&amp;", ", ", "&amp;INDEX('Form Responses'!$R$1:$R$200,8)&amp;", "))),1,""))</f>
        <v/>
      </c>
      <c r="K339">
        <f>IF(Wizards!$A$9="","",IF(OR(ISNUMBER(SEARCH(", "&amp;$B339&amp;", ", ", "&amp;INDEX('Form Responses'!$I$1:$Q$200,9,$A339)&amp;", ")),ISNUMBER(SEARCH(", "&amp;$B339&amp;", ", ", "&amp;INDEX('Form Responses'!$R$1:$R$200,9)&amp;", "))),1,""))</f>
        <v/>
      </c>
      <c r="L339">
        <f>IF(Wizards!$A$10="","",IF(OR(ISNUMBER(SEARCH(", "&amp;$B339&amp;", ", ", "&amp;INDEX('Form Responses'!$I$1:$Q$200,10,$A339)&amp;", ")),ISNUMBER(SEARCH(", "&amp;$B339&amp;", ", ", "&amp;INDEX('Form Responses'!$R$1:$R$200,10)&amp;", "))),1,""))</f>
        <v/>
      </c>
      <c r="M339">
        <f>IF(Wizards!$A$11="","",IF(OR(ISNUMBER(SEARCH(", "&amp;$B339&amp;", ", ", "&amp;INDEX('Form Responses'!$I$1:$Q$200,11,$A339)&amp;", ")),ISNUMBER(SEARCH(", "&amp;$B339&amp;", ", ", "&amp;INDEX('Form Responses'!$R$1:$R$200,11)&amp;", "))),1,""))</f>
        <v/>
      </c>
      <c r="N339">
        <f>IF(Wizards!$A$12="","",IF(OR(ISNUMBER(SEARCH(", "&amp;$B339&amp;", ", ", "&amp;INDEX('Form Responses'!$I$1:$Q$200,12,$A339)&amp;", ")),ISNUMBER(SEARCH(", "&amp;$B339&amp;", ", ", "&amp;INDEX('Form Responses'!$R$1:$R$200,12)&amp;", "))),1,""))</f>
        <v/>
      </c>
      <c r="O339">
        <f>IF(Wizards!$A$13="","",IF(OR(ISNUMBER(SEARCH(", "&amp;$B339&amp;", ", ", "&amp;INDEX('Form Responses'!$I$1:$Q$200,13,$A339)&amp;", ")),ISNUMBER(SEARCH(", "&amp;$B339&amp;", ", ", "&amp;INDEX('Form Responses'!$R$1:$R$200,13)&amp;", "))),1,""))</f>
        <v/>
      </c>
      <c r="P339">
        <f>IF(Wizards!$A$14="","",IF(OR(ISNUMBER(SEARCH(", "&amp;$B339&amp;", ", ", "&amp;INDEX('Form Responses'!$I$1:$Q$200,14,$A339)&amp;", ")),ISNUMBER(SEARCH(", "&amp;$B339&amp;", ", ", "&amp;INDEX('Form Responses'!$R$1:$R$200,14)&amp;", "))),1,""))</f>
        <v/>
      </c>
      <c r="Q339">
        <f>IF(Wizards!$A$15="","",IF(OR(ISNUMBER(SEARCH(", "&amp;$B339&amp;", ", ", "&amp;INDEX('Form Responses'!$I$1:$Q$200,15,$A339)&amp;", ")),ISNUMBER(SEARCH(", "&amp;$B339&amp;", ", ", "&amp;INDEX('Form Responses'!$R$1:$R$200,15)&amp;", "))),1,""))</f>
        <v/>
      </c>
      <c r="R339">
        <f>IF(Wizards!$A$16="","",IF(OR(ISNUMBER(SEARCH(", "&amp;$B339&amp;", ", ", "&amp;INDEX('Form Responses'!$I$1:$Q$200,16,$A339)&amp;", ")),ISNUMBER(SEARCH(", "&amp;$B339&amp;", ", ", "&amp;INDEX('Form Responses'!$R$1:$R$200,16)&amp;", "))),1,""))</f>
        <v/>
      </c>
      <c r="S339">
        <f>IF(Wizards!$A$17="","",IF(OR(ISNUMBER(SEARCH(", "&amp;$B339&amp;", ", ", "&amp;INDEX('Form Responses'!$I$1:$Q$200,17,$A339)&amp;", ")),ISNUMBER(SEARCH(", "&amp;$B339&amp;", ", ", "&amp;INDEX('Form Responses'!$R$1:$R$200,17)&amp;", "))),1,""))</f>
        <v/>
      </c>
      <c r="T339">
        <f>IF(Wizards!$A$18="","",IF(OR(ISNUMBER(SEARCH(", "&amp;$B339&amp;", ", ", "&amp;INDEX('Form Responses'!$I$1:$Q$200,18,$A339)&amp;", ")),ISNUMBER(SEARCH(", "&amp;$B339&amp;", ", ", "&amp;INDEX('Form Responses'!$R$1:$R$200,18)&amp;", "))),1,""))</f>
        <v/>
      </c>
      <c r="U339">
        <f>IF(Wizards!$A$19="","",IF(OR(ISNUMBER(SEARCH(", "&amp;$B339&amp;", ", ", "&amp;INDEX('Form Responses'!$I$1:$Q$200,19,$A339)&amp;", ")),ISNUMBER(SEARCH(", "&amp;$B339&amp;", ", ", "&amp;INDEX('Form Responses'!$R$1:$R$200,19)&amp;", "))),1,""))</f>
        <v/>
      </c>
      <c r="V339">
        <f>IF(Wizards!$A$20="","",IF(OR(ISNUMBER(SEARCH(", "&amp;$B339&amp;", ", ", "&amp;INDEX('Form Responses'!$I$1:$Q$200,20,$A339)&amp;", ")),ISNUMBER(SEARCH(", "&amp;$B339&amp;", ", ", "&amp;INDEX('Form Responses'!$R$1:$R$200,20)&amp;", "))),1,""))</f>
        <v/>
      </c>
      <c r="W339">
        <f>IF(Wizards!$A$21="","",IF(OR(ISNUMBER(SEARCH(", "&amp;$B339&amp;", ", ", "&amp;INDEX('Form Responses'!$I$1:$Q$200,21,$A339)&amp;", ")),ISNUMBER(SEARCH(", "&amp;$B339&amp;", ", ", "&amp;INDEX('Form Responses'!$R$1:$R$200,21)&amp;", "))),1,""))</f>
        <v/>
      </c>
      <c r="X339">
        <f>IF(Wizards!$A$22="","",IF(OR(ISNUMBER(SEARCH(", "&amp;$B339&amp;", ", ", "&amp;INDEX('Form Responses'!$I$1:$Q$200,22,$A339)&amp;", ")),ISNUMBER(SEARCH(", "&amp;$B339&amp;", ", ", "&amp;INDEX('Form Responses'!$R$1:$R$200,22)&amp;", "))),1,""))</f>
        <v/>
      </c>
      <c r="Y339">
        <f>IF(Wizards!$A$23="","",IF(OR(ISNUMBER(SEARCH(", "&amp;$B339&amp;", ", ", "&amp;INDEX('Form Responses'!$I$1:$Q$200,23,$A339)&amp;", ")),ISNUMBER(SEARCH(", "&amp;$B339&amp;", ", ", "&amp;INDEX('Form Responses'!$R$1:$R$200,23)&amp;", "))),1,""))</f>
        <v/>
      </c>
      <c r="Z339">
        <f>IF(Wizards!$A$24="","",IF(OR(ISNUMBER(SEARCH(", "&amp;$B339&amp;", ", ", "&amp;INDEX('Form Responses'!$I$1:$Q$200,24,$A339)&amp;", ")),ISNUMBER(SEARCH(", "&amp;$B339&amp;", ", ", "&amp;INDEX('Form Responses'!$R$1:$R$200,24)&amp;", "))),1,""))</f>
        <v/>
      </c>
      <c r="AA339">
        <f>IF(Wizards!$A$25="","",IF(OR(ISNUMBER(SEARCH(", "&amp;$B339&amp;", ", ", "&amp;INDEX('Form Responses'!$I$1:$Q$200,25,$A339)&amp;", ")),ISNUMBER(SEARCH(", "&amp;$B339&amp;", ", ", "&amp;INDEX('Form Responses'!$R$1:$R$200,25)&amp;", "))),1,""))</f>
        <v/>
      </c>
      <c r="AB339">
        <f>IF(D339=1,", "&amp;D$1,"")</f>
        <v/>
      </c>
      <c r="AC339">
        <f>IF(E339=1,", "&amp;E$1,"")</f>
        <v/>
      </c>
      <c r="AD339">
        <f>IF(F339=1,", "&amp;F$1,"")</f>
        <v/>
      </c>
      <c r="AE339">
        <f>IF(G339=1,", "&amp;G$1,"")</f>
        <v/>
      </c>
      <c r="AF339">
        <f>IF(H339=1,", "&amp;H$1,"")</f>
        <v/>
      </c>
      <c r="AG339">
        <f>IF(I339=1,", "&amp;I$1,"")</f>
        <v/>
      </c>
      <c r="AH339">
        <f>IF(J339=1,", "&amp;J$1,"")</f>
        <v/>
      </c>
      <c r="AI339">
        <f>IF(K339=1,", "&amp;K$1,"")</f>
        <v/>
      </c>
      <c r="AJ339">
        <f>IF(L339=1,", "&amp;L$1,"")</f>
        <v/>
      </c>
      <c r="AK339">
        <f>IF(M339=1,", "&amp;M$1,"")</f>
        <v/>
      </c>
      <c r="AL339">
        <f>IF(N339=1,", "&amp;N$1,"")</f>
        <v/>
      </c>
      <c r="AM339">
        <f>IF(O339=1,", "&amp;O$1,"")</f>
        <v/>
      </c>
      <c r="AN339">
        <f>IF(P339=1,", "&amp;P$1,"")</f>
        <v/>
      </c>
      <c r="AO339">
        <f>IF(Q339=1,", "&amp;Q$1,"")</f>
        <v/>
      </c>
      <c r="AP339">
        <f>IF(R339=1,", "&amp;R$1,"")</f>
        <v/>
      </c>
      <c r="AQ339">
        <f>IF(S339=1,", "&amp;S$1,"")</f>
        <v/>
      </c>
      <c r="AR339">
        <f>IF(T339=1,", "&amp;T$1,"")</f>
        <v/>
      </c>
      <c r="AS339">
        <f>IF(U339=1,", "&amp;U$1,"")</f>
        <v/>
      </c>
      <c r="AT339">
        <f>IF(V339=1,", "&amp;V$1,"")</f>
        <v/>
      </c>
      <c r="AU339">
        <f>IF(W339=1,", "&amp;W$1,"")</f>
        <v/>
      </c>
      <c r="AV339">
        <f>IF(X339=1,", "&amp;X$1,"")</f>
        <v/>
      </c>
      <c r="AW339">
        <f>IF(Y339=1,", "&amp;Y$1,"")</f>
        <v/>
      </c>
      <c r="AX339">
        <f>IF(Z339=1,", "&amp;Z$1,"")</f>
        <v/>
      </c>
      <c r="AY339">
        <f>IF(AA339=1,", "&amp;AA$1,"")</f>
        <v/>
      </c>
      <c r="AZ339">
        <f>MID($AB339&amp;$AC339&amp;$AD339&amp;$AE339&amp;$AF339&amp;$AG339&amp;$AH339&amp;$AI339&amp;$AJ339&amp;$AK339&amp;$AL339&amp;$AM339&amp;$AN339&amp;$AO339&amp;$AP339&amp;$AQ339&amp;$AR339&amp;$AS339&amp;$AT339&amp;$AU339&amp;$AV339&amp;$AW339&amp;$AX339&amp;$AY339,3,32767)</f>
        <v/>
      </c>
      <c r="BA339">
        <f>COUNT($D339:$AA339)</f>
        <v/>
      </c>
    </row>
    <row r="340">
      <c r="A340" t="n">
        <v>9</v>
      </c>
      <c r="B340" t="inlineStr">
        <is>
          <t>Mass Polymorph</t>
        </is>
      </c>
      <c r="C340" t="inlineStr">
        <is>
          <t>Transmutation</t>
        </is>
      </c>
      <c r="D340">
        <f>IF(Wizards!$A$2="","",IF(OR(ISNUMBER(SEARCH(", "&amp;$B340&amp;", ", ", "&amp;INDEX('Form Responses'!$I$1:$Q$200,2,$A340)&amp;", ")),ISNUMBER(SEARCH(", "&amp;$B340&amp;", ", ", "&amp;INDEX('Form Responses'!$R$1:$R$200,2)&amp;", "))),1,""))</f>
        <v/>
      </c>
      <c r="E340">
        <f>IF(Wizards!$A$3="","",IF(OR(ISNUMBER(SEARCH(", "&amp;$B340&amp;", ", ", "&amp;INDEX('Form Responses'!$I$1:$Q$200,3,$A340)&amp;", ")),ISNUMBER(SEARCH(", "&amp;$B340&amp;", ", ", "&amp;INDEX('Form Responses'!$R$1:$R$200,3)&amp;", "))),1,""))</f>
        <v/>
      </c>
      <c r="F340">
        <f>IF(Wizards!$A$4="","",IF(OR(ISNUMBER(SEARCH(", "&amp;$B340&amp;", ", ", "&amp;INDEX('Form Responses'!$I$1:$Q$200,4,$A340)&amp;", ")),ISNUMBER(SEARCH(", "&amp;$B340&amp;", ", ", "&amp;INDEX('Form Responses'!$R$1:$R$200,4)&amp;", "))),1,""))</f>
        <v/>
      </c>
      <c r="G340">
        <f>IF(Wizards!$A$5="","",IF(OR(ISNUMBER(SEARCH(", "&amp;$B340&amp;", ", ", "&amp;INDEX('Form Responses'!$I$1:$Q$200,5,$A340)&amp;", ")),ISNUMBER(SEARCH(", "&amp;$B340&amp;", ", ", "&amp;INDEX('Form Responses'!$R$1:$R$200,5)&amp;", "))),1,""))</f>
        <v/>
      </c>
      <c r="H340">
        <f>IF(Wizards!$A$6="","",IF(OR(ISNUMBER(SEARCH(", "&amp;$B340&amp;", ", ", "&amp;INDEX('Form Responses'!$I$1:$Q$200,6,$A340)&amp;", ")),ISNUMBER(SEARCH(", "&amp;$B340&amp;", ", ", "&amp;INDEX('Form Responses'!$R$1:$R$200,6)&amp;", "))),1,""))</f>
        <v/>
      </c>
      <c r="I340">
        <f>IF(Wizards!$A$7="","",IF(OR(ISNUMBER(SEARCH(", "&amp;$B340&amp;", ", ", "&amp;INDEX('Form Responses'!$I$1:$Q$200,7,$A340)&amp;", ")),ISNUMBER(SEARCH(", "&amp;$B340&amp;", ", ", "&amp;INDEX('Form Responses'!$R$1:$R$200,7)&amp;", "))),1,""))</f>
        <v/>
      </c>
      <c r="J340">
        <f>IF(Wizards!$A$8="","",IF(OR(ISNUMBER(SEARCH(", "&amp;$B340&amp;", ", ", "&amp;INDEX('Form Responses'!$I$1:$Q$200,8,$A340)&amp;", ")),ISNUMBER(SEARCH(", "&amp;$B340&amp;", ", ", "&amp;INDEX('Form Responses'!$R$1:$R$200,8)&amp;", "))),1,""))</f>
        <v/>
      </c>
      <c r="K340">
        <f>IF(Wizards!$A$9="","",IF(OR(ISNUMBER(SEARCH(", "&amp;$B340&amp;", ", ", "&amp;INDEX('Form Responses'!$I$1:$Q$200,9,$A340)&amp;", ")),ISNUMBER(SEARCH(", "&amp;$B340&amp;", ", ", "&amp;INDEX('Form Responses'!$R$1:$R$200,9)&amp;", "))),1,""))</f>
        <v/>
      </c>
      <c r="L340">
        <f>IF(Wizards!$A$10="","",IF(OR(ISNUMBER(SEARCH(", "&amp;$B340&amp;", ", ", "&amp;INDEX('Form Responses'!$I$1:$Q$200,10,$A340)&amp;", ")),ISNUMBER(SEARCH(", "&amp;$B340&amp;", ", ", "&amp;INDEX('Form Responses'!$R$1:$R$200,10)&amp;", "))),1,""))</f>
        <v/>
      </c>
      <c r="M340">
        <f>IF(Wizards!$A$11="","",IF(OR(ISNUMBER(SEARCH(", "&amp;$B340&amp;", ", ", "&amp;INDEX('Form Responses'!$I$1:$Q$200,11,$A340)&amp;", ")),ISNUMBER(SEARCH(", "&amp;$B340&amp;", ", ", "&amp;INDEX('Form Responses'!$R$1:$R$200,11)&amp;", "))),1,""))</f>
        <v/>
      </c>
      <c r="N340">
        <f>IF(Wizards!$A$12="","",IF(OR(ISNUMBER(SEARCH(", "&amp;$B340&amp;", ", ", "&amp;INDEX('Form Responses'!$I$1:$Q$200,12,$A340)&amp;", ")),ISNUMBER(SEARCH(", "&amp;$B340&amp;", ", ", "&amp;INDEX('Form Responses'!$R$1:$R$200,12)&amp;", "))),1,""))</f>
        <v/>
      </c>
      <c r="O340">
        <f>IF(Wizards!$A$13="","",IF(OR(ISNUMBER(SEARCH(", "&amp;$B340&amp;", ", ", "&amp;INDEX('Form Responses'!$I$1:$Q$200,13,$A340)&amp;", ")),ISNUMBER(SEARCH(", "&amp;$B340&amp;", ", ", "&amp;INDEX('Form Responses'!$R$1:$R$200,13)&amp;", "))),1,""))</f>
        <v/>
      </c>
      <c r="P340">
        <f>IF(Wizards!$A$14="","",IF(OR(ISNUMBER(SEARCH(", "&amp;$B340&amp;", ", ", "&amp;INDEX('Form Responses'!$I$1:$Q$200,14,$A340)&amp;", ")),ISNUMBER(SEARCH(", "&amp;$B340&amp;", ", ", "&amp;INDEX('Form Responses'!$R$1:$R$200,14)&amp;", "))),1,""))</f>
        <v/>
      </c>
      <c r="Q340">
        <f>IF(Wizards!$A$15="","",IF(OR(ISNUMBER(SEARCH(", "&amp;$B340&amp;", ", ", "&amp;INDEX('Form Responses'!$I$1:$Q$200,15,$A340)&amp;", ")),ISNUMBER(SEARCH(", "&amp;$B340&amp;", ", ", "&amp;INDEX('Form Responses'!$R$1:$R$200,15)&amp;", "))),1,""))</f>
        <v/>
      </c>
      <c r="R340">
        <f>IF(Wizards!$A$16="","",IF(OR(ISNUMBER(SEARCH(", "&amp;$B340&amp;", ", ", "&amp;INDEX('Form Responses'!$I$1:$Q$200,16,$A340)&amp;", ")),ISNUMBER(SEARCH(", "&amp;$B340&amp;", ", ", "&amp;INDEX('Form Responses'!$R$1:$R$200,16)&amp;", "))),1,""))</f>
        <v/>
      </c>
      <c r="S340">
        <f>IF(Wizards!$A$17="","",IF(OR(ISNUMBER(SEARCH(", "&amp;$B340&amp;", ", ", "&amp;INDEX('Form Responses'!$I$1:$Q$200,17,$A340)&amp;", ")),ISNUMBER(SEARCH(", "&amp;$B340&amp;", ", ", "&amp;INDEX('Form Responses'!$R$1:$R$200,17)&amp;", "))),1,""))</f>
        <v/>
      </c>
      <c r="T340">
        <f>IF(Wizards!$A$18="","",IF(OR(ISNUMBER(SEARCH(", "&amp;$B340&amp;", ", ", "&amp;INDEX('Form Responses'!$I$1:$Q$200,18,$A340)&amp;", ")),ISNUMBER(SEARCH(", "&amp;$B340&amp;", ", ", "&amp;INDEX('Form Responses'!$R$1:$R$200,18)&amp;", "))),1,""))</f>
        <v/>
      </c>
      <c r="U340">
        <f>IF(Wizards!$A$19="","",IF(OR(ISNUMBER(SEARCH(", "&amp;$B340&amp;", ", ", "&amp;INDEX('Form Responses'!$I$1:$Q$200,19,$A340)&amp;", ")),ISNUMBER(SEARCH(", "&amp;$B340&amp;", ", ", "&amp;INDEX('Form Responses'!$R$1:$R$200,19)&amp;", "))),1,""))</f>
        <v/>
      </c>
      <c r="V340">
        <f>IF(Wizards!$A$20="","",IF(OR(ISNUMBER(SEARCH(", "&amp;$B340&amp;", ", ", "&amp;INDEX('Form Responses'!$I$1:$Q$200,20,$A340)&amp;", ")),ISNUMBER(SEARCH(", "&amp;$B340&amp;", ", ", "&amp;INDEX('Form Responses'!$R$1:$R$200,20)&amp;", "))),1,""))</f>
        <v/>
      </c>
      <c r="W340">
        <f>IF(Wizards!$A$21="","",IF(OR(ISNUMBER(SEARCH(", "&amp;$B340&amp;", ", ", "&amp;INDEX('Form Responses'!$I$1:$Q$200,21,$A340)&amp;", ")),ISNUMBER(SEARCH(", "&amp;$B340&amp;", ", ", "&amp;INDEX('Form Responses'!$R$1:$R$200,21)&amp;", "))),1,""))</f>
        <v/>
      </c>
      <c r="X340">
        <f>IF(Wizards!$A$22="","",IF(OR(ISNUMBER(SEARCH(", "&amp;$B340&amp;", ", ", "&amp;INDEX('Form Responses'!$I$1:$Q$200,22,$A340)&amp;", ")),ISNUMBER(SEARCH(", "&amp;$B340&amp;", ", ", "&amp;INDEX('Form Responses'!$R$1:$R$200,22)&amp;", "))),1,""))</f>
        <v/>
      </c>
      <c r="Y340">
        <f>IF(Wizards!$A$23="","",IF(OR(ISNUMBER(SEARCH(", "&amp;$B340&amp;", ", ", "&amp;INDEX('Form Responses'!$I$1:$Q$200,23,$A340)&amp;", ")),ISNUMBER(SEARCH(", "&amp;$B340&amp;", ", ", "&amp;INDEX('Form Responses'!$R$1:$R$200,23)&amp;", "))),1,""))</f>
        <v/>
      </c>
      <c r="Z340">
        <f>IF(Wizards!$A$24="","",IF(OR(ISNUMBER(SEARCH(", "&amp;$B340&amp;", ", ", "&amp;INDEX('Form Responses'!$I$1:$Q$200,24,$A340)&amp;", ")),ISNUMBER(SEARCH(", "&amp;$B340&amp;", ", ", "&amp;INDEX('Form Responses'!$R$1:$R$200,24)&amp;", "))),1,""))</f>
        <v/>
      </c>
      <c r="AA340">
        <f>IF(Wizards!$A$25="","",IF(OR(ISNUMBER(SEARCH(", "&amp;$B340&amp;", ", ", "&amp;INDEX('Form Responses'!$I$1:$Q$200,25,$A340)&amp;", ")),ISNUMBER(SEARCH(", "&amp;$B340&amp;", ", ", "&amp;INDEX('Form Responses'!$R$1:$R$200,25)&amp;", "))),1,""))</f>
        <v/>
      </c>
      <c r="AB340">
        <f>IF(D340=1,", "&amp;D$1,"")</f>
        <v/>
      </c>
      <c r="AC340">
        <f>IF(E340=1,", "&amp;E$1,"")</f>
        <v/>
      </c>
      <c r="AD340">
        <f>IF(F340=1,", "&amp;F$1,"")</f>
        <v/>
      </c>
      <c r="AE340">
        <f>IF(G340=1,", "&amp;G$1,"")</f>
        <v/>
      </c>
      <c r="AF340">
        <f>IF(H340=1,", "&amp;H$1,"")</f>
        <v/>
      </c>
      <c r="AG340">
        <f>IF(I340=1,", "&amp;I$1,"")</f>
        <v/>
      </c>
      <c r="AH340">
        <f>IF(J340=1,", "&amp;J$1,"")</f>
        <v/>
      </c>
      <c r="AI340">
        <f>IF(K340=1,", "&amp;K$1,"")</f>
        <v/>
      </c>
      <c r="AJ340">
        <f>IF(L340=1,", "&amp;L$1,"")</f>
        <v/>
      </c>
      <c r="AK340">
        <f>IF(M340=1,", "&amp;M$1,"")</f>
        <v/>
      </c>
      <c r="AL340">
        <f>IF(N340=1,", "&amp;N$1,"")</f>
        <v/>
      </c>
      <c r="AM340">
        <f>IF(O340=1,", "&amp;O$1,"")</f>
        <v/>
      </c>
      <c r="AN340">
        <f>IF(P340=1,", "&amp;P$1,"")</f>
        <v/>
      </c>
      <c r="AO340">
        <f>IF(Q340=1,", "&amp;Q$1,"")</f>
        <v/>
      </c>
      <c r="AP340">
        <f>IF(R340=1,", "&amp;R$1,"")</f>
        <v/>
      </c>
      <c r="AQ340">
        <f>IF(S340=1,", "&amp;S$1,"")</f>
        <v/>
      </c>
      <c r="AR340">
        <f>IF(T340=1,", "&amp;T$1,"")</f>
        <v/>
      </c>
      <c r="AS340">
        <f>IF(U340=1,", "&amp;U$1,"")</f>
        <v/>
      </c>
      <c r="AT340">
        <f>IF(V340=1,", "&amp;V$1,"")</f>
        <v/>
      </c>
      <c r="AU340">
        <f>IF(W340=1,", "&amp;W$1,"")</f>
        <v/>
      </c>
      <c r="AV340">
        <f>IF(X340=1,", "&amp;X$1,"")</f>
        <v/>
      </c>
      <c r="AW340">
        <f>IF(Y340=1,", "&amp;Y$1,"")</f>
        <v/>
      </c>
      <c r="AX340">
        <f>IF(Z340=1,", "&amp;Z$1,"")</f>
        <v/>
      </c>
      <c r="AY340">
        <f>IF(AA340=1,", "&amp;AA$1,"")</f>
        <v/>
      </c>
      <c r="AZ340">
        <f>MID($AB340&amp;$AC340&amp;$AD340&amp;$AE340&amp;$AF340&amp;$AG340&amp;$AH340&amp;$AI340&amp;$AJ340&amp;$AK340&amp;$AL340&amp;$AM340&amp;$AN340&amp;$AO340&amp;$AP340&amp;$AQ340&amp;$AR340&amp;$AS340&amp;$AT340&amp;$AU340&amp;$AV340&amp;$AW340&amp;$AX340&amp;$AY340,3,32767)</f>
        <v/>
      </c>
      <c r="BA340">
        <f>COUNT($D340:$AA340)</f>
        <v/>
      </c>
    </row>
    <row r="341">
      <c r="A341" t="n">
        <v>9</v>
      </c>
      <c r="B341" t="inlineStr">
        <is>
          <t>Meteor Swarm</t>
        </is>
      </c>
      <c r="C341" t="inlineStr">
        <is>
          <t>Evocation</t>
        </is>
      </c>
      <c r="D341">
        <f>IF(Wizards!$A$2="","",IF(OR(ISNUMBER(SEARCH(", "&amp;$B341&amp;", ", ", "&amp;INDEX('Form Responses'!$I$1:$Q$200,2,$A341)&amp;", ")),ISNUMBER(SEARCH(", "&amp;$B341&amp;", ", ", "&amp;INDEX('Form Responses'!$R$1:$R$200,2)&amp;", "))),1,""))</f>
        <v/>
      </c>
      <c r="E341">
        <f>IF(Wizards!$A$3="","",IF(OR(ISNUMBER(SEARCH(", "&amp;$B341&amp;", ", ", "&amp;INDEX('Form Responses'!$I$1:$Q$200,3,$A341)&amp;", ")),ISNUMBER(SEARCH(", "&amp;$B341&amp;", ", ", "&amp;INDEX('Form Responses'!$R$1:$R$200,3)&amp;", "))),1,""))</f>
        <v/>
      </c>
      <c r="F341">
        <f>IF(Wizards!$A$4="","",IF(OR(ISNUMBER(SEARCH(", "&amp;$B341&amp;", ", ", "&amp;INDEX('Form Responses'!$I$1:$Q$200,4,$A341)&amp;", ")),ISNUMBER(SEARCH(", "&amp;$B341&amp;", ", ", "&amp;INDEX('Form Responses'!$R$1:$R$200,4)&amp;", "))),1,""))</f>
        <v/>
      </c>
      <c r="G341">
        <f>IF(Wizards!$A$5="","",IF(OR(ISNUMBER(SEARCH(", "&amp;$B341&amp;", ", ", "&amp;INDEX('Form Responses'!$I$1:$Q$200,5,$A341)&amp;", ")),ISNUMBER(SEARCH(", "&amp;$B341&amp;", ", ", "&amp;INDEX('Form Responses'!$R$1:$R$200,5)&amp;", "))),1,""))</f>
        <v/>
      </c>
      <c r="H341">
        <f>IF(Wizards!$A$6="","",IF(OR(ISNUMBER(SEARCH(", "&amp;$B341&amp;", ", ", "&amp;INDEX('Form Responses'!$I$1:$Q$200,6,$A341)&amp;", ")),ISNUMBER(SEARCH(", "&amp;$B341&amp;", ", ", "&amp;INDEX('Form Responses'!$R$1:$R$200,6)&amp;", "))),1,""))</f>
        <v/>
      </c>
      <c r="I341">
        <f>IF(Wizards!$A$7="","",IF(OR(ISNUMBER(SEARCH(", "&amp;$B341&amp;", ", ", "&amp;INDEX('Form Responses'!$I$1:$Q$200,7,$A341)&amp;", ")),ISNUMBER(SEARCH(", "&amp;$B341&amp;", ", ", "&amp;INDEX('Form Responses'!$R$1:$R$200,7)&amp;", "))),1,""))</f>
        <v/>
      </c>
      <c r="J341">
        <f>IF(Wizards!$A$8="","",IF(OR(ISNUMBER(SEARCH(", "&amp;$B341&amp;", ", ", "&amp;INDEX('Form Responses'!$I$1:$Q$200,8,$A341)&amp;", ")),ISNUMBER(SEARCH(", "&amp;$B341&amp;", ", ", "&amp;INDEX('Form Responses'!$R$1:$R$200,8)&amp;", "))),1,""))</f>
        <v/>
      </c>
      <c r="K341">
        <f>IF(Wizards!$A$9="","",IF(OR(ISNUMBER(SEARCH(", "&amp;$B341&amp;", ", ", "&amp;INDEX('Form Responses'!$I$1:$Q$200,9,$A341)&amp;", ")),ISNUMBER(SEARCH(", "&amp;$B341&amp;", ", ", "&amp;INDEX('Form Responses'!$R$1:$R$200,9)&amp;", "))),1,""))</f>
        <v/>
      </c>
      <c r="L341">
        <f>IF(Wizards!$A$10="","",IF(OR(ISNUMBER(SEARCH(", "&amp;$B341&amp;", ", ", "&amp;INDEX('Form Responses'!$I$1:$Q$200,10,$A341)&amp;", ")),ISNUMBER(SEARCH(", "&amp;$B341&amp;", ", ", "&amp;INDEX('Form Responses'!$R$1:$R$200,10)&amp;", "))),1,""))</f>
        <v/>
      </c>
      <c r="M341">
        <f>IF(Wizards!$A$11="","",IF(OR(ISNUMBER(SEARCH(", "&amp;$B341&amp;", ", ", "&amp;INDEX('Form Responses'!$I$1:$Q$200,11,$A341)&amp;", ")),ISNUMBER(SEARCH(", "&amp;$B341&amp;", ", ", "&amp;INDEX('Form Responses'!$R$1:$R$200,11)&amp;", "))),1,""))</f>
        <v/>
      </c>
      <c r="N341">
        <f>IF(Wizards!$A$12="","",IF(OR(ISNUMBER(SEARCH(", "&amp;$B341&amp;", ", ", "&amp;INDEX('Form Responses'!$I$1:$Q$200,12,$A341)&amp;", ")),ISNUMBER(SEARCH(", "&amp;$B341&amp;", ", ", "&amp;INDEX('Form Responses'!$R$1:$R$200,12)&amp;", "))),1,""))</f>
        <v/>
      </c>
      <c r="O341">
        <f>IF(Wizards!$A$13="","",IF(OR(ISNUMBER(SEARCH(", "&amp;$B341&amp;", ", ", "&amp;INDEX('Form Responses'!$I$1:$Q$200,13,$A341)&amp;", ")),ISNUMBER(SEARCH(", "&amp;$B341&amp;", ", ", "&amp;INDEX('Form Responses'!$R$1:$R$200,13)&amp;", "))),1,""))</f>
        <v/>
      </c>
      <c r="P341">
        <f>IF(Wizards!$A$14="","",IF(OR(ISNUMBER(SEARCH(", "&amp;$B341&amp;", ", ", "&amp;INDEX('Form Responses'!$I$1:$Q$200,14,$A341)&amp;", ")),ISNUMBER(SEARCH(", "&amp;$B341&amp;", ", ", "&amp;INDEX('Form Responses'!$R$1:$R$200,14)&amp;", "))),1,""))</f>
        <v/>
      </c>
      <c r="Q341">
        <f>IF(Wizards!$A$15="","",IF(OR(ISNUMBER(SEARCH(", "&amp;$B341&amp;", ", ", "&amp;INDEX('Form Responses'!$I$1:$Q$200,15,$A341)&amp;", ")),ISNUMBER(SEARCH(", "&amp;$B341&amp;", ", ", "&amp;INDEX('Form Responses'!$R$1:$R$200,15)&amp;", "))),1,""))</f>
        <v/>
      </c>
      <c r="R341">
        <f>IF(Wizards!$A$16="","",IF(OR(ISNUMBER(SEARCH(", "&amp;$B341&amp;", ", ", "&amp;INDEX('Form Responses'!$I$1:$Q$200,16,$A341)&amp;", ")),ISNUMBER(SEARCH(", "&amp;$B341&amp;", ", ", "&amp;INDEX('Form Responses'!$R$1:$R$200,16)&amp;", "))),1,""))</f>
        <v/>
      </c>
      <c r="S341">
        <f>IF(Wizards!$A$17="","",IF(OR(ISNUMBER(SEARCH(", "&amp;$B341&amp;", ", ", "&amp;INDEX('Form Responses'!$I$1:$Q$200,17,$A341)&amp;", ")),ISNUMBER(SEARCH(", "&amp;$B341&amp;", ", ", "&amp;INDEX('Form Responses'!$R$1:$R$200,17)&amp;", "))),1,""))</f>
        <v/>
      </c>
      <c r="T341">
        <f>IF(Wizards!$A$18="","",IF(OR(ISNUMBER(SEARCH(", "&amp;$B341&amp;", ", ", "&amp;INDEX('Form Responses'!$I$1:$Q$200,18,$A341)&amp;", ")),ISNUMBER(SEARCH(", "&amp;$B341&amp;", ", ", "&amp;INDEX('Form Responses'!$R$1:$R$200,18)&amp;", "))),1,""))</f>
        <v/>
      </c>
      <c r="U341">
        <f>IF(Wizards!$A$19="","",IF(OR(ISNUMBER(SEARCH(", "&amp;$B341&amp;", ", ", "&amp;INDEX('Form Responses'!$I$1:$Q$200,19,$A341)&amp;", ")),ISNUMBER(SEARCH(", "&amp;$B341&amp;", ", ", "&amp;INDEX('Form Responses'!$R$1:$R$200,19)&amp;", "))),1,""))</f>
        <v/>
      </c>
      <c r="V341">
        <f>IF(Wizards!$A$20="","",IF(OR(ISNUMBER(SEARCH(", "&amp;$B341&amp;", ", ", "&amp;INDEX('Form Responses'!$I$1:$Q$200,20,$A341)&amp;", ")),ISNUMBER(SEARCH(", "&amp;$B341&amp;", ", ", "&amp;INDEX('Form Responses'!$R$1:$R$200,20)&amp;", "))),1,""))</f>
        <v/>
      </c>
      <c r="W341">
        <f>IF(Wizards!$A$21="","",IF(OR(ISNUMBER(SEARCH(", "&amp;$B341&amp;", ", ", "&amp;INDEX('Form Responses'!$I$1:$Q$200,21,$A341)&amp;", ")),ISNUMBER(SEARCH(", "&amp;$B341&amp;", ", ", "&amp;INDEX('Form Responses'!$R$1:$R$200,21)&amp;", "))),1,""))</f>
        <v/>
      </c>
      <c r="X341">
        <f>IF(Wizards!$A$22="","",IF(OR(ISNUMBER(SEARCH(", "&amp;$B341&amp;", ", ", "&amp;INDEX('Form Responses'!$I$1:$Q$200,22,$A341)&amp;", ")),ISNUMBER(SEARCH(", "&amp;$B341&amp;", ", ", "&amp;INDEX('Form Responses'!$R$1:$R$200,22)&amp;", "))),1,""))</f>
        <v/>
      </c>
      <c r="Y341">
        <f>IF(Wizards!$A$23="","",IF(OR(ISNUMBER(SEARCH(", "&amp;$B341&amp;", ", ", "&amp;INDEX('Form Responses'!$I$1:$Q$200,23,$A341)&amp;", ")),ISNUMBER(SEARCH(", "&amp;$B341&amp;", ", ", "&amp;INDEX('Form Responses'!$R$1:$R$200,23)&amp;", "))),1,""))</f>
        <v/>
      </c>
      <c r="Z341">
        <f>IF(Wizards!$A$24="","",IF(OR(ISNUMBER(SEARCH(", "&amp;$B341&amp;", ", ", "&amp;INDEX('Form Responses'!$I$1:$Q$200,24,$A341)&amp;", ")),ISNUMBER(SEARCH(", "&amp;$B341&amp;", ", ", "&amp;INDEX('Form Responses'!$R$1:$R$200,24)&amp;", "))),1,""))</f>
        <v/>
      </c>
      <c r="AA341">
        <f>IF(Wizards!$A$25="","",IF(OR(ISNUMBER(SEARCH(", "&amp;$B341&amp;", ", ", "&amp;INDEX('Form Responses'!$I$1:$Q$200,25,$A341)&amp;", ")),ISNUMBER(SEARCH(", "&amp;$B341&amp;", ", ", "&amp;INDEX('Form Responses'!$R$1:$R$200,25)&amp;", "))),1,""))</f>
        <v/>
      </c>
      <c r="AB341">
        <f>IF(D341=1,", "&amp;D$1,"")</f>
        <v/>
      </c>
      <c r="AC341">
        <f>IF(E341=1,", "&amp;E$1,"")</f>
        <v/>
      </c>
      <c r="AD341">
        <f>IF(F341=1,", "&amp;F$1,"")</f>
        <v/>
      </c>
      <c r="AE341">
        <f>IF(G341=1,", "&amp;G$1,"")</f>
        <v/>
      </c>
      <c r="AF341">
        <f>IF(H341=1,", "&amp;H$1,"")</f>
        <v/>
      </c>
      <c r="AG341">
        <f>IF(I341=1,", "&amp;I$1,"")</f>
        <v/>
      </c>
      <c r="AH341">
        <f>IF(J341=1,", "&amp;J$1,"")</f>
        <v/>
      </c>
      <c r="AI341">
        <f>IF(K341=1,", "&amp;K$1,"")</f>
        <v/>
      </c>
      <c r="AJ341">
        <f>IF(L341=1,", "&amp;L$1,"")</f>
        <v/>
      </c>
      <c r="AK341">
        <f>IF(M341=1,", "&amp;M$1,"")</f>
        <v/>
      </c>
      <c r="AL341">
        <f>IF(N341=1,", "&amp;N$1,"")</f>
        <v/>
      </c>
      <c r="AM341">
        <f>IF(O341=1,", "&amp;O$1,"")</f>
        <v/>
      </c>
      <c r="AN341">
        <f>IF(P341=1,", "&amp;P$1,"")</f>
        <v/>
      </c>
      <c r="AO341">
        <f>IF(Q341=1,", "&amp;Q$1,"")</f>
        <v/>
      </c>
      <c r="AP341">
        <f>IF(R341=1,", "&amp;R$1,"")</f>
        <v/>
      </c>
      <c r="AQ341">
        <f>IF(S341=1,", "&amp;S$1,"")</f>
        <v/>
      </c>
      <c r="AR341">
        <f>IF(T341=1,", "&amp;T$1,"")</f>
        <v/>
      </c>
      <c r="AS341">
        <f>IF(U341=1,", "&amp;U$1,"")</f>
        <v/>
      </c>
      <c r="AT341">
        <f>IF(V341=1,", "&amp;V$1,"")</f>
        <v/>
      </c>
      <c r="AU341">
        <f>IF(W341=1,", "&amp;W$1,"")</f>
        <v/>
      </c>
      <c r="AV341">
        <f>IF(X341=1,", "&amp;X$1,"")</f>
        <v/>
      </c>
      <c r="AW341">
        <f>IF(Y341=1,", "&amp;Y$1,"")</f>
        <v/>
      </c>
      <c r="AX341">
        <f>IF(Z341=1,", "&amp;Z$1,"")</f>
        <v/>
      </c>
      <c r="AY341">
        <f>IF(AA341=1,", "&amp;AA$1,"")</f>
        <v/>
      </c>
      <c r="AZ341">
        <f>MID($AB341&amp;$AC341&amp;$AD341&amp;$AE341&amp;$AF341&amp;$AG341&amp;$AH341&amp;$AI341&amp;$AJ341&amp;$AK341&amp;$AL341&amp;$AM341&amp;$AN341&amp;$AO341&amp;$AP341&amp;$AQ341&amp;$AR341&amp;$AS341&amp;$AT341&amp;$AU341&amp;$AV341&amp;$AW341&amp;$AX341&amp;$AY341,3,32767)</f>
        <v/>
      </c>
      <c r="BA341">
        <f>COUNT($D341:$AA341)</f>
        <v/>
      </c>
    </row>
    <row r="342">
      <c r="A342" t="n">
        <v>9</v>
      </c>
      <c r="B342" t="inlineStr">
        <is>
          <t>Power Word Kill</t>
        </is>
      </c>
      <c r="C342" t="inlineStr">
        <is>
          <t>Enchantment</t>
        </is>
      </c>
      <c r="D342">
        <f>IF(Wizards!$A$2="","",IF(OR(ISNUMBER(SEARCH(", "&amp;$B342&amp;", ", ", "&amp;INDEX('Form Responses'!$I$1:$Q$200,2,$A342)&amp;", ")),ISNUMBER(SEARCH(", "&amp;$B342&amp;", ", ", "&amp;INDEX('Form Responses'!$R$1:$R$200,2)&amp;", "))),1,""))</f>
        <v/>
      </c>
      <c r="E342">
        <f>IF(Wizards!$A$3="","",IF(OR(ISNUMBER(SEARCH(", "&amp;$B342&amp;", ", ", "&amp;INDEX('Form Responses'!$I$1:$Q$200,3,$A342)&amp;", ")),ISNUMBER(SEARCH(", "&amp;$B342&amp;", ", ", "&amp;INDEX('Form Responses'!$R$1:$R$200,3)&amp;", "))),1,""))</f>
        <v/>
      </c>
      <c r="F342">
        <f>IF(Wizards!$A$4="","",IF(OR(ISNUMBER(SEARCH(", "&amp;$B342&amp;", ", ", "&amp;INDEX('Form Responses'!$I$1:$Q$200,4,$A342)&amp;", ")),ISNUMBER(SEARCH(", "&amp;$B342&amp;", ", ", "&amp;INDEX('Form Responses'!$R$1:$R$200,4)&amp;", "))),1,""))</f>
        <v/>
      </c>
      <c r="G342">
        <f>IF(Wizards!$A$5="","",IF(OR(ISNUMBER(SEARCH(", "&amp;$B342&amp;", ", ", "&amp;INDEX('Form Responses'!$I$1:$Q$200,5,$A342)&amp;", ")),ISNUMBER(SEARCH(", "&amp;$B342&amp;", ", ", "&amp;INDEX('Form Responses'!$R$1:$R$200,5)&amp;", "))),1,""))</f>
        <v/>
      </c>
      <c r="H342">
        <f>IF(Wizards!$A$6="","",IF(OR(ISNUMBER(SEARCH(", "&amp;$B342&amp;", ", ", "&amp;INDEX('Form Responses'!$I$1:$Q$200,6,$A342)&amp;", ")),ISNUMBER(SEARCH(", "&amp;$B342&amp;", ", ", "&amp;INDEX('Form Responses'!$R$1:$R$200,6)&amp;", "))),1,""))</f>
        <v/>
      </c>
      <c r="I342">
        <f>IF(Wizards!$A$7="","",IF(OR(ISNUMBER(SEARCH(", "&amp;$B342&amp;", ", ", "&amp;INDEX('Form Responses'!$I$1:$Q$200,7,$A342)&amp;", ")),ISNUMBER(SEARCH(", "&amp;$B342&amp;", ", ", "&amp;INDEX('Form Responses'!$R$1:$R$200,7)&amp;", "))),1,""))</f>
        <v/>
      </c>
      <c r="J342">
        <f>IF(Wizards!$A$8="","",IF(OR(ISNUMBER(SEARCH(", "&amp;$B342&amp;", ", ", "&amp;INDEX('Form Responses'!$I$1:$Q$200,8,$A342)&amp;", ")),ISNUMBER(SEARCH(", "&amp;$B342&amp;", ", ", "&amp;INDEX('Form Responses'!$R$1:$R$200,8)&amp;", "))),1,""))</f>
        <v/>
      </c>
      <c r="K342">
        <f>IF(Wizards!$A$9="","",IF(OR(ISNUMBER(SEARCH(", "&amp;$B342&amp;", ", ", "&amp;INDEX('Form Responses'!$I$1:$Q$200,9,$A342)&amp;", ")),ISNUMBER(SEARCH(", "&amp;$B342&amp;", ", ", "&amp;INDEX('Form Responses'!$R$1:$R$200,9)&amp;", "))),1,""))</f>
        <v/>
      </c>
      <c r="L342">
        <f>IF(Wizards!$A$10="","",IF(OR(ISNUMBER(SEARCH(", "&amp;$B342&amp;", ", ", "&amp;INDEX('Form Responses'!$I$1:$Q$200,10,$A342)&amp;", ")),ISNUMBER(SEARCH(", "&amp;$B342&amp;", ", ", "&amp;INDEX('Form Responses'!$R$1:$R$200,10)&amp;", "))),1,""))</f>
        <v/>
      </c>
      <c r="M342">
        <f>IF(Wizards!$A$11="","",IF(OR(ISNUMBER(SEARCH(", "&amp;$B342&amp;", ", ", "&amp;INDEX('Form Responses'!$I$1:$Q$200,11,$A342)&amp;", ")),ISNUMBER(SEARCH(", "&amp;$B342&amp;", ", ", "&amp;INDEX('Form Responses'!$R$1:$R$200,11)&amp;", "))),1,""))</f>
        <v/>
      </c>
      <c r="N342">
        <f>IF(Wizards!$A$12="","",IF(OR(ISNUMBER(SEARCH(", "&amp;$B342&amp;", ", ", "&amp;INDEX('Form Responses'!$I$1:$Q$200,12,$A342)&amp;", ")),ISNUMBER(SEARCH(", "&amp;$B342&amp;", ", ", "&amp;INDEX('Form Responses'!$R$1:$R$200,12)&amp;", "))),1,""))</f>
        <v/>
      </c>
      <c r="O342">
        <f>IF(Wizards!$A$13="","",IF(OR(ISNUMBER(SEARCH(", "&amp;$B342&amp;", ", ", "&amp;INDEX('Form Responses'!$I$1:$Q$200,13,$A342)&amp;", ")),ISNUMBER(SEARCH(", "&amp;$B342&amp;", ", ", "&amp;INDEX('Form Responses'!$R$1:$R$200,13)&amp;", "))),1,""))</f>
        <v/>
      </c>
      <c r="P342">
        <f>IF(Wizards!$A$14="","",IF(OR(ISNUMBER(SEARCH(", "&amp;$B342&amp;", ", ", "&amp;INDEX('Form Responses'!$I$1:$Q$200,14,$A342)&amp;", ")),ISNUMBER(SEARCH(", "&amp;$B342&amp;", ", ", "&amp;INDEX('Form Responses'!$R$1:$R$200,14)&amp;", "))),1,""))</f>
        <v/>
      </c>
      <c r="Q342">
        <f>IF(Wizards!$A$15="","",IF(OR(ISNUMBER(SEARCH(", "&amp;$B342&amp;", ", ", "&amp;INDEX('Form Responses'!$I$1:$Q$200,15,$A342)&amp;", ")),ISNUMBER(SEARCH(", "&amp;$B342&amp;", ", ", "&amp;INDEX('Form Responses'!$R$1:$R$200,15)&amp;", "))),1,""))</f>
        <v/>
      </c>
      <c r="R342">
        <f>IF(Wizards!$A$16="","",IF(OR(ISNUMBER(SEARCH(", "&amp;$B342&amp;", ", ", "&amp;INDEX('Form Responses'!$I$1:$Q$200,16,$A342)&amp;", ")),ISNUMBER(SEARCH(", "&amp;$B342&amp;", ", ", "&amp;INDEX('Form Responses'!$R$1:$R$200,16)&amp;", "))),1,""))</f>
        <v/>
      </c>
      <c r="S342">
        <f>IF(Wizards!$A$17="","",IF(OR(ISNUMBER(SEARCH(", "&amp;$B342&amp;", ", ", "&amp;INDEX('Form Responses'!$I$1:$Q$200,17,$A342)&amp;", ")),ISNUMBER(SEARCH(", "&amp;$B342&amp;", ", ", "&amp;INDEX('Form Responses'!$R$1:$R$200,17)&amp;", "))),1,""))</f>
        <v/>
      </c>
      <c r="T342">
        <f>IF(Wizards!$A$18="","",IF(OR(ISNUMBER(SEARCH(", "&amp;$B342&amp;", ", ", "&amp;INDEX('Form Responses'!$I$1:$Q$200,18,$A342)&amp;", ")),ISNUMBER(SEARCH(", "&amp;$B342&amp;", ", ", "&amp;INDEX('Form Responses'!$R$1:$R$200,18)&amp;", "))),1,""))</f>
        <v/>
      </c>
      <c r="U342">
        <f>IF(Wizards!$A$19="","",IF(OR(ISNUMBER(SEARCH(", "&amp;$B342&amp;", ", ", "&amp;INDEX('Form Responses'!$I$1:$Q$200,19,$A342)&amp;", ")),ISNUMBER(SEARCH(", "&amp;$B342&amp;", ", ", "&amp;INDEX('Form Responses'!$R$1:$R$200,19)&amp;", "))),1,""))</f>
        <v/>
      </c>
      <c r="V342">
        <f>IF(Wizards!$A$20="","",IF(OR(ISNUMBER(SEARCH(", "&amp;$B342&amp;", ", ", "&amp;INDEX('Form Responses'!$I$1:$Q$200,20,$A342)&amp;", ")),ISNUMBER(SEARCH(", "&amp;$B342&amp;", ", ", "&amp;INDEX('Form Responses'!$R$1:$R$200,20)&amp;", "))),1,""))</f>
        <v/>
      </c>
      <c r="W342">
        <f>IF(Wizards!$A$21="","",IF(OR(ISNUMBER(SEARCH(", "&amp;$B342&amp;", ", ", "&amp;INDEX('Form Responses'!$I$1:$Q$200,21,$A342)&amp;", ")),ISNUMBER(SEARCH(", "&amp;$B342&amp;", ", ", "&amp;INDEX('Form Responses'!$R$1:$R$200,21)&amp;", "))),1,""))</f>
        <v/>
      </c>
      <c r="X342">
        <f>IF(Wizards!$A$22="","",IF(OR(ISNUMBER(SEARCH(", "&amp;$B342&amp;", ", ", "&amp;INDEX('Form Responses'!$I$1:$Q$200,22,$A342)&amp;", ")),ISNUMBER(SEARCH(", "&amp;$B342&amp;", ", ", "&amp;INDEX('Form Responses'!$R$1:$R$200,22)&amp;", "))),1,""))</f>
        <v/>
      </c>
      <c r="Y342">
        <f>IF(Wizards!$A$23="","",IF(OR(ISNUMBER(SEARCH(", "&amp;$B342&amp;", ", ", "&amp;INDEX('Form Responses'!$I$1:$Q$200,23,$A342)&amp;", ")),ISNUMBER(SEARCH(", "&amp;$B342&amp;", ", ", "&amp;INDEX('Form Responses'!$R$1:$R$200,23)&amp;", "))),1,""))</f>
        <v/>
      </c>
      <c r="Z342">
        <f>IF(Wizards!$A$24="","",IF(OR(ISNUMBER(SEARCH(", "&amp;$B342&amp;", ", ", "&amp;INDEX('Form Responses'!$I$1:$Q$200,24,$A342)&amp;", ")),ISNUMBER(SEARCH(", "&amp;$B342&amp;", ", ", "&amp;INDEX('Form Responses'!$R$1:$R$200,24)&amp;", "))),1,""))</f>
        <v/>
      </c>
      <c r="AA342">
        <f>IF(Wizards!$A$25="","",IF(OR(ISNUMBER(SEARCH(", "&amp;$B342&amp;", ", ", "&amp;INDEX('Form Responses'!$I$1:$Q$200,25,$A342)&amp;", ")),ISNUMBER(SEARCH(", "&amp;$B342&amp;", ", ", "&amp;INDEX('Form Responses'!$R$1:$R$200,25)&amp;", "))),1,""))</f>
        <v/>
      </c>
      <c r="AB342">
        <f>IF(D342=1,", "&amp;D$1,"")</f>
        <v/>
      </c>
      <c r="AC342">
        <f>IF(E342=1,", "&amp;E$1,"")</f>
        <v/>
      </c>
      <c r="AD342">
        <f>IF(F342=1,", "&amp;F$1,"")</f>
        <v/>
      </c>
      <c r="AE342">
        <f>IF(G342=1,", "&amp;G$1,"")</f>
        <v/>
      </c>
      <c r="AF342">
        <f>IF(H342=1,", "&amp;H$1,"")</f>
        <v/>
      </c>
      <c r="AG342">
        <f>IF(I342=1,", "&amp;I$1,"")</f>
        <v/>
      </c>
      <c r="AH342">
        <f>IF(J342=1,", "&amp;J$1,"")</f>
        <v/>
      </c>
      <c r="AI342">
        <f>IF(K342=1,", "&amp;K$1,"")</f>
        <v/>
      </c>
      <c r="AJ342">
        <f>IF(L342=1,", "&amp;L$1,"")</f>
        <v/>
      </c>
      <c r="AK342">
        <f>IF(M342=1,", "&amp;M$1,"")</f>
        <v/>
      </c>
      <c r="AL342">
        <f>IF(N342=1,", "&amp;N$1,"")</f>
        <v/>
      </c>
      <c r="AM342">
        <f>IF(O342=1,", "&amp;O$1,"")</f>
        <v/>
      </c>
      <c r="AN342">
        <f>IF(P342=1,", "&amp;P$1,"")</f>
        <v/>
      </c>
      <c r="AO342">
        <f>IF(Q342=1,", "&amp;Q$1,"")</f>
        <v/>
      </c>
      <c r="AP342">
        <f>IF(R342=1,", "&amp;R$1,"")</f>
        <v/>
      </c>
      <c r="AQ342">
        <f>IF(S342=1,", "&amp;S$1,"")</f>
        <v/>
      </c>
      <c r="AR342">
        <f>IF(T342=1,", "&amp;T$1,"")</f>
        <v/>
      </c>
      <c r="AS342">
        <f>IF(U342=1,", "&amp;U$1,"")</f>
        <v/>
      </c>
      <c r="AT342">
        <f>IF(V342=1,", "&amp;V$1,"")</f>
        <v/>
      </c>
      <c r="AU342">
        <f>IF(W342=1,", "&amp;W$1,"")</f>
        <v/>
      </c>
      <c r="AV342">
        <f>IF(X342=1,", "&amp;X$1,"")</f>
        <v/>
      </c>
      <c r="AW342">
        <f>IF(Y342=1,", "&amp;Y$1,"")</f>
        <v/>
      </c>
      <c r="AX342">
        <f>IF(Z342=1,", "&amp;Z$1,"")</f>
        <v/>
      </c>
      <c r="AY342">
        <f>IF(AA342=1,", "&amp;AA$1,"")</f>
        <v/>
      </c>
      <c r="AZ342">
        <f>MID($AB342&amp;$AC342&amp;$AD342&amp;$AE342&amp;$AF342&amp;$AG342&amp;$AH342&amp;$AI342&amp;$AJ342&amp;$AK342&amp;$AL342&amp;$AM342&amp;$AN342&amp;$AO342&amp;$AP342&amp;$AQ342&amp;$AR342&amp;$AS342&amp;$AT342&amp;$AU342&amp;$AV342&amp;$AW342&amp;$AX342&amp;$AY342,3,32767)</f>
        <v/>
      </c>
      <c r="BA342">
        <f>COUNT($D342:$AA342)</f>
        <v/>
      </c>
    </row>
    <row r="343">
      <c r="A343" t="n">
        <v>9</v>
      </c>
      <c r="B343" t="inlineStr">
        <is>
          <t>Prismatic Wall</t>
        </is>
      </c>
      <c r="C343" t="inlineStr">
        <is>
          <t>Abjuration</t>
        </is>
      </c>
      <c r="D343">
        <f>IF(Wizards!$A$2="","",IF(OR(ISNUMBER(SEARCH(", "&amp;$B343&amp;", ", ", "&amp;INDEX('Form Responses'!$I$1:$Q$200,2,$A343)&amp;", ")),ISNUMBER(SEARCH(", "&amp;$B343&amp;", ", ", "&amp;INDEX('Form Responses'!$R$1:$R$200,2)&amp;", "))),1,""))</f>
        <v/>
      </c>
      <c r="E343">
        <f>IF(Wizards!$A$3="","",IF(OR(ISNUMBER(SEARCH(", "&amp;$B343&amp;", ", ", "&amp;INDEX('Form Responses'!$I$1:$Q$200,3,$A343)&amp;", ")),ISNUMBER(SEARCH(", "&amp;$B343&amp;", ", ", "&amp;INDEX('Form Responses'!$R$1:$R$200,3)&amp;", "))),1,""))</f>
        <v/>
      </c>
      <c r="F343">
        <f>IF(Wizards!$A$4="","",IF(OR(ISNUMBER(SEARCH(", "&amp;$B343&amp;", ", ", "&amp;INDEX('Form Responses'!$I$1:$Q$200,4,$A343)&amp;", ")),ISNUMBER(SEARCH(", "&amp;$B343&amp;", ", ", "&amp;INDEX('Form Responses'!$R$1:$R$200,4)&amp;", "))),1,""))</f>
        <v/>
      </c>
      <c r="G343">
        <f>IF(Wizards!$A$5="","",IF(OR(ISNUMBER(SEARCH(", "&amp;$B343&amp;", ", ", "&amp;INDEX('Form Responses'!$I$1:$Q$200,5,$A343)&amp;", ")),ISNUMBER(SEARCH(", "&amp;$B343&amp;", ", ", "&amp;INDEX('Form Responses'!$R$1:$R$200,5)&amp;", "))),1,""))</f>
        <v/>
      </c>
      <c r="H343">
        <f>IF(Wizards!$A$6="","",IF(OR(ISNUMBER(SEARCH(", "&amp;$B343&amp;", ", ", "&amp;INDEX('Form Responses'!$I$1:$Q$200,6,$A343)&amp;", ")),ISNUMBER(SEARCH(", "&amp;$B343&amp;", ", ", "&amp;INDEX('Form Responses'!$R$1:$R$200,6)&amp;", "))),1,""))</f>
        <v/>
      </c>
      <c r="I343">
        <f>IF(Wizards!$A$7="","",IF(OR(ISNUMBER(SEARCH(", "&amp;$B343&amp;", ", ", "&amp;INDEX('Form Responses'!$I$1:$Q$200,7,$A343)&amp;", ")),ISNUMBER(SEARCH(", "&amp;$B343&amp;", ", ", "&amp;INDEX('Form Responses'!$R$1:$R$200,7)&amp;", "))),1,""))</f>
        <v/>
      </c>
      <c r="J343">
        <f>IF(Wizards!$A$8="","",IF(OR(ISNUMBER(SEARCH(", "&amp;$B343&amp;", ", ", "&amp;INDEX('Form Responses'!$I$1:$Q$200,8,$A343)&amp;", ")),ISNUMBER(SEARCH(", "&amp;$B343&amp;", ", ", "&amp;INDEX('Form Responses'!$R$1:$R$200,8)&amp;", "))),1,""))</f>
        <v/>
      </c>
      <c r="K343">
        <f>IF(Wizards!$A$9="","",IF(OR(ISNUMBER(SEARCH(", "&amp;$B343&amp;", ", ", "&amp;INDEX('Form Responses'!$I$1:$Q$200,9,$A343)&amp;", ")),ISNUMBER(SEARCH(", "&amp;$B343&amp;", ", ", "&amp;INDEX('Form Responses'!$R$1:$R$200,9)&amp;", "))),1,""))</f>
        <v/>
      </c>
      <c r="L343">
        <f>IF(Wizards!$A$10="","",IF(OR(ISNUMBER(SEARCH(", "&amp;$B343&amp;", ", ", "&amp;INDEX('Form Responses'!$I$1:$Q$200,10,$A343)&amp;", ")),ISNUMBER(SEARCH(", "&amp;$B343&amp;", ", ", "&amp;INDEX('Form Responses'!$R$1:$R$200,10)&amp;", "))),1,""))</f>
        <v/>
      </c>
      <c r="M343">
        <f>IF(Wizards!$A$11="","",IF(OR(ISNUMBER(SEARCH(", "&amp;$B343&amp;", ", ", "&amp;INDEX('Form Responses'!$I$1:$Q$200,11,$A343)&amp;", ")),ISNUMBER(SEARCH(", "&amp;$B343&amp;", ", ", "&amp;INDEX('Form Responses'!$R$1:$R$200,11)&amp;", "))),1,""))</f>
        <v/>
      </c>
      <c r="N343">
        <f>IF(Wizards!$A$12="","",IF(OR(ISNUMBER(SEARCH(", "&amp;$B343&amp;", ", ", "&amp;INDEX('Form Responses'!$I$1:$Q$200,12,$A343)&amp;", ")),ISNUMBER(SEARCH(", "&amp;$B343&amp;", ", ", "&amp;INDEX('Form Responses'!$R$1:$R$200,12)&amp;", "))),1,""))</f>
        <v/>
      </c>
      <c r="O343">
        <f>IF(Wizards!$A$13="","",IF(OR(ISNUMBER(SEARCH(", "&amp;$B343&amp;", ", ", "&amp;INDEX('Form Responses'!$I$1:$Q$200,13,$A343)&amp;", ")),ISNUMBER(SEARCH(", "&amp;$B343&amp;", ", ", "&amp;INDEX('Form Responses'!$R$1:$R$200,13)&amp;", "))),1,""))</f>
        <v/>
      </c>
      <c r="P343">
        <f>IF(Wizards!$A$14="","",IF(OR(ISNUMBER(SEARCH(", "&amp;$B343&amp;", ", ", "&amp;INDEX('Form Responses'!$I$1:$Q$200,14,$A343)&amp;", ")),ISNUMBER(SEARCH(", "&amp;$B343&amp;", ", ", "&amp;INDEX('Form Responses'!$R$1:$R$200,14)&amp;", "))),1,""))</f>
        <v/>
      </c>
      <c r="Q343">
        <f>IF(Wizards!$A$15="","",IF(OR(ISNUMBER(SEARCH(", "&amp;$B343&amp;", ", ", "&amp;INDEX('Form Responses'!$I$1:$Q$200,15,$A343)&amp;", ")),ISNUMBER(SEARCH(", "&amp;$B343&amp;", ", ", "&amp;INDEX('Form Responses'!$R$1:$R$200,15)&amp;", "))),1,""))</f>
        <v/>
      </c>
      <c r="R343">
        <f>IF(Wizards!$A$16="","",IF(OR(ISNUMBER(SEARCH(", "&amp;$B343&amp;", ", ", "&amp;INDEX('Form Responses'!$I$1:$Q$200,16,$A343)&amp;", ")),ISNUMBER(SEARCH(", "&amp;$B343&amp;", ", ", "&amp;INDEX('Form Responses'!$R$1:$R$200,16)&amp;", "))),1,""))</f>
        <v/>
      </c>
      <c r="S343">
        <f>IF(Wizards!$A$17="","",IF(OR(ISNUMBER(SEARCH(", "&amp;$B343&amp;", ", ", "&amp;INDEX('Form Responses'!$I$1:$Q$200,17,$A343)&amp;", ")),ISNUMBER(SEARCH(", "&amp;$B343&amp;", ", ", "&amp;INDEX('Form Responses'!$R$1:$R$200,17)&amp;", "))),1,""))</f>
        <v/>
      </c>
      <c r="T343">
        <f>IF(Wizards!$A$18="","",IF(OR(ISNUMBER(SEARCH(", "&amp;$B343&amp;", ", ", "&amp;INDEX('Form Responses'!$I$1:$Q$200,18,$A343)&amp;", ")),ISNUMBER(SEARCH(", "&amp;$B343&amp;", ", ", "&amp;INDEX('Form Responses'!$R$1:$R$200,18)&amp;", "))),1,""))</f>
        <v/>
      </c>
      <c r="U343">
        <f>IF(Wizards!$A$19="","",IF(OR(ISNUMBER(SEARCH(", "&amp;$B343&amp;", ", ", "&amp;INDEX('Form Responses'!$I$1:$Q$200,19,$A343)&amp;", ")),ISNUMBER(SEARCH(", "&amp;$B343&amp;", ", ", "&amp;INDEX('Form Responses'!$R$1:$R$200,19)&amp;", "))),1,""))</f>
        <v/>
      </c>
      <c r="V343">
        <f>IF(Wizards!$A$20="","",IF(OR(ISNUMBER(SEARCH(", "&amp;$B343&amp;", ", ", "&amp;INDEX('Form Responses'!$I$1:$Q$200,20,$A343)&amp;", ")),ISNUMBER(SEARCH(", "&amp;$B343&amp;", ", ", "&amp;INDEX('Form Responses'!$R$1:$R$200,20)&amp;", "))),1,""))</f>
        <v/>
      </c>
      <c r="W343">
        <f>IF(Wizards!$A$21="","",IF(OR(ISNUMBER(SEARCH(", "&amp;$B343&amp;", ", ", "&amp;INDEX('Form Responses'!$I$1:$Q$200,21,$A343)&amp;", ")),ISNUMBER(SEARCH(", "&amp;$B343&amp;", ", ", "&amp;INDEX('Form Responses'!$R$1:$R$200,21)&amp;", "))),1,""))</f>
        <v/>
      </c>
      <c r="X343">
        <f>IF(Wizards!$A$22="","",IF(OR(ISNUMBER(SEARCH(", "&amp;$B343&amp;", ", ", "&amp;INDEX('Form Responses'!$I$1:$Q$200,22,$A343)&amp;", ")),ISNUMBER(SEARCH(", "&amp;$B343&amp;", ", ", "&amp;INDEX('Form Responses'!$R$1:$R$200,22)&amp;", "))),1,""))</f>
        <v/>
      </c>
      <c r="Y343">
        <f>IF(Wizards!$A$23="","",IF(OR(ISNUMBER(SEARCH(", "&amp;$B343&amp;", ", ", "&amp;INDEX('Form Responses'!$I$1:$Q$200,23,$A343)&amp;", ")),ISNUMBER(SEARCH(", "&amp;$B343&amp;", ", ", "&amp;INDEX('Form Responses'!$R$1:$R$200,23)&amp;", "))),1,""))</f>
        <v/>
      </c>
      <c r="Z343">
        <f>IF(Wizards!$A$24="","",IF(OR(ISNUMBER(SEARCH(", "&amp;$B343&amp;", ", ", "&amp;INDEX('Form Responses'!$I$1:$Q$200,24,$A343)&amp;", ")),ISNUMBER(SEARCH(", "&amp;$B343&amp;", ", ", "&amp;INDEX('Form Responses'!$R$1:$R$200,24)&amp;", "))),1,""))</f>
        <v/>
      </c>
      <c r="AA343">
        <f>IF(Wizards!$A$25="","",IF(OR(ISNUMBER(SEARCH(", "&amp;$B343&amp;", ", ", "&amp;INDEX('Form Responses'!$I$1:$Q$200,25,$A343)&amp;", ")),ISNUMBER(SEARCH(", "&amp;$B343&amp;", ", ", "&amp;INDEX('Form Responses'!$R$1:$R$200,25)&amp;", "))),1,""))</f>
        <v/>
      </c>
      <c r="AB343">
        <f>IF(D343=1,", "&amp;D$1,"")</f>
        <v/>
      </c>
      <c r="AC343">
        <f>IF(E343=1,", "&amp;E$1,"")</f>
        <v/>
      </c>
      <c r="AD343">
        <f>IF(F343=1,", "&amp;F$1,"")</f>
        <v/>
      </c>
      <c r="AE343">
        <f>IF(G343=1,", "&amp;G$1,"")</f>
        <v/>
      </c>
      <c r="AF343">
        <f>IF(H343=1,", "&amp;H$1,"")</f>
        <v/>
      </c>
      <c r="AG343">
        <f>IF(I343=1,", "&amp;I$1,"")</f>
        <v/>
      </c>
      <c r="AH343">
        <f>IF(J343=1,", "&amp;J$1,"")</f>
        <v/>
      </c>
      <c r="AI343">
        <f>IF(K343=1,", "&amp;K$1,"")</f>
        <v/>
      </c>
      <c r="AJ343">
        <f>IF(L343=1,", "&amp;L$1,"")</f>
        <v/>
      </c>
      <c r="AK343">
        <f>IF(M343=1,", "&amp;M$1,"")</f>
        <v/>
      </c>
      <c r="AL343">
        <f>IF(N343=1,", "&amp;N$1,"")</f>
        <v/>
      </c>
      <c r="AM343">
        <f>IF(O343=1,", "&amp;O$1,"")</f>
        <v/>
      </c>
      <c r="AN343">
        <f>IF(P343=1,", "&amp;P$1,"")</f>
        <v/>
      </c>
      <c r="AO343">
        <f>IF(Q343=1,", "&amp;Q$1,"")</f>
        <v/>
      </c>
      <c r="AP343">
        <f>IF(R343=1,", "&amp;R$1,"")</f>
        <v/>
      </c>
      <c r="AQ343">
        <f>IF(S343=1,", "&amp;S$1,"")</f>
        <v/>
      </c>
      <c r="AR343">
        <f>IF(T343=1,", "&amp;T$1,"")</f>
        <v/>
      </c>
      <c r="AS343">
        <f>IF(U343=1,", "&amp;U$1,"")</f>
        <v/>
      </c>
      <c r="AT343">
        <f>IF(V343=1,", "&amp;V$1,"")</f>
        <v/>
      </c>
      <c r="AU343">
        <f>IF(W343=1,", "&amp;W$1,"")</f>
        <v/>
      </c>
      <c r="AV343">
        <f>IF(X343=1,", "&amp;X$1,"")</f>
        <v/>
      </c>
      <c r="AW343">
        <f>IF(Y343=1,", "&amp;Y$1,"")</f>
        <v/>
      </c>
      <c r="AX343">
        <f>IF(Z343=1,", "&amp;Z$1,"")</f>
        <v/>
      </c>
      <c r="AY343">
        <f>IF(AA343=1,", "&amp;AA$1,"")</f>
        <v/>
      </c>
      <c r="AZ343">
        <f>MID($AB343&amp;$AC343&amp;$AD343&amp;$AE343&amp;$AF343&amp;$AG343&amp;$AH343&amp;$AI343&amp;$AJ343&amp;$AK343&amp;$AL343&amp;$AM343&amp;$AN343&amp;$AO343&amp;$AP343&amp;$AQ343&amp;$AR343&amp;$AS343&amp;$AT343&amp;$AU343&amp;$AV343&amp;$AW343&amp;$AX343&amp;$AY343,3,32767)</f>
        <v/>
      </c>
      <c r="BA343">
        <f>COUNT($D343:$AA343)</f>
        <v/>
      </c>
    </row>
    <row r="344">
      <c r="A344" t="n">
        <v>9</v>
      </c>
      <c r="B344" t="inlineStr">
        <is>
          <t>Psychic Scream</t>
        </is>
      </c>
      <c r="C344" t="inlineStr">
        <is>
          <t>Enchantment</t>
        </is>
      </c>
      <c r="D344">
        <f>IF(Wizards!$A$2="","",IF(OR(ISNUMBER(SEARCH(", "&amp;$B344&amp;", ", ", "&amp;INDEX('Form Responses'!$I$1:$Q$200,2,$A344)&amp;", ")),ISNUMBER(SEARCH(", "&amp;$B344&amp;", ", ", "&amp;INDEX('Form Responses'!$R$1:$R$200,2)&amp;", "))),1,""))</f>
        <v/>
      </c>
      <c r="E344">
        <f>IF(Wizards!$A$3="","",IF(OR(ISNUMBER(SEARCH(", "&amp;$B344&amp;", ", ", "&amp;INDEX('Form Responses'!$I$1:$Q$200,3,$A344)&amp;", ")),ISNUMBER(SEARCH(", "&amp;$B344&amp;", ", ", "&amp;INDEX('Form Responses'!$R$1:$R$200,3)&amp;", "))),1,""))</f>
        <v/>
      </c>
      <c r="F344">
        <f>IF(Wizards!$A$4="","",IF(OR(ISNUMBER(SEARCH(", "&amp;$B344&amp;", ", ", "&amp;INDEX('Form Responses'!$I$1:$Q$200,4,$A344)&amp;", ")),ISNUMBER(SEARCH(", "&amp;$B344&amp;", ", ", "&amp;INDEX('Form Responses'!$R$1:$R$200,4)&amp;", "))),1,""))</f>
        <v/>
      </c>
      <c r="G344">
        <f>IF(Wizards!$A$5="","",IF(OR(ISNUMBER(SEARCH(", "&amp;$B344&amp;", ", ", "&amp;INDEX('Form Responses'!$I$1:$Q$200,5,$A344)&amp;", ")),ISNUMBER(SEARCH(", "&amp;$B344&amp;", ", ", "&amp;INDEX('Form Responses'!$R$1:$R$200,5)&amp;", "))),1,""))</f>
        <v/>
      </c>
      <c r="H344">
        <f>IF(Wizards!$A$6="","",IF(OR(ISNUMBER(SEARCH(", "&amp;$B344&amp;", ", ", "&amp;INDEX('Form Responses'!$I$1:$Q$200,6,$A344)&amp;", ")),ISNUMBER(SEARCH(", "&amp;$B344&amp;", ", ", "&amp;INDEX('Form Responses'!$R$1:$R$200,6)&amp;", "))),1,""))</f>
        <v/>
      </c>
      <c r="I344">
        <f>IF(Wizards!$A$7="","",IF(OR(ISNUMBER(SEARCH(", "&amp;$B344&amp;", ", ", "&amp;INDEX('Form Responses'!$I$1:$Q$200,7,$A344)&amp;", ")),ISNUMBER(SEARCH(", "&amp;$B344&amp;", ", ", "&amp;INDEX('Form Responses'!$R$1:$R$200,7)&amp;", "))),1,""))</f>
        <v/>
      </c>
      <c r="J344">
        <f>IF(Wizards!$A$8="","",IF(OR(ISNUMBER(SEARCH(", "&amp;$B344&amp;", ", ", "&amp;INDEX('Form Responses'!$I$1:$Q$200,8,$A344)&amp;", ")),ISNUMBER(SEARCH(", "&amp;$B344&amp;", ", ", "&amp;INDEX('Form Responses'!$R$1:$R$200,8)&amp;", "))),1,""))</f>
        <v/>
      </c>
      <c r="K344">
        <f>IF(Wizards!$A$9="","",IF(OR(ISNUMBER(SEARCH(", "&amp;$B344&amp;", ", ", "&amp;INDEX('Form Responses'!$I$1:$Q$200,9,$A344)&amp;", ")),ISNUMBER(SEARCH(", "&amp;$B344&amp;", ", ", "&amp;INDEX('Form Responses'!$R$1:$R$200,9)&amp;", "))),1,""))</f>
        <v/>
      </c>
      <c r="L344">
        <f>IF(Wizards!$A$10="","",IF(OR(ISNUMBER(SEARCH(", "&amp;$B344&amp;", ", ", "&amp;INDEX('Form Responses'!$I$1:$Q$200,10,$A344)&amp;", ")),ISNUMBER(SEARCH(", "&amp;$B344&amp;", ", ", "&amp;INDEX('Form Responses'!$R$1:$R$200,10)&amp;", "))),1,""))</f>
        <v/>
      </c>
      <c r="M344">
        <f>IF(Wizards!$A$11="","",IF(OR(ISNUMBER(SEARCH(", "&amp;$B344&amp;", ", ", "&amp;INDEX('Form Responses'!$I$1:$Q$200,11,$A344)&amp;", ")),ISNUMBER(SEARCH(", "&amp;$B344&amp;", ", ", "&amp;INDEX('Form Responses'!$R$1:$R$200,11)&amp;", "))),1,""))</f>
        <v/>
      </c>
      <c r="N344">
        <f>IF(Wizards!$A$12="","",IF(OR(ISNUMBER(SEARCH(", "&amp;$B344&amp;", ", ", "&amp;INDEX('Form Responses'!$I$1:$Q$200,12,$A344)&amp;", ")),ISNUMBER(SEARCH(", "&amp;$B344&amp;", ", ", "&amp;INDEX('Form Responses'!$R$1:$R$200,12)&amp;", "))),1,""))</f>
        <v/>
      </c>
      <c r="O344">
        <f>IF(Wizards!$A$13="","",IF(OR(ISNUMBER(SEARCH(", "&amp;$B344&amp;", ", ", "&amp;INDEX('Form Responses'!$I$1:$Q$200,13,$A344)&amp;", ")),ISNUMBER(SEARCH(", "&amp;$B344&amp;", ", ", "&amp;INDEX('Form Responses'!$R$1:$R$200,13)&amp;", "))),1,""))</f>
        <v/>
      </c>
      <c r="P344">
        <f>IF(Wizards!$A$14="","",IF(OR(ISNUMBER(SEARCH(", "&amp;$B344&amp;", ", ", "&amp;INDEX('Form Responses'!$I$1:$Q$200,14,$A344)&amp;", ")),ISNUMBER(SEARCH(", "&amp;$B344&amp;", ", ", "&amp;INDEX('Form Responses'!$R$1:$R$200,14)&amp;", "))),1,""))</f>
        <v/>
      </c>
      <c r="Q344">
        <f>IF(Wizards!$A$15="","",IF(OR(ISNUMBER(SEARCH(", "&amp;$B344&amp;", ", ", "&amp;INDEX('Form Responses'!$I$1:$Q$200,15,$A344)&amp;", ")),ISNUMBER(SEARCH(", "&amp;$B344&amp;", ", ", "&amp;INDEX('Form Responses'!$R$1:$R$200,15)&amp;", "))),1,""))</f>
        <v/>
      </c>
      <c r="R344">
        <f>IF(Wizards!$A$16="","",IF(OR(ISNUMBER(SEARCH(", "&amp;$B344&amp;", ", ", "&amp;INDEX('Form Responses'!$I$1:$Q$200,16,$A344)&amp;", ")),ISNUMBER(SEARCH(", "&amp;$B344&amp;", ", ", "&amp;INDEX('Form Responses'!$R$1:$R$200,16)&amp;", "))),1,""))</f>
        <v/>
      </c>
      <c r="S344">
        <f>IF(Wizards!$A$17="","",IF(OR(ISNUMBER(SEARCH(", "&amp;$B344&amp;", ", ", "&amp;INDEX('Form Responses'!$I$1:$Q$200,17,$A344)&amp;", ")),ISNUMBER(SEARCH(", "&amp;$B344&amp;", ", ", "&amp;INDEX('Form Responses'!$R$1:$R$200,17)&amp;", "))),1,""))</f>
        <v/>
      </c>
      <c r="T344">
        <f>IF(Wizards!$A$18="","",IF(OR(ISNUMBER(SEARCH(", "&amp;$B344&amp;", ", ", "&amp;INDEX('Form Responses'!$I$1:$Q$200,18,$A344)&amp;", ")),ISNUMBER(SEARCH(", "&amp;$B344&amp;", ", ", "&amp;INDEX('Form Responses'!$R$1:$R$200,18)&amp;", "))),1,""))</f>
        <v/>
      </c>
      <c r="U344">
        <f>IF(Wizards!$A$19="","",IF(OR(ISNUMBER(SEARCH(", "&amp;$B344&amp;", ", ", "&amp;INDEX('Form Responses'!$I$1:$Q$200,19,$A344)&amp;", ")),ISNUMBER(SEARCH(", "&amp;$B344&amp;", ", ", "&amp;INDEX('Form Responses'!$R$1:$R$200,19)&amp;", "))),1,""))</f>
        <v/>
      </c>
      <c r="V344">
        <f>IF(Wizards!$A$20="","",IF(OR(ISNUMBER(SEARCH(", "&amp;$B344&amp;", ", ", "&amp;INDEX('Form Responses'!$I$1:$Q$200,20,$A344)&amp;", ")),ISNUMBER(SEARCH(", "&amp;$B344&amp;", ", ", "&amp;INDEX('Form Responses'!$R$1:$R$200,20)&amp;", "))),1,""))</f>
        <v/>
      </c>
      <c r="W344">
        <f>IF(Wizards!$A$21="","",IF(OR(ISNUMBER(SEARCH(", "&amp;$B344&amp;", ", ", "&amp;INDEX('Form Responses'!$I$1:$Q$200,21,$A344)&amp;", ")),ISNUMBER(SEARCH(", "&amp;$B344&amp;", ", ", "&amp;INDEX('Form Responses'!$R$1:$R$200,21)&amp;", "))),1,""))</f>
        <v/>
      </c>
      <c r="X344">
        <f>IF(Wizards!$A$22="","",IF(OR(ISNUMBER(SEARCH(", "&amp;$B344&amp;", ", ", "&amp;INDEX('Form Responses'!$I$1:$Q$200,22,$A344)&amp;", ")),ISNUMBER(SEARCH(", "&amp;$B344&amp;", ", ", "&amp;INDEX('Form Responses'!$R$1:$R$200,22)&amp;", "))),1,""))</f>
        <v/>
      </c>
      <c r="Y344">
        <f>IF(Wizards!$A$23="","",IF(OR(ISNUMBER(SEARCH(", "&amp;$B344&amp;", ", ", "&amp;INDEX('Form Responses'!$I$1:$Q$200,23,$A344)&amp;", ")),ISNUMBER(SEARCH(", "&amp;$B344&amp;", ", ", "&amp;INDEX('Form Responses'!$R$1:$R$200,23)&amp;", "))),1,""))</f>
        <v/>
      </c>
      <c r="Z344">
        <f>IF(Wizards!$A$24="","",IF(OR(ISNUMBER(SEARCH(", "&amp;$B344&amp;", ", ", "&amp;INDEX('Form Responses'!$I$1:$Q$200,24,$A344)&amp;", ")),ISNUMBER(SEARCH(", "&amp;$B344&amp;", ", ", "&amp;INDEX('Form Responses'!$R$1:$R$200,24)&amp;", "))),1,""))</f>
        <v/>
      </c>
      <c r="AA344">
        <f>IF(Wizards!$A$25="","",IF(OR(ISNUMBER(SEARCH(", "&amp;$B344&amp;", ", ", "&amp;INDEX('Form Responses'!$I$1:$Q$200,25,$A344)&amp;", ")),ISNUMBER(SEARCH(", "&amp;$B344&amp;", ", ", "&amp;INDEX('Form Responses'!$R$1:$R$200,25)&amp;", "))),1,""))</f>
        <v/>
      </c>
      <c r="AB344">
        <f>IF(D344=1,", "&amp;D$1,"")</f>
        <v/>
      </c>
      <c r="AC344">
        <f>IF(E344=1,", "&amp;E$1,"")</f>
        <v/>
      </c>
      <c r="AD344">
        <f>IF(F344=1,", "&amp;F$1,"")</f>
        <v/>
      </c>
      <c r="AE344">
        <f>IF(G344=1,", "&amp;G$1,"")</f>
        <v/>
      </c>
      <c r="AF344">
        <f>IF(H344=1,", "&amp;H$1,"")</f>
        <v/>
      </c>
      <c r="AG344">
        <f>IF(I344=1,", "&amp;I$1,"")</f>
        <v/>
      </c>
      <c r="AH344">
        <f>IF(J344=1,", "&amp;J$1,"")</f>
        <v/>
      </c>
      <c r="AI344">
        <f>IF(K344=1,", "&amp;K$1,"")</f>
        <v/>
      </c>
      <c r="AJ344">
        <f>IF(L344=1,", "&amp;L$1,"")</f>
        <v/>
      </c>
      <c r="AK344">
        <f>IF(M344=1,", "&amp;M$1,"")</f>
        <v/>
      </c>
      <c r="AL344">
        <f>IF(N344=1,", "&amp;N$1,"")</f>
        <v/>
      </c>
      <c r="AM344">
        <f>IF(O344=1,", "&amp;O$1,"")</f>
        <v/>
      </c>
      <c r="AN344">
        <f>IF(P344=1,", "&amp;P$1,"")</f>
        <v/>
      </c>
      <c r="AO344">
        <f>IF(Q344=1,", "&amp;Q$1,"")</f>
        <v/>
      </c>
      <c r="AP344">
        <f>IF(R344=1,", "&amp;R$1,"")</f>
        <v/>
      </c>
      <c r="AQ344">
        <f>IF(S344=1,", "&amp;S$1,"")</f>
        <v/>
      </c>
      <c r="AR344">
        <f>IF(T344=1,", "&amp;T$1,"")</f>
        <v/>
      </c>
      <c r="AS344">
        <f>IF(U344=1,", "&amp;U$1,"")</f>
        <v/>
      </c>
      <c r="AT344">
        <f>IF(V344=1,", "&amp;V$1,"")</f>
        <v/>
      </c>
      <c r="AU344">
        <f>IF(W344=1,", "&amp;W$1,"")</f>
        <v/>
      </c>
      <c r="AV344">
        <f>IF(X344=1,", "&amp;X$1,"")</f>
        <v/>
      </c>
      <c r="AW344">
        <f>IF(Y344=1,", "&amp;Y$1,"")</f>
        <v/>
      </c>
      <c r="AX344">
        <f>IF(Z344=1,", "&amp;Z$1,"")</f>
        <v/>
      </c>
      <c r="AY344">
        <f>IF(AA344=1,", "&amp;AA$1,"")</f>
        <v/>
      </c>
      <c r="AZ344">
        <f>MID($AB344&amp;$AC344&amp;$AD344&amp;$AE344&amp;$AF344&amp;$AG344&amp;$AH344&amp;$AI344&amp;$AJ344&amp;$AK344&amp;$AL344&amp;$AM344&amp;$AN344&amp;$AO344&amp;$AP344&amp;$AQ344&amp;$AR344&amp;$AS344&amp;$AT344&amp;$AU344&amp;$AV344&amp;$AW344&amp;$AX344&amp;$AY344,3,32767)</f>
        <v/>
      </c>
      <c r="BA344">
        <f>COUNT($D344:$AA344)</f>
        <v/>
      </c>
    </row>
    <row r="345">
      <c r="A345" t="n">
        <v>9</v>
      </c>
      <c r="B345" t="inlineStr">
        <is>
          <t>Shapechange</t>
        </is>
      </c>
      <c r="C345" t="inlineStr">
        <is>
          <t>Transmutation</t>
        </is>
      </c>
      <c r="D345">
        <f>IF(Wizards!$A$2="","",IF(OR(ISNUMBER(SEARCH(", "&amp;$B345&amp;", ", ", "&amp;INDEX('Form Responses'!$I$1:$Q$200,2,$A345)&amp;", ")),ISNUMBER(SEARCH(", "&amp;$B345&amp;", ", ", "&amp;INDEX('Form Responses'!$R$1:$R$200,2)&amp;", "))),1,""))</f>
        <v/>
      </c>
      <c r="E345">
        <f>IF(Wizards!$A$3="","",IF(OR(ISNUMBER(SEARCH(", "&amp;$B345&amp;", ", ", "&amp;INDEX('Form Responses'!$I$1:$Q$200,3,$A345)&amp;", ")),ISNUMBER(SEARCH(", "&amp;$B345&amp;", ", ", "&amp;INDEX('Form Responses'!$R$1:$R$200,3)&amp;", "))),1,""))</f>
        <v/>
      </c>
      <c r="F345">
        <f>IF(Wizards!$A$4="","",IF(OR(ISNUMBER(SEARCH(", "&amp;$B345&amp;", ", ", "&amp;INDEX('Form Responses'!$I$1:$Q$200,4,$A345)&amp;", ")),ISNUMBER(SEARCH(", "&amp;$B345&amp;", ", ", "&amp;INDEX('Form Responses'!$R$1:$R$200,4)&amp;", "))),1,""))</f>
        <v/>
      </c>
      <c r="G345">
        <f>IF(Wizards!$A$5="","",IF(OR(ISNUMBER(SEARCH(", "&amp;$B345&amp;", ", ", "&amp;INDEX('Form Responses'!$I$1:$Q$200,5,$A345)&amp;", ")),ISNUMBER(SEARCH(", "&amp;$B345&amp;", ", ", "&amp;INDEX('Form Responses'!$R$1:$R$200,5)&amp;", "))),1,""))</f>
        <v/>
      </c>
      <c r="H345">
        <f>IF(Wizards!$A$6="","",IF(OR(ISNUMBER(SEARCH(", "&amp;$B345&amp;", ", ", "&amp;INDEX('Form Responses'!$I$1:$Q$200,6,$A345)&amp;", ")),ISNUMBER(SEARCH(", "&amp;$B345&amp;", ", ", "&amp;INDEX('Form Responses'!$R$1:$R$200,6)&amp;", "))),1,""))</f>
        <v/>
      </c>
      <c r="I345">
        <f>IF(Wizards!$A$7="","",IF(OR(ISNUMBER(SEARCH(", "&amp;$B345&amp;", ", ", "&amp;INDEX('Form Responses'!$I$1:$Q$200,7,$A345)&amp;", ")),ISNUMBER(SEARCH(", "&amp;$B345&amp;", ", ", "&amp;INDEX('Form Responses'!$R$1:$R$200,7)&amp;", "))),1,""))</f>
        <v/>
      </c>
      <c r="J345">
        <f>IF(Wizards!$A$8="","",IF(OR(ISNUMBER(SEARCH(", "&amp;$B345&amp;", ", ", "&amp;INDEX('Form Responses'!$I$1:$Q$200,8,$A345)&amp;", ")),ISNUMBER(SEARCH(", "&amp;$B345&amp;", ", ", "&amp;INDEX('Form Responses'!$R$1:$R$200,8)&amp;", "))),1,""))</f>
        <v/>
      </c>
      <c r="K345">
        <f>IF(Wizards!$A$9="","",IF(OR(ISNUMBER(SEARCH(", "&amp;$B345&amp;", ", ", "&amp;INDEX('Form Responses'!$I$1:$Q$200,9,$A345)&amp;", ")),ISNUMBER(SEARCH(", "&amp;$B345&amp;", ", ", "&amp;INDEX('Form Responses'!$R$1:$R$200,9)&amp;", "))),1,""))</f>
        <v/>
      </c>
      <c r="L345">
        <f>IF(Wizards!$A$10="","",IF(OR(ISNUMBER(SEARCH(", "&amp;$B345&amp;", ", ", "&amp;INDEX('Form Responses'!$I$1:$Q$200,10,$A345)&amp;", ")),ISNUMBER(SEARCH(", "&amp;$B345&amp;", ", ", "&amp;INDEX('Form Responses'!$R$1:$R$200,10)&amp;", "))),1,""))</f>
        <v/>
      </c>
      <c r="M345">
        <f>IF(Wizards!$A$11="","",IF(OR(ISNUMBER(SEARCH(", "&amp;$B345&amp;", ", ", "&amp;INDEX('Form Responses'!$I$1:$Q$200,11,$A345)&amp;", ")),ISNUMBER(SEARCH(", "&amp;$B345&amp;", ", ", "&amp;INDEX('Form Responses'!$R$1:$R$200,11)&amp;", "))),1,""))</f>
        <v/>
      </c>
      <c r="N345">
        <f>IF(Wizards!$A$12="","",IF(OR(ISNUMBER(SEARCH(", "&amp;$B345&amp;", ", ", "&amp;INDEX('Form Responses'!$I$1:$Q$200,12,$A345)&amp;", ")),ISNUMBER(SEARCH(", "&amp;$B345&amp;", ", ", "&amp;INDEX('Form Responses'!$R$1:$R$200,12)&amp;", "))),1,""))</f>
        <v/>
      </c>
      <c r="O345">
        <f>IF(Wizards!$A$13="","",IF(OR(ISNUMBER(SEARCH(", "&amp;$B345&amp;", ", ", "&amp;INDEX('Form Responses'!$I$1:$Q$200,13,$A345)&amp;", ")),ISNUMBER(SEARCH(", "&amp;$B345&amp;", ", ", "&amp;INDEX('Form Responses'!$R$1:$R$200,13)&amp;", "))),1,""))</f>
        <v/>
      </c>
      <c r="P345">
        <f>IF(Wizards!$A$14="","",IF(OR(ISNUMBER(SEARCH(", "&amp;$B345&amp;", ", ", "&amp;INDEX('Form Responses'!$I$1:$Q$200,14,$A345)&amp;", ")),ISNUMBER(SEARCH(", "&amp;$B345&amp;", ", ", "&amp;INDEX('Form Responses'!$R$1:$R$200,14)&amp;", "))),1,""))</f>
        <v/>
      </c>
      <c r="Q345">
        <f>IF(Wizards!$A$15="","",IF(OR(ISNUMBER(SEARCH(", "&amp;$B345&amp;", ", ", "&amp;INDEX('Form Responses'!$I$1:$Q$200,15,$A345)&amp;", ")),ISNUMBER(SEARCH(", "&amp;$B345&amp;", ", ", "&amp;INDEX('Form Responses'!$R$1:$R$200,15)&amp;", "))),1,""))</f>
        <v/>
      </c>
      <c r="R345">
        <f>IF(Wizards!$A$16="","",IF(OR(ISNUMBER(SEARCH(", "&amp;$B345&amp;", ", ", "&amp;INDEX('Form Responses'!$I$1:$Q$200,16,$A345)&amp;", ")),ISNUMBER(SEARCH(", "&amp;$B345&amp;", ", ", "&amp;INDEX('Form Responses'!$R$1:$R$200,16)&amp;", "))),1,""))</f>
        <v/>
      </c>
      <c r="S345">
        <f>IF(Wizards!$A$17="","",IF(OR(ISNUMBER(SEARCH(", "&amp;$B345&amp;", ", ", "&amp;INDEX('Form Responses'!$I$1:$Q$200,17,$A345)&amp;", ")),ISNUMBER(SEARCH(", "&amp;$B345&amp;", ", ", "&amp;INDEX('Form Responses'!$R$1:$R$200,17)&amp;", "))),1,""))</f>
        <v/>
      </c>
      <c r="T345">
        <f>IF(Wizards!$A$18="","",IF(OR(ISNUMBER(SEARCH(", "&amp;$B345&amp;", ", ", "&amp;INDEX('Form Responses'!$I$1:$Q$200,18,$A345)&amp;", ")),ISNUMBER(SEARCH(", "&amp;$B345&amp;", ", ", "&amp;INDEX('Form Responses'!$R$1:$R$200,18)&amp;", "))),1,""))</f>
        <v/>
      </c>
      <c r="U345">
        <f>IF(Wizards!$A$19="","",IF(OR(ISNUMBER(SEARCH(", "&amp;$B345&amp;", ", ", "&amp;INDEX('Form Responses'!$I$1:$Q$200,19,$A345)&amp;", ")),ISNUMBER(SEARCH(", "&amp;$B345&amp;", ", ", "&amp;INDEX('Form Responses'!$R$1:$R$200,19)&amp;", "))),1,""))</f>
        <v/>
      </c>
      <c r="V345">
        <f>IF(Wizards!$A$20="","",IF(OR(ISNUMBER(SEARCH(", "&amp;$B345&amp;", ", ", "&amp;INDEX('Form Responses'!$I$1:$Q$200,20,$A345)&amp;", ")),ISNUMBER(SEARCH(", "&amp;$B345&amp;", ", ", "&amp;INDEX('Form Responses'!$R$1:$R$200,20)&amp;", "))),1,""))</f>
        <v/>
      </c>
      <c r="W345">
        <f>IF(Wizards!$A$21="","",IF(OR(ISNUMBER(SEARCH(", "&amp;$B345&amp;", ", ", "&amp;INDEX('Form Responses'!$I$1:$Q$200,21,$A345)&amp;", ")),ISNUMBER(SEARCH(", "&amp;$B345&amp;", ", ", "&amp;INDEX('Form Responses'!$R$1:$R$200,21)&amp;", "))),1,""))</f>
        <v/>
      </c>
      <c r="X345">
        <f>IF(Wizards!$A$22="","",IF(OR(ISNUMBER(SEARCH(", "&amp;$B345&amp;", ", ", "&amp;INDEX('Form Responses'!$I$1:$Q$200,22,$A345)&amp;", ")),ISNUMBER(SEARCH(", "&amp;$B345&amp;", ", ", "&amp;INDEX('Form Responses'!$R$1:$R$200,22)&amp;", "))),1,""))</f>
        <v/>
      </c>
      <c r="Y345">
        <f>IF(Wizards!$A$23="","",IF(OR(ISNUMBER(SEARCH(", "&amp;$B345&amp;", ", ", "&amp;INDEX('Form Responses'!$I$1:$Q$200,23,$A345)&amp;", ")),ISNUMBER(SEARCH(", "&amp;$B345&amp;", ", ", "&amp;INDEX('Form Responses'!$R$1:$R$200,23)&amp;", "))),1,""))</f>
        <v/>
      </c>
      <c r="Z345">
        <f>IF(Wizards!$A$24="","",IF(OR(ISNUMBER(SEARCH(", "&amp;$B345&amp;", ", ", "&amp;INDEX('Form Responses'!$I$1:$Q$200,24,$A345)&amp;", ")),ISNUMBER(SEARCH(", "&amp;$B345&amp;", ", ", "&amp;INDEX('Form Responses'!$R$1:$R$200,24)&amp;", "))),1,""))</f>
        <v/>
      </c>
      <c r="AA345">
        <f>IF(Wizards!$A$25="","",IF(OR(ISNUMBER(SEARCH(", "&amp;$B345&amp;", ", ", "&amp;INDEX('Form Responses'!$I$1:$Q$200,25,$A345)&amp;", ")),ISNUMBER(SEARCH(", "&amp;$B345&amp;", ", ", "&amp;INDEX('Form Responses'!$R$1:$R$200,25)&amp;", "))),1,""))</f>
        <v/>
      </c>
      <c r="AB345">
        <f>IF(D345=1,", "&amp;D$1,"")</f>
        <v/>
      </c>
      <c r="AC345">
        <f>IF(E345=1,", "&amp;E$1,"")</f>
        <v/>
      </c>
      <c r="AD345">
        <f>IF(F345=1,", "&amp;F$1,"")</f>
        <v/>
      </c>
      <c r="AE345">
        <f>IF(G345=1,", "&amp;G$1,"")</f>
        <v/>
      </c>
      <c r="AF345">
        <f>IF(H345=1,", "&amp;H$1,"")</f>
        <v/>
      </c>
      <c r="AG345">
        <f>IF(I345=1,", "&amp;I$1,"")</f>
        <v/>
      </c>
      <c r="AH345">
        <f>IF(J345=1,", "&amp;J$1,"")</f>
        <v/>
      </c>
      <c r="AI345">
        <f>IF(K345=1,", "&amp;K$1,"")</f>
        <v/>
      </c>
      <c r="AJ345">
        <f>IF(L345=1,", "&amp;L$1,"")</f>
        <v/>
      </c>
      <c r="AK345">
        <f>IF(M345=1,", "&amp;M$1,"")</f>
        <v/>
      </c>
      <c r="AL345">
        <f>IF(N345=1,", "&amp;N$1,"")</f>
        <v/>
      </c>
      <c r="AM345">
        <f>IF(O345=1,", "&amp;O$1,"")</f>
        <v/>
      </c>
      <c r="AN345">
        <f>IF(P345=1,", "&amp;P$1,"")</f>
        <v/>
      </c>
      <c r="AO345">
        <f>IF(Q345=1,", "&amp;Q$1,"")</f>
        <v/>
      </c>
      <c r="AP345">
        <f>IF(R345=1,", "&amp;R$1,"")</f>
        <v/>
      </c>
      <c r="AQ345">
        <f>IF(S345=1,", "&amp;S$1,"")</f>
        <v/>
      </c>
      <c r="AR345">
        <f>IF(T345=1,", "&amp;T$1,"")</f>
        <v/>
      </c>
      <c r="AS345">
        <f>IF(U345=1,", "&amp;U$1,"")</f>
        <v/>
      </c>
      <c r="AT345">
        <f>IF(V345=1,", "&amp;V$1,"")</f>
        <v/>
      </c>
      <c r="AU345">
        <f>IF(W345=1,", "&amp;W$1,"")</f>
        <v/>
      </c>
      <c r="AV345">
        <f>IF(X345=1,", "&amp;X$1,"")</f>
        <v/>
      </c>
      <c r="AW345">
        <f>IF(Y345=1,", "&amp;Y$1,"")</f>
        <v/>
      </c>
      <c r="AX345">
        <f>IF(Z345=1,", "&amp;Z$1,"")</f>
        <v/>
      </c>
      <c r="AY345">
        <f>IF(AA345=1,", "&amp;AA$1,"")</f>
        <v/>
      </c>
      <c r="AZ345">
        <f>MID($AB345&amp;$AC345&amp;$AD345&amp;$AE345&amp;$AF345&amp;$AG345&amp;$AH345&amp;$AI345&amp;$AJ345&amp;$AK345&amp;$AL345&amp;$AM345&amp;$AN345&amp;$AO345&amp;$AP345&amp;$AQ345&amp;$AR345&amp;$AS345&amp;$AT345&amp;$AU345&amp;$AV345&amp;$AW345&amp;$AX345&amp;$AY345,3,32767)</f>
        <v/>
      </c>
      <c r="BA345">
        <f>COUNT($D345:$AA345)</f>
        <v/>
      </c>
    </row>
    <row r="346">
      <c r="A346" t="n">
        <v>9</v>
      </c>
      <c r="B346" t="inlineStr">
        <is>
          <t>Time Stop</t>
        </is>
      </c>
      <c r="C346" t="inlineStr">
        <is>
          <t>Transmutation</t>
        </is>
      </c>
      <c r="D346">
        <f>IF(Wizards!$A$2="","",IF(OR(ISNUMBER(SEARCH(", "&amp;$B346&amp;", ", ", "&amp;INDEX('Form Responses'!$I$1:$Q$200,2,$A346)&amp;", ")),ISNUMBER(SEARCH(", "&amp;$B346&amp;", ", ", "&amp;INDEX('Form Responses'!$R$1:$R$200,2)&amp;", "))),1,""))</f>
        <v/>
      </c>
      <c r="E346">
        <f>IF(Wizards!$A$3="","",IF(OR(ISNUMBER(SEARCH(", "&amp;$B346&amp;", ", ", "&amp;INDEX('Form Responses'!$I$1:$Q$200,3,$A346)&amp;", ")),ISNUMBER(SEARCH(", "&amp;$B346&amp;", ", ", "&amp;INDEX('Form Responses'!$R$1:$R$200,3)&amp;", "))),1,""))</f>
        <v/>
      </c>
      <c r="F346">
        <f>IF(Wizards!$A$4="","",IF(OR(ISNUMBER(SEARCH(", "&amp;$B346&amp;", ", ", "&amp;INDEX('Form Responses'!$I$1:$Q$200,4,$A346)&amp;", ")),ISNUMBER(SEARCH(", "&amp;$B346&amp;", ", ", "&amp;INDEX('Form Responses'!$R$1:$R$200,4)&amp;", "))),1,""))</f>
        <v/>
      </c>
      <c r="G346">
        <f>IF(Wizards!$A$5="","",IF(OR(ISNUMBER(SEARCH(", "&amp;$B346&amp;", ", ", "&amp;INDEX('Form Responses'!$I$1:$Q$200,5,$A346)&amp;", ")),ISNUMBER(SEARCH(", "&amp;$B346&amp;", ", ", "&amp;INDEX('Form Responses'!$R$1:$R$200,5)&amp;", "))),1,""))</f>
        <v/>
      </c>
      <c r="H346">
        <f>IF(Wizards!$A$6="","",IF(OR(ISNUMBER(SEARCH(", "&amp;$B346&amp;", ", ", "&amp;INDEX('Form Responses'!$I$1:$Q$200,6,$A346)&amp;", ")),ISNUMBER(SEARCH(", "&amp;$B346&amp;", ", ", "&amp;INDEX('Form Responses'!$R$1:$R$200,6)&amp;", "))),1,""))</f>
        <v/>
      </c>
      <c r="I346">
        <f>IF(Wizards!$A$7="","",IF(OR(ISNUMBER(SEARCH(", "&amp;$B346&amp;", ", ", "&amp;INDEX('Form Responses'!$I$1:$Q$200,7,$A346)&amp;", ")),ISNUMBER(SEARCH(", "&amp;$B346&amp;", ", ", "&amp;INDEX('Form Responses'!$R$1:$R$200,7)&amp;", "))),1,""))</f>
        <v/>
      </c>
      <c r="J346">
        <f>IF(Wizards!$A$8="","",IF(OR(ISNUMBER(SEARCH(", "&amp;$B346&amp;", ", ", "&amp;INDEX('Form Responses'!$I$1:$Q$200,8,$A346)&amp;", ")),ISNUMBER(SEARCH(", "&amp;$B346&amp;", ", ", "&amp;INDEX('Form Responses'!$R$1:$R$200,8)&amp;", "))),1,""))</f>
        <v/>
      </c>
      <c r="K346">
        <f>IF(Wizards!$A$9="","",IF(OR(ISNUMBER(SEARCH(", "&amp;$B346&amp;", ", ", "&amp;INDEX('Form Responses'!$I$1:$Q$200,9,$A346)&amp;", ")),ISNUMBER(SEARCH(", "&amp;$B346&amp;", ", ", "&amp;INDEX('Form Responses'!$R$1:$R$200,9)&amp;", "))),1,""))</f>
        <v/>
      </c>
      <c r="L346">
        <f>IF(Wizards!$A$10="","",IF(OR(ISNUMBER(SEARCH(", "&amp;$B346&amp;", ", ", "&amp;INDEX('Form Responses'!$I$1:$Q$200,10,$A346)&amp;", ")),ISNUMBER(SEARCH(", "&amp;$B346&amp;", ", ", "&amp;INDEX('Form Responses'!$R$1:$R$200,10)&amp;", "))),1,""))</f>
        <v/>
      </c>
      <c r="M346">
        <f>IF(Wizards!$A$11="","",IF(OR(ISNUMBER(SEARCH(", "&amp;$B346&amp;", ", ", "&amp;INDEX('Form Responses'!$I$1:$Q$200,11,$A346)&amp;", ")),ISNUMBER(SEARCH(", "&amp;$B346&amp;", ", ", "&amp;INDEX('Form Responses'!$R$1:$R$200,11)&amp;", "))),1,""))</f>
        <v/>
      </c>
      <c r="N346">
        <f>IF(Wizards!$A$12="","",IF(OR(ISNUMBER(SEARCH(", "&amp;$B346&amp;", ", ", "&amp;INDEX('Form Responses'!$I$1:$Q$200,12,$A346)&amp;", ")),ISNUMBER(SEARCH(", "&amp;$B346&amp;", ", ", "&amp;INDEX('Form Responses'!$R$1:$R$200,12)&amp;", "))),1,""))</f>
        <v/>
      </c>
      <c r="O346">
        <f>IF(Wizards!$A$13="","",IF(OR(ISNUMBER(SEARCH(", "&amp;$B346&amp;", ", ", "&amp;INDEX('Form Responses'!$I$1:$Q$200,13,$A346)&amp;", ")),ISNUMBER(SEARCH(", "&amp;$B346&amp;", ", ", "&amp;INDEX('Form Responses'!$R$1:$R$200,13)&amp;", "))),1,""))</f>
        <v/>
      </c>
      <c r="P346">
        <f>IF(Wizards!$A$14="","",IF(OR(ISNUMBER(SEARCH(", "&amp;$B346&amp;", ", ", "&amp;INDEX('Form Responses'!$I$1:$Q$200,14,$A346)&amp;", ")),ISNUMBER(SEARCH(", "&amp;$B346&amp;", ", ", "&amp;INDEX('Form Responses'!$R$1:$R$200,14)&amp;", "))),1,""))</f>
        <v/>
      </c>
      <c r="Q346">
        <f>IF(Wizards!$A$15="","",IF(OR(ISNUMBER(SEARCH(", "&amp;$B346&amp;", ", ", "&amp;INDEX('Form Responses'!$I$1:$Q$200,15,$A346)&amp;", ")),ISNUMBER(SEARCH(", "&amp;$B346&amp;", ", ", "&amp;INDEX('Form Responses'!$R$1:$R$200,15)&amp;", "))),1,""))</f>
        <v/>
      </c>
      <c r="R346">
        <f>IF(Wizards!$A$16="","",IF(OR(ISNUMBER(SEARCH(", "&amp;$B346&amp;", ", ", "&amp;INDEX('Form Responses'!$I$1:$Q$200,16,$A346)&amp;", ")),ISNUMBER(SEARCH(", "&amp;$B346&amp;", ", ", "&amp;INDEX('Form Responses'!$R$1:$R$200,16)&amp;", "))),1,""))</f>
        <v/>
      </c>
      <c r="S346">
        <f>IF(Wizards!$A$17="","",IF(OR(ISNUMBER(SEARCH(", "&amp;$B346&amp;", ", ", "&amp;INDEX('Form Responses'!$I$1:$Q$200,17,$A346)&amp;", ")),ISNUMBER(SEARCH(", "&amp;$B346&amp;", ", ", "&amp;INDEX('Form Responses'!$R$1:$R$200,17)&amp;", "))),1,""))</f>
        <v/>
      </c>
      <c r="T346">
        <f>IF(Wizards!$A$18="","",IF(OR(ISNUMBER(SEARCH(", "&amp;$B346&amp;", ", ", "&amp;INDEX('Form Responses'!$I$1:$Q$200,18,$A346)&amp;", ")),ISNUMBER(SEARCH(", "&amp;$B346&amp;", ", ", "&amp;INDEX('Form Responses'!$R$1:$R$200,18)&amp;", "))),1,""))</f>
        <v/>
      </c>
      <c r="U346">
        <f>IF(Wizards!$A$19="","",IF(OR(ISNUMBER(SEARCH(", "&amp;$B346&amp;", ", ", "&amp;INDEX('Form Responses'!$I$1:$Q$200,19,$A346)&amp;", ")),ISNUMBER(SEARCH(", "&amp;$B346&amp;", ", ", "&amp;INDEX('Form Responses'!$R$1:$R$200,19)&amp;", "))),1,""))</f>
        <v/>
      </c>
      <c r="V346">
        <f>IF(Wizards!$A$20="","",IF(OR(ISNUMBER(SEARCH(", "&amp;$B346&amp;", ", ", "&amp;INDEX('Form Responses'!$I$1:$Q$200,20,$A346)&amp;", ")),ISNUMBER(SEARCH(", "&amp;$B346&amp;", ", ", "&amp;INDEX('Form Responses'!$R$1:$R$200,20)&amp;", "))),1,""))</f>
        <v/>
      </c>
      <c r="W346">
        <f>IF(Wizards!$A$21="","",IF(OR(ISNUMBER(SEARCH(", "&amp;$B346&amp;", ", ", "&amp;INDEX('Form Responses'!$I$1:$Q$200,21,$A346)&amp;", ")),ISNUMBER(SEARCH(", "&amp;$B346&amp;", ", ", "&amp;INDEX('Form Responses'!$R$1:$R$200,21)&amp;", "))),1,""))</f>
        <v/>
      </c>
      <c r="X346">
        <f>IF(Wizards!$A$22="","",IF(OR(ISNUMBER(SEARCH(", "&amp;$B346&amp;", ", ", "&amp;INDEX('Form Responses'!$I$1:$Q$200,22,$A346)&amp;", ")),ISNUMBER(SEARCH(", "&amp;$B346&amp;", ", ", "&amp;INDEX('Form Responses'!$R$1:$R$200,22)&amp;", "))),1,""))</f>
        <v/>
      </c>
      <c r="Y346">
        <f>IF(Wizards!$A$23="","",IF(OR(ISNUMBER(SEARCH(", "&amp;$B346&amp;", ", ", "&amp;INDEX('Form Responses'!$I$1:$Q$200,23,$A346)&amp;", ")),ISNUMBER(SEARCH(", "&amp;$B346&amp;", ", ", "&amp;INDEX('Form Responses'!$R$1:$R$200,23)&amp;", "))),1,""))</f>
        <v/>
      </c>
      <c r="Z346">
        <f>IF(Wizards!$A$24="","",IF(OR(ISNUMBER(SEARCH(", "&amp;$B346&amp;", ", ", "&amp;INDEX('Form Responses'!$I$1:$Q$200,24,$A346)&amp;", ")),ISNUMBER(SEARCH(", "&amp;$B346&amp;", ", ", "&amp;INDEX('Form Responses'!$R$1:$R$200,24)&amp;", "))),1,""))</f>
        <v/>
      </c>
      <c r="AA346">
        <f>IF(Wizards!$A$25="","",IF(OR(ISNUMBER(SEARCH(", "&amp;$B346&amp;", ", ", "&amp;INDEX('Form Responses'!$I$1:$Q$200,25,$A346)&amp;", ")),ISNUMBER(SEARCH(", "&amp;$B346&amp;", ", ", "&amp;INDEX('Form Responses'!$R$1:$R$200,25)&amp;", "))),1,""))</f>
        <v/>
      </c>
      <c r="AB346">
        <f>IF(D346=1,", "&amp;D$1,"")</f>
        <v/>
      </c>
      <c r="AC346">
        <f>IF(E346=1,", "&amp;E$1,"")</f>
        <v/>
      </c>
      <c r="AD346">
        <f>IF(F346=1,", "&amp;F$1,"")</f>
        <v/>
      </c>
      <c r="AE346">
        <f>IF(G346=1,", "&amp;G$1,"")</f>
        <v/>
      </c>
      <c r="AF346">
        <f>IF(H346=1,", "&amp;H$1,"")</f>
        <v/>
      </c>
      <c r="AG346">
        <f>IF(I346=1,", "&amp;I$1,"")</f>
        <v/>
      </c>
      <c r="AH346">
        <f>IF(J346=1,", "&amp;J$1,"")</f>
        <v/>
      </c>
      <c r="AI346">
        <f>IF(K346=1,", "&amp;K$1,"")</f>
        <v/>
      </c>
      <c r="AJ346">
        <f>IF(L346=1,", "&amp;L$1,"")</f>
        <v/>
      </c>
      <c r="AK346">
        <f>IF(M346=1,", "&amp;M$1,"")</f>
        <v/>
      </c>
      <c r="AL346">
        <f>IF(N346=1,", "&amp;N$1,"")</f>
        <v/>
      </c>
      <c r="AM346">
        <f>IF(O346=1,", "&amp;O$1,"")</f>
        <v/>
      </c>
      <c r="AN346">
        <f>IF(P346=1,", "&amp;P$1,"")</f>
        <v/>
      </c>
      <c r="AO346">
        <f>IF(Q346=1,", "&amp;Q$1,"")</f>
        <v/>
      </c>
      <c r="AP346">
        <f>IF(R346=1,", "&amp;R$1,"")</f>
        <v/>
      </c>
      <c r="AQ346">
        <f>IF(S346=1,", "&amp;S$1,"")</f>
        <v/>
      </c>
      <c r="AR346">
        <f>IF(T346=1,", "&amp;T$1,"")</f>
        <v/>
      </c>
      <c r="AS346">
        <f>IF(U346=1,", "&amp;U$1,"")</f>
        <v/>
      </c>
      <c r="AT346">
        <f>IF(V346=1,", "&amp;V$1,"")</f>
        <v/>
      </c>
      <c r="AU346">
        <f>IF(W346=1,", "&amp;W$1,"")</f>
        <v/>
      </c>
      <c r="AV346">
        <f>IF(X346=1,", "&amp;X$1,"")</f>
        <v/>
      </c>
      <c r="AW346">
        <f>IF(Y346=1,", "&amp;Y$1,"")</f>
        <v/>
      </c>
      <c r="AX346">
        <f>IF(Z346=1,", "&amp;Z$1,"")</f>
        <v/>
      </c>
      <c r="AY346">
        <f>IF(AA346=1,", "&amp;AA$1,"")</f>
        <v/>
      </c>
      <c r="AZ346">
        <f>MID($AB346&amp;$AC346&amp;$AD346&amp;$AE346&amp;$AF346&amp;$AG346&amp;$AH346&amp;$AI346&amp;$AJ346&amp;$AK346&amp;$AL346&amp;$AM346&amp;$AN346&amp;$AO346&amp;$AP346&amp;$AQ346&amp;$AR346&amp;$AS346&amp;$AT346&amp;$AU346&amp;$AV346&amp;$AW346&amp;$AX346&amp;$AY346,3,32767)</f>
        <v/>
      </c>
      <c r="BA346">
        <f>COUNT($D346:$AA346)</f>
        <v/>
      </c>
    </row>
    <row r="347">
      <c r="A347" t="n">
        <v>9</v>
      </c>
      <c r="B347" t="inlineStr">
        <is>
          <t>True Polymorph</t>
        </is>
      </c>
      <c r="C347" t="inlineStr">
        <is>
          <t>Transmutation</t>
        </is>
      </c>
      <c r="D347">
        <f>IF(Wizards!$A$2="","",IF(OR(ISNUMBER(SEARCH(", "&amp;$B347&amp;", ", ", "&amp;INDEX('Form Responses'!$I$1:$Q$200,2,$A347)&amp;", ")),ISNUMBER(SEARCH(", "&amp;$B347&amp;", ", ", "&amp;INDEX('Form Responses'!$R$1:$R$200,2)&amp;", "))),1,""))</f>
        <v/>
      </c>
      <c r="E347">
        <f>IF(Wizards!$A$3="","",IF(OR(ISNUMBER(SEARCH(", "&amp;$B347&amp;", ", ", "&amp;INDEX('Form Responses'!$I$1:$Q$200,3,$A347)&amp;", ")),ISNUMBER(SEARCH(", "&amp;$B347&amp;", ", ", "&amp;INDEX('Form Responses'!$R$1:$R$200,3)&amp;", "))),1,""))</f>
        <v/>
      </c>
      <c r="F347">
        <f>IF(Wizards!$A$4="","",IF(OR(ISNUMBER(SEARCH(", "&amp;$B347&amp;", ", ", "&amp;INDEX('Form Responses'!$I$1:$Q$200,4,$A347)&amp;", ")),ISNUMBER(SEARCH(", "&amp;$B347&amp;", ", ", "&amp;INDEX('Form Responses'!$R$1:$R$200,4)&amp;", "))),1,""))</f>
        <v/>
      </c>
      <c r="G347">
        <f>IF(Wizards!$A$5="","",IF(OR(ISNUMBER(SEARCH(", "&amp;$B347&amp;", ", ", "&amp;INDEX('Form Responses'!$I$1:$Q$200,5,$A347)&amp;", ")),ISNUMBER(SEARCH(", "&amp;$B347&amp;", ", ", "&amp;INDEX('Form Responses'!$R$1:$R$200,5)&amp;", "))),1,""))</f>
        <v/>
      </c>
      <c r="H347">
        <f>IF(Wizards!$A$6="","",IF(OR(ISNUMBER(SEARCH(", "&amp;$B347&amp;", ", ", "&amp;INDEX('Form Responses'!$I$1:$Q$200,6,$A347)&amp;", ")),ISNUMBER(SEARCH(", "&amp;$B347&amp;", ", ", "&amp;INDEX('Form Responses'!$R$1:$R$200,6)&amp;", "))),1,""))</f>
        <v/>
      </c>
      <c r="I347">
        <f>IF(Wizards!$A$7="","",IF(OR(ISNUMBER(SEARCH(", "&amp;$B347&amp;", ", ", "&amp;INDEX('Form Responses'!$I$1:$Q$200,7,$A347)&amp;", ")),ISNUMBER(SEARCH(", "&amp;$B347&amp;", ", ", "&amp;INDEX('Form Responses'!$R$1:$R$200,7)&amp;", "))),1,""))</f>
        <v/>
      </c>
      <c r="J347">
        <f>IF(Wizards!$A$8="","",IF(OR(ISNUMBER(SEARCH(", "&amp;$B347&amp;", ", ", "&amp;INDEX('Form Responses'!$I$1:$Q$200,8,$A347)&amp;", ")),ISNUMBER(SEARCH(", "&amp;$B347&amp;", ", ", "&amp;INDEX('Form Responses'!$R$1:$R$200,8)&amp;", "))),1,""))</f>
        <v/>
      </c>
      <c r="K347">
        <f>IF(Wizards!$A$9="","",IF(OR(ISNUMBER(SEARCH(", "&amp;$B347&amp;", ", ", "&amp;INDEX('Form Responses'!$I$1:$Q$200,9,$A347)&amp;", ")),ISNUMBER(SEARCH(", "&amp;$B347&amp;", ", ", "&amp;INDEX('Form Responses'!$R$1:$R$200,9)&amp;", "))),1,""))</f>
        <v/>
      </c>
      <c r="L347">
        <f>IF(Wizards!$A$10="","",IF(OR(ISNUMBER(SEARCH(", "&amp;$B347&amp;", ", ", "&amp;INDEX('Form Responses'!$I$1:$Q$200,10,$A347)&amp;", ")),ISNUMBER(SEARCH(", "&amp;$B347&amp;", ", ", "&amp;INDEX('Form Responses'!$R$1:$R$200,10)&amp;", "))),1,""))</f>
        <v/>
      </c>
      <c r="M347">
        <f>IF(Wizards!$A$11="","",IF(OR(ISNUMBER(SEARCH(", "&amp;$B347&amp;", ", ", "&amp;INDEX('Form Responses'!$I$1:$Q$200,11,$A347)&amp;", ")),ISNUMBER(SEARCH(", "&amp;$B347&amp;", ", ", "&amp;INDEX('Form Responses'!$R$1:$R$200,11)&amp;", "))),1,""))</f>
        <v/>
      </c>
      <c r="N347">
        <f>IF(Wizards!$A$12="","",IF(OR(ISNUMBER(SEARCH(", "&amp;$B347&amp;", ", ", "&amp;INDEX('Form Responses'!$I$1:$Q$200,12,$A347)&amp;", ")),ISNUMBER(SEARCH(", "&amp;$B347&amp;", ", ", "&amp;INDEX('Form Responses'!$R$1:$R$200,12)&amp;", "))),1,""))</f>
        <v/>
      </c>
      <c r="O347">
        <f>IF(Wizards!$A$13="","",IF(OR(ISNUMBER(SEARCH(", "&amp;$B347&amp;", ", ", "&amp;INDEX('Form Responses'!$I$1:$Q$200,13,$A347)&amp;", ")),ISNUMBER(SEARCH(", "&amp;$B347&amp;", ", ", "&amp;INDEX('Form Responses'!$R$1:$R$200,13)&amp;", "))),1,""))</f>
        <v/>
      </c>
      <c r="P347">
        <f>IF(Wizards!$A$14="","",IF(OR(ISNUMBER(SEARCH(", "&amp;$B347&amp;", ", ", "&amp;INDEX('Form Responses'!$I$1:$Q$200,14,$A347)&amp;", ")),ISNUMBER(SEARCH(", "&amp;$B347&amp;", ", ", "&amp;INDEX('Form Responses'!$R$1:$R$200,14)&amp;", "))),1,""))</f>
        <v/>
      </c>
      <c r="Q347">
        <f>IF(Wizards!$A$15="","",IF(OR(ISNUMBER(SEARCH(", "&amp;$B347&amp;", ", ", "&amp;INDEX('Form Responses'!$I$1:$Q$200,15,$A347)&amp;", ")),ISNUMBER(SEARCH(", "&amp;$B347&amp;", ", ", "&amp;INDEX('Form Responses'!$R$1:$R$200,15)&amp;", "))),1,""))</f>
        <v/>
      </c>
      <c r="R347">
        <f>IF(Wizards!$A$16="","",IF(OR(ISNUMBER(SEARCH(", "&amp;$B347&amp;", ", ", "&amp;INDEX('Form Responses'!$I$1:$Q$200,16,$A347)&amp;", ")),ISNUMBER(SEARCH(", "&amp;$B347&amp;", ", ", "&amp;INDEX('Form Responses'!$R$1:$R$200,16)&amp;", "))),1,""))</f>
        <v/>
      </c>
      <c r="S347">
        <f>IF(Wizards!$A$17="","",IF(OR(ISNUMBER(SEARCH(", "&amp;$B347&amp;", ", ", "&amp;INDEX('Form Responses'!$I$1:$Q$200,17,$A347)&amp;", ")),ISNUMBER(SEARCH(", "&amp;$B347&amp;", ", ", "&amp;INDEX('Form Responses'!$R$1:$R$200,17)&amp;", "))),1,""))</f>
        <v/>
      </c>
      <c r="T347">
        <f>IF(Wizards!$A$18="","",IF(OR(ISNUMBER(SEARCH(", "&amp;$B347&amp;", ", ", "&amp;INDEX('Form Responses'!$I$1:$Q$200,18,$A347)&amp;", ")),ISNUMBER(SEARCH(", "&amp;$B347&amp;", ", ", "&amp;INDEX('Form Responses'!$R$1:$R$200,18)&amp;", "))),1,""))</f>
        <v/>
      </c>
      <c r="U347">
        <f>IF(Wizards!$A$19="","",IF(OR(ISNUMBER(SEARCH(", "&amp;$B347&amp;", ", ", "&amp;INDEX('Form Responses'!$I$1:$Q$200,19,$A347)&amp;", ")),ISNUMBER(SEARCH(", "&amp;$B347&amp;", ", ", "&amp;INDEX('Form Responses'!$R$1:$R$200,19)&amp;", "))),1,""))</f>
        <v/>
      </c>
      <c r="V347">
        <f>IF(Wizards!$A$20="","",IF(OR(ISNUMBER(SEARCH(", "&amp;$B347&amp;", ", ", "&amp;INDEX('Form Responses'!$I$1:$Q$200,20,$A347)&amp;", ")),ISNUMBER(SEARCH(", "&amp;$B347&amp;", ", ", "&amp;INDEX('Form Responses'!$R$1:$R$200,20)&amp;", "))),1,""))</f>
        <v/>
      </c>
      <c r="W347">
        <f>IF(Wizards!$A$21="","",IF(OR(ISNUMBER(SEARCH(", "&amp;$B347&amp;", ", ", "&amp;INDEX('Form Responses'!$I$1:$Q$200,21,$A347)&amp;", ")),ISNUMBER(SEARCH(", "&amp;$B347&amp;", ", ", "&amp;INDEX('Form Responses'!$R$1:$R$200,21)&amp;", "))),1,""))</f>
        <v/>
      </c>
      <c r="X347">
        <f>IF(Wizards!$A$22="","",IF(OR(ISNUMBER(SEARCH(", "&amp;$B347&amp;", ", ", "&amp;INDEX('Form Responses'!$I$1:$Q$200,22,$A347)&amp;", ")),ISNUMBER(SEARCH(", "&amp;$B347&amp;", ", ", "&amp;INDEX('Form Responses'!$R$1:$R$200,22)&amp;", "))),1,""))</f>
        <v/>
      </c>
      <c r="Y347">
        <f>IF(Wizards!$A$23="","",IF(OR(ISNUMBER(SEARCH(", "&amp;$B347&amp;", ", ", "&amp;INDEX('Form Responses'!$I$1:$Q$200,23,$A347)&amp;", ")),ISNUMBER(SEARCH(", "&amp;$B347&amp;", ", ", "&amp;INDEX('Form Responses'!$R$1:$R$200,23)&amp;", "))),1,""))</f>
        <v/>
      </c>
      <c r="Z347">
        <f>IF(Wizards!$A$24="","",IF(OR(ISNUMBER(SEARCH(", "&amp;$B347&amp;", ", ", "&amp;INDEX('Form Responses'!$I$1:$Q$200,24,$A347)&amp;", ")),ISNUMBER(SEARCH(", "&amp;$B347&amp;", ", ", "&amp;INDEX('Form Responses'!$R$1:$R$200,24)&amp;", "))),1,""))</f>
        <v/>
      </c>
      <c r="AA347">
        <f>IF(Wizards!$A$25="","",IF(OR(ISNUMBER(SEARCH(", "&amp;$B347&amp;", ", ", "&amp;INDEX('Form Responses'!$I$1:$Q$200,25,$A347)&amp;", ")),ISNUMBER(SEARCH(", "&amp;$B347&amp;", ", ", "&amp;INDEX('Form Responses'!$R$1:$R$200,25)&amp;", "))),1,""))</f>
        <v/>
      </c>
      <c r="AB347">
        <f>IF(D347=1,", "&amp;D$1,"")</f>
        <v/>
      </c>
      <c r="AC347">
        <f>IF(E347=1,", "&amp;E$1,"")</f>
        <v/>
      </c>
      <c r="AD347">
        <f>IF(F347=1,", "&amp;F$1,"")</f>
        <v/>
      </c>
      <c r="AE347">
        <f>IF(G347=1,", "&amp;G$1,"")</f>
        <v/>
      </c>
      <c r="AF347">
        <f>IF(H347=1,", "&amp;H$1,"")</f>
        <v/>
      </c>
      <c r="AG347">
        <f>IF(I347=1,", "&amp;I$1,"")</f>
        <v/>
      </c>
      <c r="AH347">
        <f>IF(J347=1,", "&amp;J$1,"")</f>
        <v/>
      </c>
      <c r="AI347">
        <f>IF(K347=1,", "&amp;K$1,"")</f>
        <v/>
      </c>
      <c r="AJ347">
        <f>IF(L347=1,", "&amp;L$1,"")</f>
        <v/>
      </c>
      <c r="AK347">
        <f>IF(M347=1,", "&amp;M$1,"")</f>
        <v/>
      </c>
      <c r="AL347">
        <f>IF(N347=1,", "&amp;N$1,"")</f>
        <v/>
      </c>
      <c r="AM347">
        <f>IF(O347=1,", "&amp;O$1,"")</f>
        <v/>
      </c>
      <c r="AN347">
        <f>IF(P347=1,", "&amp;P$1,"")</f>
        <v/>
      </c>
      <c r="AO347">
        <f>IF(Q347=1,", "&amp;Q$1,"")</f>
        <v/>
      </c>
      <c r="AP347">
        <f>IF(R347=1,", "&amp;R$1,"")</f>
        <v/>
      </c>
      <c r="AQ347">
        <f>IF(S347=1,", "&amp;S$1,"")</f>
        <v/>
      </c>
      <c r="AR347">
        <f>IF(T347=1,", "&amp;T$1,"")</f>
        <v/>
      </c>
      <c r="AS347">
        <f>IF(U347=1,", "&amp;U$1,"")</f>
        <v/>
      </c>
      <c r="AT347">
        <f>IF(V347=1,", "&amp;V$1,"")</f>
        <v/>
      </c>
      <c r="AU347">
        <f>IF(W347=1,", "&amp;W$1,"")</f>
        <v/>
      </c>
      <c r="AV347">
        <f>IF(X347=1,", "&amp;X$1,"")</f>
        <v/>
      </c>
      <c r="AW347">
        <f>IF(Y347=1,", "&amp;Y$1,"")</f>
        <v/>
      </c>
      <c r="AX347">
        <f>IF(Z347=1,", "&amp;Z$1,"")</f>
        <v/>
      </c>
      <c r="AY347">
        <f>IF(AA347=1,", "&amp;AA$1,"")</f>
        <v/>
      </c>
      <c r="AZ347">
        <f>MID($AB347&amp;$AC347&amp;$AD347&amp;$AE347&amp;$AF347&amp;$AG347&amp;$AH347&amp;$AI347&amp;$AJ347&amp;$AK347&amp;$AL347&amp;$AM347&amp;$AN347&amp;$AO347&amp;$AP347&amp;$AQ347&amp;$AR347&amp;$AS347&amp;$AT347&amp;$AU347&amp;$AV347&amp;$AW347&amp;$AX347&amp;$AY347,3,32767)</f>
        <v/>
      </c>
      <c r="BA347">
        <f>COUNT($D347:$AA347)</f>
        <v/>
      </c>
    </row>
    <row r="348">
      <c r="A348" t="n">
        <v>9</v>
      </c>
      <c r="B348" t="inlineStr">
        <is>
          <t>Vision of Elapsing Eons</t>
        </is>
      </c>
      <c r="C348" t="inlineStr">
        <is>
          <t>Illusion</t>
        </is>
      </c>
      <c r="D348">
        <f>IF(Wizards!$A$2="","",IF(OR(ISNUMBER(SEARCH(", "&amp;$B348&amp;", ", ", "&amp;INDEX('Form Responses'!$I$1:$Q$200,2,$A348)&amp;", ")),ISNUMBER(SEARCH(", "&amp;$B348&amp;", ", ", "&amp;INDEX('Form Responses'!$R$1:$R$200,2)&amp;", "))),1,""))</f>
        <v/>
      </c>
      <c r="E348">
        <f>IF(Wizards!$A$3="","",IF(OR(ISNUMBER(SEARCH(", "&amp;$B348&amp;", ", ", "&amp;INDEX('Form Responses'!$I$1:$Q$200,3,$A348)&amp;", ")),ISNUMBER(SEARCH(", "&amp;$B348&amp;", ", ", "&amp;INDEX('Form Responses'!$R$1:$R$200,3)&amp;", "))),1,""))</f>
        <v/>
      </c>
      <c r="F348">
        <f>IF(Wizards!$A$4="","",IF(OR(ISNUMBER(SEARCH(", "&amp;$B348&amp;", ", ", "&amp;INDEX('Form Responses'!$I$1:$Q$200,4,$A348)&amp;", ")),ISNUMBER(SEARCH(", "&amp;$B348&amp;", ", ", "&amp;INDEX('Form Responses'!$R$1:$R$200,4)&amp;", "))),1,""))</f>
        <v/>
      </c>
      <c r="G348">
        <f>IF(Wizards!$A$5="","",IF(OR(ISNUMBER(SEARCH(", "&amp;$B348&amp;", ", ", "&amp;INDEX('Form Responses'!$I$1:$Q$200,5,$A348)&amp;", ")),ISNUMBER(SEARCH(", "&amp;$B348&amp;", ", ", "&amp;INDEX('Form Responses'!$R$1:$R$200,5)&amp;", "))),1,""))</f>
        <v/>
      </c>
      <c r="H348">
        <f>IF(Wizards!$A$6="","",IF(OR(ISNUMBER(SEARCH(", "&amp;$B348&amp;", ", ", "&amp;INDEX('Form Responses'!$I$1:$Q$200,6,$A348)&amp;", ")),ISNUMBER(SEARCH(", "&amp;$B348&amp;", ", ", "&amp;INDEX('Form Responses'!$R$1:$R$200,6)&amp;", "))),1,""))</f>
        <v/>
      </c>
      <c r="I348">
        <f>IF(Wizards!$A$7="","",IF(OR(ISNUMBER(SEARCH(", "&amp;$B348&amp;", ", ", "&amp;INDEX('Form Responses'!$I$1:$Q$200,7,$A348)&amp;", ")),ISNUMBER(SEARCH(", "&amp;$B348&amp;", ", ", "&amp;INDEX('Form Responses'!$R$1:$R$200,7)&amp;", "))),1,""))</f>
        <v/>
      </c>
      <c r="J348">
        <f>IF(Wizards!$A$8="","",IF(OR(ISNUMBER(SEARCH(", "&amp;$B348&amp;", ", ", "&amp;INDEX('Form Responses'!$I$1:$Q$200,8,$A348)&amp;", ")),ISNUMBER(SEARCH(", "&amp;$B348&amp;", ", ", "&amp;INDEX('Form Responses'!$R$1:$R$200,8)&amp;", "))),1,""))</f>
        <v/>
      </c>
      <c r="K348">
        <f>IF(Wizards!$A$9="","",IF(OR(ISNUMBER(SEARCH(", "&amp;$B348&amp;", ", ", "&amp;INDEX('Form Responses'!$I$1:$Q$200,9,$A348)&amp;", ")),ISNUMBER(SEARCH(", "&amp;$B348&amp;", ", ", "&amp;INDEX('Form Responses'!$R$1:$R$200,9)&amp;", "))),1,""))</f>
        <v/>
      </c>
      <c r="L348">
        <f>IF(Wizards!$A$10="","",IF(OR(ISNUMBER(SEARCH(", "&amp;$B348&amp;", ", ", "&amp;INDEX('Form Responses'!$I$1:$Q$200,10,$A348)&amp;", ")),ISNUMBER(SEARCH(", "&amp;$B348&amp;", ", ", "&amp;INDEX('Form Responses'!$R$1:$R$200,10)&amp;", "))),1,""))</f>
        <v/>
      </c>
      <c r="M348">
        <f>IF(Wizards!$A$11="","",IF(OR(ISNUMBER(SEARCH(", "&amp;$B348&amp;", ", ", "&amp;INDEX('Form Responses'!$I$1:$Q$200,11,$A348)&amp;", ")),ISNUMBER(SEARCH(", "&amp;$B348&amp;", ", ", "&amp;INDEX('Form Responses'!$R$1:$R$200,11)&amp;", "))),1,""))</f>
        <v/>
      </c>
      <c r="N348">
        <f>IF(Wizards!$A$12="","",IF(OR(ISNUMBER(SEARCH(", "&amp;$B348&amp;", ", ", "&amp;INDEX('Form Responses'!$I$1:$Q$200,12,$A348)&amp;", ")),ISNUMBER(SEARCH(", "&amp;$B348&amp;", ", ", "&amp;INDEX('Form Responses'!$R$1:$R$200,12)&amp;", "))),1,""))</f>
        <v/>
      </c>
      <c r="O348">
        <f>IF(Wizards!$A$13="","",IF(OR(ISNUMBER(SEARCH(", "&amp;$B348&amp;", ", ", "&amp;INDEX('Form Responses'!$I$1:$Q$200,13,$A348)&amp;", ")),ISNUMBER(SEARCH(", "&amp;$B348&amp;", ", ", "&amp;INDEX('Form Responses'!$R$1:$R$200,13)&amp;", "))),1,""))</f>
        <v/>
      </c>
      <c r="P348">
        <f>IF(Wizards!$A$14="","",IF(OR(ISNUMBER(SEARCH(", "&amp;$B348&amp;", ", ", "&amp;INDEX('Form Responses'!$I$1:$Q$200,14,$A348)&amp;", ")),ISNUMBER(SEARCH(", "&amp;$B348&amp;", ", ", "&amp;INDEX('Form Responses'!$R$1:$R$200,14)&amp;", "))),1,""))</f>
        <v/>
      </c>
      <c r="Q348">
        <f>IF(Wizards!$A$15="","",IF(OR(ISNUMBER(SEARCH(", "&amp;$B348&amp;", ", ", "&amp;INDEX('Form Responses'!$I$1:$Q$200,15,$A348)&amp;", ")),ISNUMBER(SEARCH(", "&amp;$B348&amp;", ", ", "&amp;INDEX('Form Responses'!$R$1:$R$200,15)&amp;", "))),1,""))</f>
        <v/>
      </c>
      <c r="R348">
        <f>IF(Wizards!$A$16="","",IF(OR(ISNUMBER(SEARCH(", "&amp;$B348&amp;", ", ", "&amp;INDEX('Form Responses'!$I$1:$Q$200,16,$A348)&amp;", ")),ISNUMBER(SEARCH(", "&amp;$B348&amp;", ", ", "&amp;INDEX('Form Responses'!$R$1:$R$200,16)&amp;", "))),1,""))</f>
        <v/>
      </c>
      <c r="S348">
        <f>IF(Wizards!$A$17="","",IF(OR(ISNUMBER(SEARCH(", "&amp;$B348&amp;", ", ", "&amp;INDEX('Form Responses'!$I$1:$Q$200,17,$A348)&amp;", ")),ISNUMBER(SEARCH(", "&amp;$B348&amp;", ", ", "&amp;INDEX('Form Responses'!$R$1:$R$200,17)&amp;", "))),1,""))</f>
        <v/>
      </c>
      <c r="T348">
        <f>IF(Wizards!$A$18="","",IF(OR(ISNUMBER(SEARCH(", "&amp;$B348&amp;", ", ", "&amp;INDEX('Form Responses'!$I$1:$Q$200,18,$A348)&amp;", ")),ISNUMBER(SEARCH(", "&amp;$B348&amp;", ", ", "&amp;INDEX('Form Responses'!$R$1:$R$200,18)&amp;", "))),1,""))</f>
        <v/>
      </c>
      <c r="U348">
        <f>IF(Wizards!$A$19="","",IF(OR(ISNUMBER(SEARCH(", "&amp;$B348&amp;", ", ", "&amp;INDEX('Form Responses'!$I$1:$Q$200,19,$A348)&amp;", ")),ISNUMBER(SEARCH(", "&amp;$B348&amp;", ", ", "&amp;INDEX('Form Responses'!$R$1:$R$200,19)&amp;", "))),1,""))</f>
        <v/>
      </c>
      <c r="V348">
        <f>IF(Wizards!$A$20="","",IF(OR(ISNUMBER(SEARCH(", "&amp;$B348&amp;", ", ", "&amp;INDEX('Form Responses'!$I$1:$Q$200,20,$A348)&amp;", ")),ISNUMBER(SEARCH(", "&amp;$B348&amp;", ", ", "&amp;INDEX('Form Responses'!$R$1:$R$200,20)&amp;", "))),1,""))</f>
        <v/>
      </c>
      <c r="W348">
        <f>IF(Wizards!$A$21="","",IF(OR(ISNUMBER(SEARCH(", "&amp;$B348&amp;", ", ", "&amp;INDEX('Form Responses'!$I$1:$Q$200,21,$A348)&amp;", ")),ISNUMBER(SEARCH(", "&amp;$B348&amp;", ", ", "&amp;INDEX('Form Responses'!$R$1:$R$200,21)&amp;", "))),1,""))</f>
        <v/>
      </c>
      <c r="X348">
        <f>IF(Wizards!$A$22="","",IF(OR(ISNUMBER(SEARCH(", "&amp;$B348&amp;", ", ", "&amp;INDEX('Form Responses'!$I$1:$Q$200,22,$A348)&amp;", ")),ISNUMBER(SEARCH(", "&amp;$B348&amp;", ", ", "&amp;INDEX('Form Responses'!$R$1:$R$200,22)&amp;", "))),1,""))</f>
        <v/>
      </c>
      <c r="Y348">
        <f>IF(Wizards!$A$23="","",IF(OR(ISNUMBER(SEARCH(", "&amp;$B348&amp;", ", ", "&amp;INDEX('Form Responses'!$I$1:$Q$200,23,$A348)&amp;", ")),ISNUMBER(SEARCH(", "&amp;$B348&amp;", ", ", "&amp;INDEX('Form Responses'!$R$1:$R$200,23)&amp;", "))),1,""))</f>
        <v/>
      </c>
      <c r="Z348">
        <f>IF(Wizards!$A$24="","",IF(OR(ISNUMBER(SEARCH(", "&amp;$B348&amp;", ", ", "&amp;INDEX('Form Responses'!$I$1:$Q$200,24,$A348)&amp;", ")),ISNUMBER(SEARCH(", "&amp;$B348&amp;", ", ", "&amp;INDEX('Form Responses'!$R$1:$R$200,24)&amp;", "))),1,""))</f>
        <v/>
      </c>
      <c r="AA348">
        <f>IF(Wizards!$A$25="","",IF(OR(ISNUMBER(SEARCH(", "&amp;$B348&amp;", ", ", "&amp;INDEX('Form Responses'!$I$1:$Q$200,25,$A348)&amp;", ")),ISNUMBER(SEARCH(", "&amp;$B348&amp;", ", ", "&amp;INDEX('Form Responses'!$R$1:$R$200,25)&amp;", "))),1,""))</f>
        <v/>
      </c>
      <c r="AB348">
        <f>IF(D348=1,", "&amp;D$1,"")</f>
        <v/>
      </c>
      <c r="AC348">
        <f>IF(E348=1,", "&amp;E$1,"")</f>
        <v/>
      </c>
      <c r="AD348">
        <f>IF(F348=1,", "&amp;F$1,"")</f>
        <v/>
      </c>
      <c r="AE348">
        <f>IF(G348=1,", "&amp;G$1,"")</f>
        <v/>
      </c>
      <c r="AF348">
        <f>IF(H348=1,", "&amp;H$1,"")</f>
        <v/>
      </c>
      <c r="AG348">
        <f>IF(I348=1,", "&amp;I$1,"")</f>
        <v/>
      </c>
      <c r="AH348">
        <f>IF(J348=1,", "&amp;J$1,"")</f>
        <v/>
      </c>
      <c r="AI348">
        <f>IF(K348=1,", "&amp;K$1,"")</f>
        <v/>
      </c>
      <c r="AJ348">
        <f>IF(L348=1,", "&amp;L$1,"")</f>
        <v/>
      </c>
      <c r="AK348">
        <f>IF(M348=1,", "&amp;M$1,"")</f>
        <v/>
      </c>
      <c r="AL348">
        <f>IF(N348=1,", "&amp;N$1,"")</f>
        <v/>
      </c>
      <c r="AM348">
        <f>IF(O348=1,", "&amp;O$1,"")</f>
        <v/>
      </c>
      <c r="AN348">
        <f>IF(P348=1,", "&amp;P$1,"")</f>
        <v/>
      </c>
      <c r="AO348">
        <f>IF(Q348=1,", "&amp;Q$1,"")</f>
        <v/>
      </c>
      <c r="AP348">
        <f>IF(R348=1,", "&amp;R$1,"")</f>
        <v/>
      </c>
      <c r="AQ348">
        <f>IF(S348=1,", "&amp;S$1,"")</f>
        <v/>
      </c>
      <c r="AR348">
        <f>IF(T348=1,", "&amp;T$1,"")</f>
        <v/>
      </c>
      <c r="AS348">
        <f>IF(U348=1,", "&amp;U$1,"")</f>
        <v/>
      </c>
      <c r="AT348">
        <f>IF(V348=1,", "&amp;V$1,"")</f>
        <v/>
      </c>
      <c r="AU348">
        <f>IF(W348=1,", "&amp;W$1,"")</f>
        <v/>
      </c>
      <c r="AV348">
        <f>IF(X348=1,", "&amp;X$1,"")</f>
        <v/>
      </c>
      <c r="AW348">
        <f>IF(Y348=1,", "&amp;Y$1,"")</f>
        <v/>
      </c>
      <c r="AX348">
        <f>IF(Z348=1,", "&amp;Z$1,"")</f>
        <v/>
      </c>
      <c r="AY348">
        <f>IF(AA348=1,", "&amp;AA$1,"")</f>
        <v/>
      </c>
      <c r="AZ348">
        <f>MID($AB348&amp;$AC348&amp;$AD348&amp;$AE348&amp;$AF348&amp;$AG348&amp;$AH348&amp;$AI348&amp;$AJ348&amp;$AK348&amp;$AL348&amp;$AM348&amp;$AN348&amp;$AO348&amp;$AP348&amp;$AQ348&amp;$AR348&amp;$AS348&amp;$AT348&amp;$AU348&amp;$AV348&amp;$AW348&amp;$AX348&amp;$AY348,3,32767)</f>
        <v/>
      </c>
      <c r="BA348">
        <f>COUNT($D348:$AA348)</f>
        <v/>
      </c>
    </row>
    <row r="349">
      <c r="A349" t="n">
        <v>9</v>
      </c>
      <c r="B349" t="inlineStr">
        <is>
          <t>Wail of the Banshee</t>
        </is>
      </c>
      <c r="C349" t="inlineStr">
        <is>
          <t>Necromancy</t>
        </is>
      </c>
      <c r="D349">
        <f>IF(Wizards!$A$2="","",IF(OR(ISNUMBER(SEARCH(", "&amp;$B349&amp;", ", ", "&amp;INDEX('Form Responses'!$I$1:$Q$200,2,$A349)&amp;", ")),ISNUMBER(SEARCH(", "&amp;$B349&amp;", ", ", "&amp;INDEX('Form Responses'!$R$1:$R$200,2)&amp;", "))),1,""))</f>
        <v/>
      </c>
      <c r="E349">
        <f>IF(Wizards!$A$3="","",IF(OR(ISNUMBER(SEARCH(", "&amp;$B349&amp;", ", ", "&amp;INDEX('Form Responses'!$I$1:$Q$200,3,$A349)&amp;", ")),ISNUMBER(SEARCH(", "&amp;$B349&amp;", ", ", "&amp;INDEX('Form Responses'!$R$1:$R$200,3)&amp;", "))),1,""))</f>
        <v/>
      </c>
      <c r="F349">
        <f>IF(Wizards!$A$4="","",IF(OR(ISNUMBER(SEARCH(", "&amp;$B349&amp;", ", ", "&amp;INDEX('Form Responses'!$I$1:$Q$200,4,$A349)&amp;", ")),ISNUMBER(SEARCH(", "&amp;$B349&amp;", ", ", "&amp;INDEX('Form Responses'!$R$1:$R$200,4)&amp;", "))),1,""))</f>
        <v/>
      </c>
      <c r="G349">
        <f>IF(Wizards!$A$5="","",IF(OR(ISNUMBER(SEARCH(", "&amp;$B349&amp;", ", ", "&amp;INDEX('Form Responses'!$I$1:$Q$200,5,$A349)&amp;", ")),ISNUMBER(SEARCH(", "&amp;$B349&amp;", ", ", "&amp;INDEX('Form Responses'!$R$1:$R$200,5)&amp;", "))),1,""))</f>
        <v/>
      </c>
      <c r="H349">
        <f>IF(Wizards!$A$6="","",IF(OR(ISNUMBER(SEARCH(", "&amp;$B349&amp;", ", ", "&amp;INDEX('Form Responses'!$I$1:$Q$200,6,$A349)&amp;", ")),ISNUMBER(SEARCH(", "&amp;$B349&amp;", ", ", "&amp;INDEX('Form Responses'!$R$1:$R$200,6)&amp;", "))),1,""))</f>
        <v/>
      </c>
      <c r="I349">
        <f>IF(Wizards!$A$7="","",IF(OR(ISNUMBER(SEARCH(", "&amp;$B349&amp;", ", ", "&amp;INDEX('Form Responses'!$I$1:$Q$200,7,$A349)&amp;", ")),ISNUMBER(SEARCH(", "&amp;$B349&amp;", ", ", "&amp;INDEX('Form Responses'!$R$1:$R$200,7)&amp;", "))),1,""))</f>
        <v/>
      </c>
      <c r="J349">
        <f>IF(Wizards!$A$8="","",IF(OR(ISNUMBER(SEARCH(", "&amp;$B349&amp;", ", ", "&amp;INDEX('Form Responses'!$I$1:$Q$200,8,$A349)&amp;", ")),ISNUMBER(SEARCH(", "&amp;$B349&amp;", ", ", "&amp;INDEX('Form Responses'!$R$1:$R$200,8)&amp;", "))),1,""))</f>
        <v/>
      </c>
      <c r="K349">
        <f>IF(Wizards!$A$9="","",IF(OR(ISNUMBER(SEARCH(", "&amp;$B349&amp;", ", ", "&amp;INDEX('Form Responses'!$I$1:$Q$200,9,$A349)&amp;", ")),ISNUMBER(SEARCH(", "&amp;$B349&amp;", ", ", "&amp;INDEX('Form Responses'!$R$1:$R$200,9)&amp;", "))),1,""))</f>
        <v/>
      </c>
      <c r="L349">
        <f>IF(Wizards!$A$10="","",IF(OR(ISNUMBER(SEARCH(", "&amp;$B349&amp;", ", ", "&amp;INDEX('Form Responses'!$I$1:$Q$200,10,$A349)&amp;", ")),ISNUMBER(SEARCH(", "&amp;$B349&amp;", ", ", "&amp;INDEX('Form Responses'!$R$1:$R$200,10)&amp;", "))),1,""))</f>
        <v/>
      </c>
      <c r="M349">
        <f>IF(Wizards!$A$11="","",IF(OR(ISNUMBER(SEARCH(", "&amp;$B349&amp;", ", ", "&amp;INDEX('Form Responses'!$I$1:$Q$200,11,$A349)&amp;", ")),ISNUMBER(SEARCH(", "&amp;$B349&amp;", ", ", "&amp;INDEX('Form Responses'!$R$1:$R$200,11)&amp;", "))),1,""))</f>
        <v/>
      </c>
      <c r="N349">
        <f>IF(Wizards!$A$12="","",IF(OR(ISNUMBER(SEARCH(", "&amp;$B349&amp;", ", ", "&amp;INDEX('Form Responses'!$I$1:$Q$200,12,$A349)&amp;", ")),ISNUMBER(SEARCH(", "&amp;$B349&amp;", ", ", "&amp;INDEX('Form Responses'!$R$1:$R$200,12)&amp;", "))),1,""))</f>
        <v/>
      </c>
      <c r="O349">
        <f>IF(Wizards!$A$13="","",IF(OR(ISNUMBER(SEARCH(", "&amp;$B349&amp;", ", ", "&amp;INDEX('Form Responses'!$I$1:$Q$200,13,$A349)&amp;", ")),ISNUMBER(SEARCH(", "&amp;$B349&amp;", ", ", "&amp;INDEX('Form Responses'!$R$1:$R$200,13)&amp;", "))),1,""))</f>
        <v/>
      </c>
      <c r="P349">
        <f>IF(Wizards!$A$14="","",IF(OR(ISNUMBER(SEARCH(", "&amp;$B349&amp;", ", ", "&amp;INDEX('Form Responses'!$I$1:$Q$200,14,$A349)&amp;", ")),ISNUMBER(SEARCH(", "&amp;$B349&amp;", ", ", "&amp;INDEX('Form Responses'!$R$1:$R$200,14)&amp;", "))),1,""))</f>
        <v/>
      </c>
      <c r="Q349">
        <f>IF(Wizards!$A$15="","",IF(OR(ISNUMBER(SEARCH(", "&amp;$B349&amp;", ", ", "&amp;INDEX('Form Responses'!$I$1:$Q$200,15,$A349)&amp;", ")),ISNUMBER(SEARCH(", "&amp;$B349&amp;", ", ", "&amp;INDEX('Form Responses'!$R$1:$R$200,15)&amp;", "))),1,""))</f>
        <v/>
      </c>
      <c r="R349">
        <f>IF(Wizards!$A$16="","",IF(OR(ISNUMBER(SEARCH(", "&amp;$B349&amp;", ", ", "&amp;INDEX('Form Responses'!$I$1:$Q$200,16,$A349)&amp;", ")),ISNUMBER(SEARCH(", "&amp;$B349&amp;", ", ", "&amp;INDEX('Form Responses'!$R$1:$R$200,16)&amp;", "))),1,""))</f>
        <v/>
      </c>
      <c r="S349">
        <f>IF(Wizards!$A$17="","",IF(OR(ISNUMBER(SEARCH(", "&amp;$B349&amp;", ", ", "&amp;INDEX('Form Responses'!$I$1:$Q$200,17,$A349)&amp;", ")),ISNUMBER(SEARCH(", "&amp;$B349&amp;", ", ", "&amp;INDEX('Form Responses'!$R$1:$R$200,17)&amp;", "))),1,""))</f>
        <v/>
      </c>
      <c r="T349">
        <f>IF(Wizards!$A$18="","",IF(OR(ISNUMBER(SEARCH(", "&amp;$B349&amp;", ", ", "&amp;INDEX('Form Responses'!$I$1:$Q$200,18,$A349)&amp;", ")),ISNUMBER(SEARCH(", "&amp;$B349&amp;", ", ", "&amp;INDEX('Form Responses'!$R$1:$R$200,18)&amp;", "))),1,""))</f>
        <v/>
      </c>
      <c r="U349">
        <f>IF(Wizards!$A$19="","",IF(OR(ISNUMBER(SEARCH(", "&amp;$B349&amp;", ", ", "&amp;INDEX('Form Responses'!$I$1:$Q$200,19,$A349)&amp;", ")),ISNUMBER(SEARCH(", "&amp;$B349&amp;", ", ", "&amp;INDEX('Form Responses'!$R$1:$R$200,19)&amp;", "))),1,""))</f>
        <v/>
      </c>
      <c r="V349">
        <f>IF(Wizards!$A$20="","",IF(OR(ISNUMBER(SEARCH(", "&amp;$B349&amp;", ", ", "&amp;INDEX('Form Responses'!$I$1:$Q$200,20,$A349)&amp;", ")),ISNUMBER(SEARCH(", "&amp;$B349&amp;", ", ", "&amp;INDEX('Form Responses'!$R$1:$R$200,20)&amp;", "))),1,""))</f>
        <v/>
      </c>
      <c r="W349">
        <f>IF(Wizards!$A$21="","",IF(OR(ISNUMBER(SEARCH(", "&amp;$B349&amp;", ", ", "&amp;INDEX('Form Responses'!$I$1:$Q$200,21,$A349)&amp;", ")),ISNUMBER(SEARCH(", "&amp;$B349&amp;", ", ", "&amp;INDEX('Form Responses'!$R$1:$R$200,21)&amp;", "))),1,""))</f>
        <v/>
      </c>
      <c r="X349">
        <f>IF(Wizards!$A$22="","",IF(OR(ISNUMBER(SEARCH(", "&amp;$B349&amp;", ", ", "&amp;INDEX('Form Responses'!$I$1:$Q$200,22,$A349)&amp;", ")),ISNUMBER(SEARCH(", "&amp;$B349&amp;", ", ", "&amp;INDEX('Form Responses'!$R$1:$R$200,22)&amp;", "))),1,""))</f>
        <v/>
      </c>
      <c r="Y349">
        <f>IF(Wizards!$A$23="","",IF(OR(ISNUMBER(SEARCH(", "&amp;$B349&amp;", ", ", "&amp;INDEX('Form Responses'!$I$1:$Q$200,23,$A349)&amp;", ")),ISNUMBER(SEARCH(", "&amp;$B349&amp;", ", ", "&amp;INDEX('Form Responses'!$R$1:$R$200,23)&amp;", "))),1,""))</f>
        <v/>
      </c>
      <c r="Z349">
        <f>IF(Wizards!$A$24="","",IF(OR(ISNUMBER(SEARCH(", "&amp;$B349&amp;", ", ", "&amp;INDEX('Form Responses'!$I$1:$Q$200,24,$A349)&amp;", ")),ISNUMBER(SEARCH(", "&amp;$B349&amp;", ", ", "&amp;INDEX('Form Responses'!$R$1:$R$200,24)&amp;", "))),1,""))</f>
        <v/>
      </c>
      <c r="AA349">
        <f>IF(Wizards!$A$25="","",IF(OR(ISNUMBER(SEARCH(", "&amp;$B349&amp;", ", ", "&amp;INDEX('Form Responses'!$I$1:$Q$200,25,$A349)&amp;", ")),ISNUMBER(SEARCH(", "&amp;$B349&amp;", ", ", "&amp;INDEX('Form Responses'!$R$1:$R$200,25)&amp;", "))),1,""))</f>
        <v/>
      </c>
      <c r="AB349">
        <f>IF(D349=1,", "&amp;D$1,"")</f>
        <v/>
      </c>
      <c r="AC349">
        <f>IF(E349=1,", "&amp;E$1,"")</f>
        <v/>
      </c>
      <c r="AD349">
        <f>IF(F349=1,", "&amp;F$1,"")</f>
        <v/>
      </c>
      <c r="AE349">
        <f>IF(G349=1,", "&amp;G$1,"")</f>
        <v/>
      </c>
      <c r="AF349">
        <f>IF(H349=1,", "&amp;H$1,"")</f>
        <v/>
      </c>
      <c r="AG349">
        <f>IF(I349=1,", "&amp;I$1,"")</f>
        <v/>
      </c>
      <c r="AH349">
        <f>IF(J349=1,", "&amp;J$1,"")</f>
        <v/>
      </c>
      <c r="AI349">
        <f>IF(K349=1,", "&amp;K$1,"")</f>
        <v/>
      </c>
      <c r="AJ349">
        <f>IF(L349=1,", "&amp;L$1,"")</f>
        <v/>
      </c>
      <c r="AK349">
        <f>IF(M349=1,", "&amp;M$1,"")</f>
        <v/>
      </c>
      <c r="AL349">
        <f>IF(N349=1,", "&amp;N$1,"")</f>
        <v/>
      </c>
      <c r="AM349">
        <f>IF(O349=1,", "&amp;O$1,"")</f>
        <v/>
      </c>
      <c r="AN349">
        <f>IF(P349=1,", "&amp;P$1,"")</f>
        <v/>
      </c>
      <c r="AO349">
        <f>IF(Q349=1,", "&amp;Q$1,"")</f>
        <v/>
      </c>
      <c r="AP349">
        <f>IF(R349=1,", "&amp;R$1,"")</f>
        <v/>
      </c>
      <c r="AQ349">
        <f>IF(S349=1,", "&amp;S$1,"")</f>
        <v/>
      </c>
      <c r="AR349">
        <f>IF(T349=1,", "&amp;T$1,"")</f>
        <v/>
      </c>
      <c r="AS349">
        <f>IF(U349=1,", "&amp;U$1,"")</f>
        <v/>
      </c>
      <c r="AT349">
        <f>IF(V349=1,", "&amp;V$1,"")</f>
        <v/>
      </c>
      <c r="AU349">
        <f>IF(W349=1,", "&amp;W$1,"")</f>
        <v/>
      </c>
      <c r="AV349">
        <f>IF(X349=1,", "&amp;X$1,"")</f>
        <v/>
      </c>
      <c r="AW349">
        <f>IF(Y349=1,", "&amp;Y$1,"")</f>
        <v/>
      </c>
      <c r="AX349">
        <f>IF(Z349=1,", "&amp;Z$1,"")</f>
        <v/>
      </c>
      <c r="AY349">
        <f>IF(AA349=1,", "&amp;AA$1,"")</f>
        <v/>
      </c>
      <c r="AZ349">
        <f>MID($AB349&amp;$AC349&amp;$AD349&amp;$AE349&amp;$AF349&amp;$AG349&amp;$AH349&amp;$AI349&amp;$AJ349&amp;$AK349&amp;$AL349&amp;$AM349&amp;$AN349&amp;$AO349&amp;$AP349&amp;$AQ349&amp;$AR349&amp;$AS349&amp;$AT349&amp;$AU349&amp;$AV349&amp;$AW349&amp;$AX349&amp;$AY349,3,32767)</f>
        <v/>
      </c>
      <c r="BA349">
        <f>COUNT($D349:$AA349)</f>
        <v/>
      </c>
    </row>
    <row r="350">
      <c r="A350" t="n">
        <v>9</v>
      </c>
      <c r="B350" t="inlineStr">
        <is>
          <t>Weird</t>
        </is>
      </c>
      <c r="C350" t="inlineStr">
        <is>
          <t>Illusion</t>
        </is>
      </c>
      <c r="D350">
        <f>IF(Wizards!$A$2="","",IF(OR(ISNUMBER(SEARCH(", "&amp;$B350&amp;", ", ", "&amp;INDEX('Form Responses'!$I$1:$Q$200,2,$A350)&amp;", ")),ISNUMBER(SEARCH(", "&amp;$B350&amp;", ", ", "&amp;INDEX('Form Responses'!$R$1:$R$200,2)&amp;", "))),1,""))</f>
        <v/>
      </c>
      <c r="E350">
        <f>IF(Wizards!$A$3="","",IF(OR(ISNUMBER(SEARCH(", "&amp;$B350&amp;", ", ", "&amp;INDEX('Form Responses'!$I$1:$Q$200,3,$A350)&amp;", ")),ISNUMBER(SEARCH(", "&amp;$B350&amp;", ", ", "&amp;INDEX('Form Responses'!$R$1:$R$200,3)&amp;", "))),1,""))</f>
        <v/>
      </c>
      <c r="F350">
        <f>IF(Wizards!$A$4="","",IF(OR(ISNUMBER(SEARCH(", "&amp;$B350&amp;", ", ", "&amp;INDEX('Form Responses'!$I$1:$Q$200,4,$A350)&amp;", ")),ISNUMBER(SEARCH(", "&amp;$B350&amp;", ", ", "&amp;INDEX('Form Responses'!$R$1:$R$200,4)&amp;", "))),1,""))</f>
        <v/>
      </c>
      <c r="G350">
        <f>IF(Wizards!$A$5="","",IF(OR(ISNUMBER(SEARCH(", "&amp;$B350&amp;", ", ", "&amp;INDEX('Form Responses'!$I$1:$Q$200,5,$A350)&amp;", ")),ISNUMBER(SEARCH(", "&amp;$B350&amp;", ", ", "&amp;INDEX('Form Responses'!$R$1:$R$200,5)&amp;", "))),1,""))</f>
        <v/>
      </c>
      <c r="H350">
        <f>IF(Wizards!$A$6="","",IF(OR(ISNUMBER(SEARCH(", "&amp;$B350&amp;", ", ", "&amp;INDEX('Form Responses'!$I$1:$Q$200,6,$A350)&amp;", ")),ISNUMBER(SEARCH(", "&amp;$B350&amp;", ", ", "&amp;INDEX('Form Responses'!$R$1:$R$200,6)&amp;", "))),1,""))</f>
        <v/>
      </c>
      <c r="I350">
        <f>IF(Wizards!$A$7="","",IF(OR(ISNUMBER(SEARCH(", "&amp;$B350&amp;", ", ", "&amp;INDEX('Form Responses'!$I$1:$Q$200,7,$A350)&amp;", ")),ISNUMBER(SEARCH(", "&amp;$B350&amp;", ", ", "&amp;INDEX('Form Responses'!$R$1:$R$200,7)&amp;", "))),1,""))</f>
        <v/>
      </c>
      <c r="J350">
        <f>IF(Wizards!$A$8="","",IF(OR(ISNUMBER(SEARCH(", "&amp;$B350&amp;", ", ", "&amp;INDEX('Form Responses'!$I$1:$Q$200,8,$A350)&amp;", ")),ISNUMBER(SEARCH(", "&amp;$B350&amp;", ", ", "&amp;INDEX('Form Responses'!$R$1:$R$200,8)&amp;", "))),1,""))</f>
        <v/>
      </c>
      <c r="K350">
        <f>IF(Wizards!$A$9="","",IF(OR(ISNUMBER(SEARCH(", "&amp;$B350&amp;", ", ", "&amp;INDEX('Form Responses'!$I$1:$Q$200,9,$A350)&amp;", ")),ISNUMBER(SEARCH(", "&amp;$B350&amp;", ", ", "&amp;INDEX('Form Responses'!$R$1:$R$200,9)&amp;", "))),1,""))</f>
        <v/>
      </c>
      <c r="L350">
        <f>IF(Wizards!$A$10="","",IF(OR(ISNUMBER(SEARCH(", "&amp;$B350&amp;", ", ", "&amp;INDEX('Form Responses'!$I$1:$Q$200,10,$A350)&amp;", ")),ISNUMBER(SEARCH(", "&amp;$B350&amp;", ", ", "&amp;INDEX('Form Responses'!$R$1:$R$200,10)&amp;", "))),1,""))</f>
        <v/>
      </c>
      <c r="M350">
        <f>IF(Wizards!$A$11="","",IF(OR(ISNUMBER(SEARCH(", "&amp;$B350&amp;", ", ", "&amp;INDEX('Form Responses'!$I$1:$Q$200,11,$A350)&amp;", ")),ISNUMBER(SEARCH(", "&amp;$B350&amp;", ", ", "&amp;INDEX('Form Responses'!$R$1:$R$200,11)&amp;", "))),1,""))</f>
        <v/>
      </c>
      <c r="N350">
        <f>IF(Wizards!$A$12="","",IF(OR(ISNUMBER(SEARCH(", "&amp;$B350&amp;", ", ", "&amp;INDEX('Form Responses'!$I$1:$Q$200,12,$A350)&amp;", ")),ISNUMBER(SEARCH(", "&amp;$B350&amp;", ", ", "&amp;INDEX('Form Responses'!$R$1:$R$200,12)&amp;", "))),1,""))</f>
        <v/>
      </c>
      <c r="O350">
        <f>IF(Wizards!$A$13="","",IF(OR(ISNUMBER(SEARCH(", "&amp;$B350&amp;", ", ", "&amp;INDEX('Form Responses'!$I$1:$Q$200,13,$A350)&amp;", ")),ISNUMBER(SEARCH(", "&amp;$B350&amp;", ", ", "&amp;INDEX('Form Responses'!$R$1:$R$200,13)&amp;", "))),1,""))</f>
        <v/>
      </c>
      <c r="P350">
        <f>IF(Wizards!$A$14="","",IF(OR(ISNUMBER(SEARCH(", "&amp;$B350&amp;", ", ", "&amp;INDEX('Form Responses'!$I$1:$Q$200,14,$A350)&amp;", ")),ISNUMBER(SEARCH(", "&amp;$B350&amp;", ", ", "&amp;INDEX('Form Responses'!$R$1:$R$200,14)&amp;", "))),1,""))</f>
        <v/>
      </c>
      <c r="Q350">
        <f>IF(Wizards!$A$15="","",IF(OR(ISNUMBER(SEARCH(", "&amp;$B350&amp;", ", ", "&amp;INDEX('Form Responses'!$I$1:$Q$200,15,$A350)&amp;", ")),ISNUMBER(SEARCH(", "&amp;$B350&amp;", ", ", "&amp;INDEX('Form Responses'!$R$1:$R$200,15)&amp;", "))),1,""))</f>
        <v/>
      </c>
      <c r="R350">
        <f>IF(Wizards!$A$16="","",IF(OR(ISNUMBER(SEARCH(", "&amp;$B350&amp;", ", ", "&amp;INDEX('Form Responses'!$I$1:$Q$200,16,$A350)&amp;", ")),ISNUMBER(SEARCH(", "&amp;$B350&amp;", ", ", "&amp;INDEX('Form Responses'!$R$1:$R$200,16)&amp;", "))),1,""))</f>
        <v/>
      </c>
      <c r="S350">
        <f>IF(Wizards!$A$17="","",IF(OR(ISNUMBER(SEARCH(", "&amp;$B350&amp;", ", ", "&amp;INDEX('Form Responses'!$I$1:$Q$200,17,$A350)&amp;", ")),ISNUMBER(SEARCH(", "&amp;$B350&amp;", ", ", "&amp;INDEX('Form Responses'!$R$1:$R$200,17)&amp;", "))),1,""))</f>
        <v/>
      </c>
      <c r="T350">
        <f>IF(Wizards!$A$18="","",IF(OR(ISNUMBER(SEARCH(", "&amp;$B350&amp;", ", ", "&amp;INDEX('Form Responses'!$I$1:$Q$200,18,$A350)&amp;", ")),ISNUMBER(SEARCH(", "&amp;$B350&amp;", ", ", "&amp;INDEX('Form Responses'!$R$1:$R$200,18)&amp;", "))),1,""))</f>
        <v/>
      </c>
      <c r="U350">
        <f>IF(Wizards!$A$19="","",IF(OR(ISNUMBER(SEARCH(", "&amp;$B350&amp;", ", ", "&amp;INDEX('Form Responses'!$I$1:$Q$200,19,$A350)&amp;", ")),ISNUMBER(SEARCH(", "&amp;$B350&amp;", ", ", "&amp;INDEX('Form Responses'!$R$1:$R$200,19)&amp;", "))),1,""))</f>
        <v/>
      </c>
      <c r="V350">
        <f>IF(Wizards!$A$20="","",IF(OR(ISNUMBER(SEARCH(", "&amp;$B350&amp;", ", ", "&amp;INDEX('Form Responses'!$I$1:$Q$200,20,$A350)&amp;", ")),ISNUMBER(SEARCH(", "&amp;$B350&amp;", ", ", "&amp;INDEX('Form Responses'!$R$1:$R$200,20)&amp;", "))),1,""))</f>
        <v/>
      </c>
      <c r="W350">
        <f>IF(Wizards!$A$21="","",IF(OR(ISNUMBER(SEARCH(", "&amp;$B350&amp;", ", ", "&amp;INDEX('Form Responses'!$I$1:$Q$200,21,$A350)&amp;", ")),ISNUMBER(SEARCH(", "&amp;$B350&amp;", ", ", "&amp;INDEX('Form Responses'!$R$1:$R$200,21)&amp;", "))),1,""))</f>
        <v/>
      </c>
      <c r="X350">
        <f>IF(Wizards!$A$22="","",IF(OR(ISNUMBER(SEARCH(", "&amp;$B350&amp;", ", ", "&amp;INDEX('Form Responses'!$I$1:$Q$200,22,$A350)&amp;", ")),ISNUMBER(SEARCH(", "&amp;$B350&amp;", ", ", "&amp;INDEX('Form Responses'!$R$1:$R$200,22)&amp;", "))),1,""))</f>
        <v/>
      </c>
      <c r="Y350">
        <f>IF(Wizards!$A$23="","",IF(OR(ISNUMBER(SEARCH(", "&amp;$B350&amp;", ", ", "&amp;INDEX('Form Responses'!$I$1:$Q$200,23,$A350)&amp;", ")),ISNUMBER(SEARCH(", "&amp;$B350&amp;", ", ", "&amp;INDEX('Form Responses'!$R$1:$R$200,23)&amp;", "))),1,""))</f>
        <v/>
      </c>
      <c r="Z350">
        <f>IF(Wizards!$A$24="","",IF(OR(ISNUMBER(SEARCH(", "&amp;$B350&amp;", ", ", "&amp;INDEX('Form Responses'!$I$1:$Q$200,24,$A350)&amp;", ")),ISNUMBER(SEARCH(", "&amp;$B350&amp;", ", ", "&amp;INDEX('Form Responses'!$R$1:$R$200,24)&amp;", "))),1,""))</f>
        <v/>
      </c>
      <c r="AA350">
        <f>IF(Wizards!$A$25="","",IF(OR(ISNUMBER(SEARCH(", "&amp;$B350&amp;", ", ", "&amp;INDEX('Form Responses'!$I$1:$Q$200,25,$A350)&amp;", ")),ISNUMBER(SEARCH(", "&amp;$B350&amp;", ", ", "&amp;INDEX('Form Responses'!$R$1:$R$200,25)&amp;", "))),1,""))</f>
        <v/>
      </c>
      <c r="AB350">
        <f>IF(D350=1,", "&amp;D$1,"")</f>
        <v/>
      </c>
      <c r="AC350">
        <f>IF(E350=1,", "&amp;E$1,"")</f>
        <v/>
      </c>
      <c r="AD350">
        <f>IF(F350=1,", "&amp;F$1,"")</f>
        <v/>
      </c>
      <c r="AE350">
        <f>IF(G350=1,", "&amp;G$1,"")</f>
        <v/>
      </c>
      <c r="AF350">
        <f>IF(H350=1,", "&amp;H$1,"")</f>
        <v/>
      </c>
      <c r="AG350">
        <f>IF(I350=1,", "&amp;I$1,"")</f>
        <v/>
      </c>
      <c r="AH350">
        <f>IF(J350=1,", "&amp;J$1,"")</f>
        <v/>
      </c>
      <c r="AI350">
        <f>IF(K350=1,", "&amp;K$1,"")</f>
        <v/>
      </c>
      <c r="AJ350">
        <f>IF(L350=1,", "&amp;L$1,"")</f>
        <v/>
      </c>
      <c r="AK350">
        <f>IF(M350=1,", "&amp;M$1,"")</f>
        <v/>
      </c>
      <c r="AL350">
        <f>IF(N350=1,", "&amp;N$1,"")</f>
        <v/>
      </c>
      <c r="AM350">
        <f>IF(O350=1,", "&amp;O$1,"")</f>
        <v/>
      </c>
      <c r="AN350">
        <f>IF(P350=1,", "&amp;P$1,"")</f>
        <v/>
      </c>
      <c r="AO350">
        <f>IF(Q350=1,", "&amp;Q$1,"")</f>
        <v/>
      </c>
      <c r="AP350">
        <f>IF(R350=1,", "&amp;R$1,"")</f>
        <v/>
      </c>
      <c r="AQ350">
        <f>IF(S350=1,", "&amp;S$1,"")</f>
        <v/>
      </c>
      <c r="AR350">
        <f>IF(T350=1,", "&amp;T$1,"")</f>
        <v/>
      </c>
      <c r="AS350">
        <f>IF(U350=1,", "&amp;U$1,"")</f>
        <v/>
      </c>
      <c r="AT350">
        <f>IF(V350=1,", "&amp;V$1,"")</f>
        <v/>
      </c>
      <c r="AU350">
        <f>IF(W350=1,", "&amp;W$1,"")</f>
        <v/>
      </c>
      <c r="AV350">
        <f>IF(X350=1,", "&amp;X$1,"")</f>
        <v/>
      </c>
      <c r="AW350">
        <f>IF(Y350=1,", "&amp;Y$1,"")</f>
        <v/>
      </c>
      <c r="AX350">
        <f>IF(Z350=1,", "&amp;Z$1,"")</f>
        <v/>
      </c>
      <c r="AY350">
        <f>IF(AA350=1,", "&amp;AA$1,"")</f>
        <v/>
      </c>
      <c r="AZ350">
        <f>MID($AB350&amp;$AC350&amp;$AD350&amp;$AE350&amp;$AF350&amp;$AG350&amp;$AH350&amp;$AI350&amp;$AJ350&amp;$AK350&amp;$AL350&amp;$AM350&amp;$AN350&amp;$AO350&amp;$AP350&amp;$AQ350&amp;$AR350&amp;$AS350&amp;$AT350&amp;$AU350&amp;$AV350&amp;$AW350&amp;$AX350&amp;$AY350,3,32767)</f>
        <v/>
      </c>
      <c r="BA350">
        <f>COUNT($D350:$AA350)</f>
        <v/>
      </c>
    </row>
    <row r="351">
      <c r="A351" t="n">
        <v>9</v>
      </c>
      <c r="B351" t="inlineStr">
        <is>
          <t>Wish</t>
        </is>
      </c>
      <c r="C351" t="inlineStr">
        <is>
          <t>Conjuration</t>
        </is>
      </c>
      <c r="D351">
        <f>IF(Wizards!$A$2="","",IF(OR(ISNUMBER(SEARCH(", "&amp;$B351&amp;", ", ", "&amp;INDEX('Form Responses'!$I$1:$Q$200,2,$A351)&amp;", ")),ISNUMBER(SEARCH(", "&amp;$B351&amp;", ", ", "&amp;INDEX('Form Responses'!$R$1:$R$200,2)&amp;", "))),1,""))</f>
        <v/>
      </c>
      <c r="E351">
        <f>IF(Wizards!$A$3="","",IF(OR(ISNUMBER(SEARCH(", "&amp;$B351&amp;", ", ", "&amp;INDEX('Form Responses'!$I$1:$Q$200,3,$A351)&amp;", ")),ISNUMBER(SEARCH(", "&amp;$B351&amp;", ", ", "&amp;INDEX('Form Responses'!$R$1:$R$200,3)&amp;", "))),1,""))</f>
        <v/>
      </c>
      <c r="F351">
        <f>IF(Wizards!$A$4="","",IF(OR(ISNUMBER(SEARCH(", "&amp;$B351&amp;", ", ", "&amp;INDEX('Form Responses'!$I$1:$Q$200,4,$A351)&amp;", ")),ISNUMBER(SEARCH(", "&amp;$B351&amp;", ", ", "&amp;INDEX('Form Responses'!$R$1:$R$200,4)&amp;", "))),1,""))</f>
        <v/>
      </c>
      <c r="G351">
        <f>IF(Wizards!$A$5="","",IF(OR(ISNUMBER(SEARCH(", "&amp;$B351&amp;", ", ", "&amp;INDEX('Form Responses'!$I$1:$Q$200,5,$A351)&amp;", ")),ISNUMBER(SEARCH(", "&amp;$B351&amp;", ", ", "&amp;INDEX('Form Responses'!$R$1:$R$200,5)&amp;", "))),1,""))</f>
        <v/>
      </c>
      <c r="H351">
        <f>IF(Wizards!$A$6="","",IF(OR(ISNUMBER(SEARCH(", "&amp;$B351&amp;", ", ", "&amp;INDEX('Form Responses'!$I$1:$Q$200,6,$A351)&amp;", ")),ISNUMBER(SEARCH(", "&amp;$B351&amp;", ", ", "&amp;INDEX('Form Responses'!$R$1:$R$200,6)&amp;", "))),1,""))</f>
        <v/>
      </c>
      <c r="I351">
        <f>IF(Wizards!$A$7="","",IF(OR(ISNUMBER(SEARCH(", "&amp;$B351&amp;", ", ", "&amp;INDEX('Form Responses'!$I$1:$Q$200,7,$A351)&amp;", ")),ISNUMBER(SEARCH(", "&amp;$B351&amp;", ", ", "&amp;INDEX('Form Responses'!$R$1:$R$200,7)&amp;", "))),1,""))</f>
        <v/>
      </c>
      <c r="J351">
        <f>IF(Wizards!$A$8="","",IF(OR(ISNUMBER(SEARCH(", "&amp;$B351&amp;", ", ", "&amp;INDEX('Form Responses'!$I$1:$Q$200,8,$A351)&amp;", ")),ISNUMBER(SEARCH(", "&amp;$B351&amp;", ", ", "&amp;INDEX('Form Responses'!$R$1:$R$200,8)&amp;", "))),1,""))</f>
        <v/>
      </c>
      <c r="K351">
        <f>IF(Wizards!$A$9="","",IF(OR(ISNUMBER(SEARCH(", "&amp;$B351&amp;", ", ", "&amp;INDEX('Form Responses'!$I$1:$Q$200,9,$A351)&amp;", ")),ISNUMBER(SEARCH(", "&amp;$B351&amp;", ", ", "&amp;INDEX('Form Responses'!$R$1:$R$200,9)&amp;", "))),1,""))</f>
        <v/>
      </c>
      <c r="L351">
        <f>IF(Wizards!$A$10="","",IF(OR(ISNUMBER(SEARCH(", "&amp;$B351&amp;", ", ", "&amp;INDEX('Form Responses'!$I$1:$Q$200,10,$A351)&amp;", ")),ISNUMBER(SEARCH(", "&amp;$B351&amp;", ", ", "&amp;INDEX('Form Responses'!$R$1:$R$200,10)&amp;", "))),1,""))</f>
        <v/>
      </c>
      <c r="M351">
        <f>IF(Wizards!$A$11="","",IF(OR(ISNUMBER(SEARCH(", "&amp;$B351&amp;", ", ", "&amp;INDEX('Form Responses'!$I$1:$Q$200,11,$A351)&amp;", ")),ISNUMBER(SEARCH(", "&amp;$B351&amp;", ", ", "&amp;INDEX('Form Responses'!$R$1:$R$200,11)&amp;", "))),1,""))</f>
        <v/>
      </c>
      <c r="N351">
        <f>IF(Wizards!$A$12="","",IF(OR(ISNUMBER(SEARCH(", "&amp;$B351&amp;", ", ", "&amp;INDEX('Form Responses'!$I$1:$Q$200,12,$A351)&amp;", ")),ISNUMBER(SEARCH(", "&amp;$B351&amp;", ", ", "&amp;INDEX('Form Responses'!$R$1:$R$200,12)&amp;", "))),1,""))</f>
        <v/>
      </c>
      <c r="O351">
        <f>IF(Wizards!$A$13="","",IF(OR(ISNUMBER(SEARCH(", "&amp;$B351&amp;", ", ", "&amp;INDEX('Form Responses'!$I$1:$Q$200,13,$A351)&amp;", ")),ISNUMBER(SEARCH(", "&amp;$B351&amp;", ", ", "&amp;INDEX('Form Responses'!$R$1:$R$200,13)&amp;", "))),1,""))</f>
        <v/>
      </c>
      <c r="P351">
        <f>IF(Wizards!$A$14="","",IF(OR(ISNUMBER(SEARCH(", "&amp;$B351&amp;", ", ", "&amp;INDEX('Form Responses'!$I$1:$Q$200,14,$A351)&amp;", ")),ISNUMBER(SEARCH(", "&amp;$B351&amp;", ", ", "&amp;INDEX('Form Responses'!$R$1:$R$200,14)&amp;", "))),1,""))</f>
        <v/>
      </c>
      <c r="Q351">
        <f>IF(Wizards!$A$15="","",IF(OR(ISNUMBER(SEARCH(", "&amp;$B351&amp;", ", ", "&amp;INDEX('Form Responses'!$I$1:$Q$200,15,$A351)&amp;", ")),ISNUMBER(SEARCH(", "&amp;$B351&amp;", ", ", "&amp;INDEX('Form Responses'!$R$1:$R$200,15)&amp;", "))),1,""))</f>
        <v/>
      </c>
      <c r="R351">
        <f>IF(Wizards!$A$16="","",IF(OR(ISNUMBER(SEARCH(", "&amp;$B351&amp;", ", ", "&amp;INDEX('Form Responses'!$I$1:$Q$200,16,$A351)&amp;", ")),ISNUMBER(SEARCH(", "&amp;$B351&amp;", ", ", "&amp;INDEX('Form Responses'!$R$1:$R$200,16)&amp;", "))),1,""))</f>
        <v/>
      </c>
      <c r="S351">
        <f>IF(Wizards!$A$17="","",IF(OR(ISNUMBER(SEARCH(", "&amp;$B351&amp;", ", ", "&amp;INDEX('Form Responses'!$I$1:$Q$200,17,$A351)&amp;", ")),ISNUMBER(SEARCH(", "&amp;$B351&amp;", ", ", "&amp;INDEX('Form Responses'!$R$1:$R$200,17)&amp;", "))),1,""))</f>
        <v/>
      </c>
      <c r="T351">
        <f>IF(Wizards!$A$18="","",IF(OR(ISNUMBER(SEARCH(", "&amp;$B351&amp;", ", ", "&amp;INDEX('Form Responses'!$I$1:$Q$200,18,$A351)&amp;", ")),ISNUMBER(SEARCH(", "&amp;$B351&amp;", ", ", "&amp;INDEX('Form Responses'!$R$1:$R$200,18)&amp;", "))),1,""))</f>
        <v/>
      </c>
      <c r="U351">
        <f>IF(Wizards!$A$19="","",IF(OR(ISNUMBER(SEARCH(", "&amp;$B351&amp;", ", ", "&amp;INDEX('Form Responses'!$I$1:$Q$200,19,$A351)&amp;", ")),ISNUMBER(SEARCH(", "&amp;$B351&amp;", ", ", "&amp;INDEX('Form Responses'!$R$1:$R$200,19)&amp;", "))),1,""))</f>
        <v/>
      </c>
      <c r="V351">
        <f>IF(Wizards!$A$20="","",IF(OR(ISNUMBER(SEARCH(", "&amp;$B351&amp;", ", ", "&amp;INDEX('Form Responses'!$I$1:$Q$200,20,$A351)&amp;", ")),ISNUMBER(SEARCH(", "&amp;$B351&amp;", ", ", "&amp;INDEX('Form Responses'!$R$1:$R$200,20)&amp;", "))),1,""))</f>
        <v/>
      </c>
      <c r="W351">
        <f>IF(Wizards!$A$21="","",IF(OR(ISNUMBER(SEARCH(", "&amp;$B351&amp;", ", ", "&amp;INDEX('Form Responses'!$I$1:$Q$200,21,$A351)&amp;", ")),ISNUMBER(SEARCH(", "&amp;$B351&amp;", ", ", "&amp;INDEX('Form Responses'!$R$1:$R$200,21)&amp;", "))),1,""))</f>
        <v/>
      </c>
      <c r="X351">
        <f>IF(Wizards!$A$22="","",IF(OR(ISNUMBER(SEARCH(", "&amp;$B351&amp;", ", ", "&amp;INDEX('Form Responses'!$I$1:$Q$200,22,$A351)&amp;", ")),ISNUMBER(SEARCH(", "&amp;$B351&amp;", ", ", "&amp;INDEX('Form Responses'!$R$1:$R$200,22)&amp;", "))),1,""))</f>
        <v/>
      </c>
      <c r="Y351">
        <f>IF(Wizards!$A$23="","",IF(OR(ISNUMBER(SEARCH(", "&amp;$B351&amp;", ", ", "&amp;INDEX('Form Responses'!$I$1:$Q$200,23,$A351)&amp;", ")),ISNUMBER(SEARCH(", "&amp;$B351&amp;", ", ", "&amp;INDEX('Form Responses'!$R$1:$R$200,23)&amp;", "))),1,""))</f>
        <v/>
      </c>
      <c r="Z351">
        <f>IF(Wizards!$A$24="","",IF(OR(ISNUMBER(SEARCH(", "&amp;$B351&amp;", ", ", "&amp;INDEX('Form Responses'!$I$1:$Q$200,24,$A351)&amp;", ")),ISNUMBER(SEARCH(", "&amp;$B351&amp;", ", ", "&amp;INDEX('Form Responses'!$R$1:$R$200,24)&amp;", "))),1,""))</f>
        <v/>
      </c>
      <c r="AA351">
        <f>IF(Wizards!$A$25="","",IF(OR(ISNUMBER(SEARCH(", "&amp;$B351&amp;", ", ", "&amp;INDEX('Form Responses'!$I$1:$Q$200,25,$A351)&amp;", ")),ISNUMBER(SEARCH(", "&amp;$B351&amp;", ", ", "&amp;INDEX('Form Responses'!$R$1:$R$200,25)&amp;", "))),1,""))</f>
        <v/>
      </c>
      <c r="AB351">
        <f>IF(D351=1,", "&amp;D$1,"")</f>
        <v/>
      </c>
      <c r="AC351">
        <f>IF(E351=1,", "&amp;E$1,"")</f>
        <v/>
      </c>
      <c r="AD351">
        <f>IF(F351=1,", "&amp;F$1,"")</f>
        <v/>
      </c>
      <c r="AE351">
        <f>IF(G351=1,", "&amp;G$1,"")</f>
        <v/>
      </c>
      <c r="AF351">
        <f>IF(H351=1,", "&amp;H$1,"")</f>
        <v/>
      </c>
      <c r="AG351">
        <f>IF(I351=1,", "&amp;I$1,"")</f>
        <v/>
      </c>
      <c r="AH351">
        <f>IF(J351=1,", "&amp;J$1,"")</f>
        <v/>
      </c>
      <c r="AI351">
        <f>IF(K351=1,", "&amp;K$1,"")</f>
        <v/>
      </c>
      <c r="AJ351">
        <f>IF(L351=1,", "&amp;L$1,"")</f>
        <v/>
      </c>
      <c r="AK351">
        <f>IF(M351=1,", "&amp;M$1,"")</f>
        <v/>
      </c>
      <c r="AL351">
        <f>IF(N351=1,", "&amp;N$1,"")</f>
        <v/>
      </c>
      <c r="AM351">
        <f>IF(O351=1,", "&amp;O$1,"")</f>
        <v/>
      </c>
      <c r="AN351">
        <f>IF(P351=1,", "&amp;P$1,"")</f>
        <v/>
      </c>
      <c r="AO351">
        <f>IF(Q351=1,", "&amp;Q$1,"")</f>
        <v/>
      </c>
      <c r="AP351">
        <f>IF(R351=1,", "&amp;R$1,"")</f>
        <v/>
      </c>
      <c r="AQ351">
        <f>IF(S351=1,", "&amp;S$1,"")</f>
        <v/>
      </c>
      <c r="AR351">
        <f>IF(T351=1,", "&amp;T$1,"")</f>
        <v/>
      </c>
      <c r="AS351">
        <f>IF(U351=1,", "&amp;U$1,"")</f>
        <v/>
      </c>
      <c r="AT351">
        <f>IF(V351=1,", "&amp;V$1,"")</f>
        <v/>
      </c>
      <c r="AU351">
        <f>IF(W351=1,", "&amp;W$1,"")</f>
        <v/>
      </c>
      <c r="AV351">
        <f>IF(X351=1,", "&amp;X$1,"")</f>
        <v/>
      </c>
      <c r="AW351">
        <f>IF(Y351=1,", "&amp;Y$1,"")</f>
        <v/>
      </c>
      <c r="AX351">
        <f>IF(Z351=1,", "&amp;Z$1,"")</f>
        <v/>
      </c>
      <c r="AY351">
        <f>IF(AA351=1,", "&amp;AA$1,"")</f>
        <v/>
      </c>
      <c r="AZ351">
        <f>MID($AB351&amp;$AC351&amp;$AD351&amp;$AE351&amp;$AF351&amp;$AG351&amp;$AH351&amp;$AI351&amp;$AJ351&amp;$AK351&amp;$AL351&amp;$AM351&amp;$AN351&amp;$AO351&amp;$AP351&amp;$AQ351&amp;$AR351&amp;$AS351&amp;$AT351&amp;$AU351&amp;$AV351&amp;$AW351&amp;$AX351&amp;$AY351,3,32767)</f>
        <v/>
      </c>
      <c r="BA351">
        <f>COUNT($D351:$AA351)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6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15" customWidth="1" min="3" max="3"/>
    <col width="22" customWidth="1" min="4" max="4"/>
    <col width="16" customWidth="1" min="5" max="5"/>
    <col width="44" customWidth="1" min="6" max="6"/>
    <col width="8" customWidth="1" min="7" max="7"/>
    <col width="6" customWidth="1" min="8" max="8"/>
    <col width="8" customWidth="1" min="9" max="9"/>
    <col hidden="1" width="13" customWidth="1" min="11" max="11"/>
    <col hidden="1" width="13" customWidth="1" min="12" max="12"/>
  </cols>
  <sheetData>
    <row r="1">
      <c r="A1" s="8" t="inlineStr">
        <is>
          <t>Your character:</t>
        </is>
      </c>
      <c r="B1" s="9" t="n"/>
      <c r="C1" s="6" t="inlineStr">
        <is>
          <t>&lt;- pick from the list, then filter Status to CAN COPY</t>
        </is>
      </c>
      <c r="K1" t="inlineStr">
        <is>
          <t>wizard index</t>
        </is>
      </c>
      <c r="L1">
        <f>IFERROR(MATCH($B$1,Wizards!$A$2:$A$25,0),"")</f>
        <v/>
      </c>
    </row>
    <row r="2">
      <c r="B2" s="10" t="inlineStr">
        <is>
          <t>Your total</t>
        </is>
      </c>
      <c r="C2" s="10">
        <f>"Cost of "&amp;$L$5&amp;" ticked"</f>
        <v/>
      </c>
      <c r="D2" s="10" t="inlineStr">
        <is>
          <t>Left after copying</t>
        </is>
      </c>
      <c r="K2" t="inlineStr">
        <is>
          <t>max spell level</t>
        </is>
      </c>
      <c r="L2">
        <f>IF($L$1="","",MIN(9,CEILING($L$4/2,1)))</f>
        <v/>
      </c>
    </row>
    <row r="3">
      <c r="A3" s="8" t="inlineStr">
        <is>
          <t>Gold (GP):</t>
        </is>
      </c>
      <c r="B3" s="9" t="n"/>
      <c r="C3" s="11">
        <f>SUMIF($I$11:$I$360,TRUE,$G$11:$G$360)</f>
        <v/>
      </c>
      <c r="D3" s="11">
        <f>IF($B$3="","",$B$3-$C$3)</f>
        <v/>
      </c>
      <c r="E3" s="8">
        <f>IF($B$3="","&lt;- enter your total to compare",IF($D$3&lt;0,"OVER BUDGET","WITHIN BUDGET"))</f>
        <v/>
      </c>
      <c r="K3" t="inlineStr">
        <is>
          <t>order of scribes</t>
        </is>
      </c>
      <c r="L3">
        <f>IF($L$1="","",INDEX(Wizards!$G$2:$G$25,$L$1))</f>
        <v/>
      </c>
    </row>
    <row r="4">
      <c r="A4" s="8" t="inlineStr">
        <is>
          <t>Downtime (DT):</t>
        </is>
      </c>
      <c r="B4" s="9" t="n">
        <v>10</v>
      </c>
      <c r="C4" s="11">
        <f>IF($L$3="Yes",CEILING(COUNTIFS($I$11:$I$360,TRUE,$A$11:$A$360,"&lt;=4")/10,1)+CEILING(COUNTIFS($I$11:$I$360,TRUE,$A$11:$A$360,"&gt;=5")/5,1),COUNTIFS($I$11:$I$360,TRUE,$A$11:$A$360,"&lt;=4")+2*COUNTIFS($I$11:$I$360,TRUE,$A$11:$A$360,"&gt;=5"))</f>
        <v/>
      </c>
      <c r="D4" s="11">
        <f>IF($B$4="","",$B$4-$C$4)</f>
        <v/>
      </c>
      <c r="E4" s="8">
        <f>IF($B$4="","&lt;- enter your total to compare",IF($D$4&lt;0,"OVER BUDGET","WITHIN BUDGET"))</f>
        <v/>
      </c>
      <c r="F4" s="6" t="inlineStr">
        <is>
          <t>starts at 10, one session's award - change it to your real total</t>
        </is>
      </c>
      <c r="K4" t="inlineStr">
        <is>
          <t>wizard level used</t>
        </is>
      </c>
      <c r="L4">
        <f>IF($L$1="","",IF(AND(ISNUMBER($B$5),$B$5&gt;INDEX(Wizards!$C$2:$C$25,$L$1)),MIN(20,$B$5),INDEX(Wizards!$C$2:$C$25,$L$1)))</f>
        <v/>
      </c>
    </row>
    <row r="5">
      <c r="A5" s="8" t="inlineStr">
        <is>
          <t>New wizard level:</t>
        </is>
      </c>
      <c r="B5" s="9" t="n"/>
      <c r="C5" s="6">
        <f>IF($L$1="","&lt;- levelling up at the end of this Epic? Enter your new wizard level","&lt;- levelling up at the end of this Epic? Enter your new wizard level. Registered at level "&amp;INDEX(Wizards!$C$2:$C$25,$L$1)&amp;", copying up to spell level "&amp;$L$2)</f>
        <v/>
      </c>
      <c r="K5" t="inlineStr">
        <is>
          <t>spells ticked</t>
        </is>
      </c>
      <c r="L5">
        <f>COUNTIF($I$11:$I$360,TRUE)</f>
        <v/>
      </c>
    </row>
    <row r="7">
      <c r="A7" s="6" t="inlineStr">
        <is>
          <t>Switching character? Untick the Want column first - the costs add up every tick, whatever its Status.</t>
        </is>
      </c>
    </row>
    <row r="10">
      <c r="A10" s="5" t="inlineStr">
        <is>
          <t>Level</t>
        </is>
      </c>
      <c r="B10" s="5" t="inlineStr">
        <is>
          <t>Spell</t>
        </is>
      </c>
      <c r="C10" s="5" t="inlineStr">
        <is>
          <t>School</t>
        </is>
      </c>
      <c r="D10" s="5" t="inlineStr">
        <is>
          <t>Source</t>
        </is>
      </c>
      <c r="E10" s="5" t="inlineStr">
        <is>
          <t>Status</t>
        </is>
      </c>
      <c r="F10" s="5" t="inlineStr">
        <is>
          <t>Available from</t>
        </is>
      </c>
      <c r="G10" s="5" t="inlineStr">
        <is>
          <t>GP</t>
        </is>
      </c>
      <c r="H10" s="5" t="inlineStr">
        <is>
          <t>DT</t>
        </is>
      </c>
      <c r="I10" s="5" t="inlineStr">
        <is>
          <t>Want</t>
        </is>
      </c>
    </row>
    <row r="11">
      <c r="A11" t="n">
        <v>1</v>
      </c>
      <c r="B11" t="inlineStr">
        <is>
          <t>Absorb Elements</t>
        </is>
      </c>
      <c r="C11" t="inlineStr">
        <is>
          <t>Abjuration</t>
        </is>
      </c>
      <c r="D11" t="inlineStr">
        <is>
          <t>Xanathar's Guide</t>
        </is>
      </c>
      <c r="E11">
        <f>IF($L$1="","",IF(INDEX(Matrix!$D2:$AA2,1,$L$1)=1,"OWNED",IF(Spells!$E$2&lt;&gt;"","RESTRICTED",IF($A11&gt;$L$2,"TOO HIGH",IF(Matrix!$BA2=0,"NOBODY HAS IT","CAN COPY")))))</f>
        <v/>
      </c>
      <c r="F11">
        <f>Matrix!$AZ2</f>
        <v/>
      </c>
      <c r="G11">
        <f>$A11*50</f>
        <v/>
      </c>
      <c r="H11">
        <f>IF($A11&lt;=4,1,2)</f>
        <v/>
      </c>
      <c r="I11" s="12" t="n"/>
    </row>
    <row r="12">
      <c r="A12" t="n">
        <v>1</v>
      </c>
      <c r="B12" t="inlineStr">
        <is>
          <t>Alarm</t>
        </is>
      </c>
      <c r="C12" t="inlineStr">
        <is>
          <t>Abjuration</t>
        </is>
      </c>
      <c r="D12" t="inlineStr">
        <is>
          <t>PHB 2024</t>
        </is>
      </c>
      <c r="E12">
        <f>IF($L$1="","",IF(INDEX(Matrix!$D3:$AA3,1,$L$1)=1,"OWNED",IF(Spells!$E$3&lt;&gt;"","RESTRICTED",IF($A12&gt;$L$2,"TOO HIGH",IF(Matrix!$BA3=0,"NOBODY HAS IT","CAN COPY")))))</f>
        <v/>
      </c>
      <c r="F12">
        <f>Matrix!$AZ3</f>
        <v/>
      </c>
      <c r="G12">
        <f>$A12*50</f>
        <v/>
      </c>
      <c r="H12">
        <f>IF($A12&lt;=4,1,2)</f>
        <v/>
      </c>
      <c r="I12" s="12" t="n"/>
    </row>
    <row r="13">
      <c r="A13" t="n">
        <v>1</v>
      </c>
      <c r="B13" t="inlineStr">
        <is>
          <t>Burning Hands</t>
        </is>
      </c>
      <c r="C13" t="inlineStr">
        <is>
          <t>Evocation</t>
        </is>
      </c>
      <c r="D13" t="inlineStr">
        <is>
          <t>PHB 2024</t>
        </is>
      </c>
      <c r="E13">
        <f>IF($L$1="","",IF(INDEX(Matrix!$D4:$AA4,1,$L$1)=1,"OWNED",IF(Spells!$E$4&lt;&gt;"","RESTRICTED",IF($A13&gt;$L$2,"TOO HIGH",IF(Matrix!$BA4=0,"NOBODY HAS IT","CAN COPY")))))</f>
        <v/>
      </c>
      <c r="F13">
        <f>Matrix!$AZ4</f>
        <v/>
      </c>
      <c r="G13">
        <f>$A13*50</f>
        <v/>
      </c>
      <c r="H13">
        <f>IF($A13&lt;=4,1,2)</f>
        <v/>
      </c>
      <c r="I13" s="12" t="n"/>
    </row>
    <row r="14">
      <c r="A14" t="n">
        <v>1</v>
      </c>
      <c r="B14" t="inlineStr">
        <is>
          <t>Catapult</t>
        </is>
      </c>
      <c r="C14" t="inlineStr">
        <is>
          <t>Transmutation</t>
        </is>
      </c>
      <c r="D14" t="inlineStr">
        <is>
          <t>Xanathar's Guide</t>
        </is>
      </c>
      <c r="E14">
        <f>IF($L$1="","",IF(INDEX(Matrix!$D5:$AA5,1,$L$1)=1,"OWNED",IF(Spells!$E$5&lt;&gt;"","RESTRICTED",IF($A14&gt;$L$2,"TOO HIGH",IF(Matrix!$BA5=0,"NOBODY HAS IT","CAN COPY")))))</f>
        <v/>
      </c>
      <c r="F14">
        <f>Matrix!$AZ5</f>
        <v/>
      </c>
      <c r="G14">
        <f>$A14*50</f>
        <v/>
      </c>
      <c r="H14">
        <f>IF($A14&lt;=4,1,2)</f>
        <v/>
      </c>
      <c r="I14" s="12" t="n"/>
    </row>
    <row r="15">
      <c r="A15" t="n">
        <v>1</v>
      </c>
      <c r="B15" t="inlineStr">
        <is>
          <t>Cause Fear</t>
        </is>
      </c>
      <c r="C15" t="inlineStr">
        <is>
          <t>Necromancy</t>
        </is>
      </c>
      <c r="D15" t="inlineStr">
        <is>
          <t>Xanathar's Guide</t>
        </is>
      </c>
      <c r="E15">
        <f>IF($L$1="","",IF(INDEX(Matrix!$D6:$AA6,1,$L$1)=1,"OWNED",IF(Spells!$E$6&lt;&gt;"","RESTRICTED",IF($A15&gt;$L$2,"TOO HIGH",IF(Matrix!$BA6=0,"NOBODY HAS IT","CAN COPY")))))</f>
        <v/>
      </c>
      <c r="F15">
        <f>Matrix!$AZ6</f>
        <v/>
      </c>
      <c r="G15">
        <f>$A15*50</f>
        <v/>
      </c>
      <c r="H15">
        <f>IF($A15&lt;=4,1,2)</f>
        <v/>
      </c>
      <c r="I15" s="12" t="n"/>
    </row>
    <row r="16">
      <c r="A16" t="n">
        <v>1</v>
      </c>
      <c r="B16" t="inlineStr">
        <is>
          <t>Charm Person</t>
        </is>
      </c>
      <c r="C16" t="inlineStr">
        <is>
          <t>Enchantment</t>
        </is>
      </c>
      <c r="D16" t="inlineStr">
        <is>
          <t>PHB 2024</t>
        </is>
      </c>
      <c r="E16">
        <f>IF($L$1="","",IF(INDEX(Matrix!$D7:$AA7,1,$L$1)=1,"OWNED",IF(Spells!$E$7&lt;&gt;"","RESTRICTED",IF($A16&gt;$L$2,"TOO HIGH",IF(Matrix!$BA7=0,"NOBODY HAS IT","CAN COPY")))))</f>
        <v/>
      </c>
      <c r="F16">
        <f>Matrix!$AZ7</f>
        <v/>
      </c>
      <c r="G16">
        <f>$A16*50</f>
        <v/>
      </c>
      <c r="H16">
        <f>IF($A16&lt;=4,1,2)</f>
        <v/>
      </c>
      <c r="I16" s="12" t="n"/>
    </row>
    <row r="17">
      <c r="A17" t="n">
        <v>1</v>
      </c>
      <c r="B17" t="inlineStr">
        <is>
          <t>Chromatic Orb</t>
        </is>
      </c>
      <c r="C17" t="inlineStr">
        <is>
          <t>Evocation</t>
        </is>
      </c>
      <c r="D17" t="inlineStr">
        <is>
          <t>PHB 2024</t>
        </is>
      </c>
      <c r="E17">
        <f>IF($L$1="","",IF(INDEX(Matrix!$D8:$AA8,1,$L$1)=1,"OWNED",IF(Spells!$E$8&lt;&gt;"","RESTRICTED",IF($A17&gt;$L$2,"TOO HIGH",IF(Matrix!$BA8=0,"NOBODY HAS IT","CAN COPY")))))</f>
        <v/>
      </c>
      <c r="F17">
        <f>Matrix!$AZ8</f>
        <v/>
      </c>
      <c r="G17">
        <f>$A17*50</f>
        <v/>
      </c>
      <c r="H17">
        <f>IF($A17&lt;=4,1,2)</f>
        <v/>
      </c>
      <c r="I17" s="12" t="n"/>
    </row>
    <row r="18">
      <c r="A18" t="n">
        <v>1</v>
      </c>
      <c r="B18" t="inlineStr">
        <is>
          <t>Color Spray</t>
        </is>
      </c>
      <c r="C18" t="inlineStr">
        <is>
          <t>Illusion</t>
        </is>
      </c>
      <c r="D18" t="inlineStr">
        <is>
          <t>PHB 2024</t>
        </is>
      </c>
      <c r="E18">
        <f>IF($L$1="","",IF(INDEX(Matrix!$D9:$AA9,1,$L$1)=1,"OWNED",IF(Spells!$E$9&lt;&gt;"","RESTRICTED",IF($A18&gt;$L$2,"TOO HIGH",IF(Matrix!$BA9=0,"NOBODY HAS IT","CAN COPY")))))</f>
        <v/>
      </c>
      <c r="F18">
        <f>Matrix!$AZ9</f>
        <v/>
      </c>
      <c r="G18">
        <f>$A18*50</f>
        <v/>
      </c>
      <c r="H18">
        <f>IF($A18&lt;=4,1,2)</f>
        <v/>
      </c>
      <c r="I18" s="12" t="n"/>
    </row>
    <row r="19">
      <c r="A19" t="n">
        <v>1</v>
      </c>
      <c r="B19" t="inlineStr">
        <is>
          <t>Comprehend Languages</t>
        </is>
      </c>
      <c r="C19" t="inlineStr">
        <is>
          <t>Divination</t>
        </is>
      </c>
      <c r="D19" t="inlineStr">
        <is>
          <t>PHB 2024</t>
        </is>
      </c>
      <c r="E19">
        <f>IF($L$1="","",IF(INDEX(Matrix!$D10:$AA10,1,$L$1)=1,"OWNED",IF(Spells!$E$10&lt;&gt;"","RESTRICTED",IF($A19&gt;$L$2,"TOO HIGH",IF(Matrix!$BA10=0,"NOBODY HAS IT","CAN COPY")))))</f>
        <v/>
      </c>
      <c r="F19">
        <f>Matrix!$AZ10</f>
        <v/>
      </c>
      <c r="G19">
        <f>$A19*50</f>
        <v/>
      </c>
      <c r="H19">
        <f>IF($A19&lt;=4,1,2)</f>
        <v/>
      </c>
      <c r="I19" s="12" t="n"/>
    </row>
    <row r="20">
      <c r="A20" t="n">
        <v>1</v>
      </c>
      <c r="B20" t="inlineStr">
        <is>
          <t>Detect Magic</t>
        </is>
      </c>
      <c r="C20" t="inlineStr">
        <is>
          <t>Divination</t>
        </is>
      </c>
      <c r="D20" t="inlineStr">
        <is>
          <t>PHB 2024</t>
        </is>
      </c>
      <c r="E20">
        <f>IF($L$1="","",IF(INDEX(Matrix!$D11:$AA11,1,$L$1)=1,"OWNED",IF(Spells!$E$11&lt;&gt;"","RESTRICTED",IF($A20&gt;$L$2,"TOO HIGH",IF(Matrix!$BA11=0,"NOBODY HAS IT","CAN COPY")))))</f>
        <v/>
      </c>
      <c r="F20">
        <f>Matrix!$AZ11</f>
        <v/>
      </c>
      <c r="G20">
        <f>$A20*50</f>
        <v/>
      </c>
      <c r="H20">
        <f>IF($A20&lt;=4,1,2)</f>
        <v/>
      </c>
      <c r="I20" s="12" t="n"/>
    </row>
    <row r="21">
      <c r="A21" t="n">
        <v>1</v>
      </c>
      <c r="B21" t="inlineStr">
        <is>
          <t>Disguise Self</t>
        </is>
      </c>
      <c r="C21" t="inlineStr">
        <is>
          <t>Illusion</t>
        </is>
      </c>
      <c r="D21" t="inlineStr">
        <is>
          <t>PHB 2024</t>
        </is>
      </c>
      <c r="E21">
        <f>IF($L$1="","",IF(INDEX(Matrix!$D12:$AA12,1,$L$1)=1,"OWNED",IF(Spells!$E$12&lt;&gt;"","RESTRICTED",IF($A21&gt;$L$2,"TOO HIGH",IF(Matrix!$BA12=0,"NOBODY HAS IT","CAN COPY")))))</f>
        <v/>
      </c>
      <c r="F21">
        <f>Matrix!$AZ12</f>
        <v/>
      </c>
      <c r="G21">
        <f>$A21*50</f>
        <v/>
      </c>
      <c r="H21">
        <f>IF($A21&lt;=4,1,2)</f>
        <v/>
      </c>
      <c r="I21" s="12" t="n"/>
    </row>
    <row r="22">
      <c r="A22" t="n">
        <v>1</v>
      </c>
      <c r="B22" t="inlineStr">
        <is>
          <t>Earth Tremor</t>
        </is>
      </c>
      <c r="C22" t="inlineStr">
        <is>
          <t>Evocation</t>
        </is>
      </c>
      <c r="D22" t="inlineStr">
        <is>
          <t>Xanathar's Guide</t>
        </is>
      </c>
      <c r="E22">
        <f>IF($L$1="","",IF(INDEX(Matrix!$D13:$AA13,1,$L$1)=1,"OWNED",IF(Spells!$E$13&lt;&gt;"","RESTRICTED",IF($A22&gt;$L$2,"TOO HIGH",IF(Matrix!$BA13=0,"NOBODY HAS IT","CAN COPY")))))</f>
        <v/>
      </c>
      <c r="F22">
        <f>Matrix!$AZ13</f>
        <v/>
      </c>
      <c r="G22">
        <f>$A22*50</f>
        <v/>
      </c>
      <c r="H22">
        <f>IF($A22&lt;=4,1,2)</f>
        <v/>
      </c>
      <c r="I22" s="12" t="n"/>
    </row>
    <row r="23">
      <c r="A23" t="n">
        <v>1</v>
      </c>
      <c r="B23" t="inlineStr">
        <is>
          <t>Expeditious Retreat</t>
        </is>
      </c>
      <c r="C23" t="inlineStr">
        <is>
          <t>Transmutation</t>
        </is>
      </c>
      <c r="D23" t="inlineStr">
        <is>
          <t>PHB 2024</t>
        </is>
      </c>
      <c r="E23">
        <f>IF($L$1="","",IF(INDEX(Matrix!$D14:$AA14,1,$L$1)=1,"OWNED",IF(Spells!$E$14&lt;&gt;"","RESTRICTED",IF($A23&gt;$L$2,"TOO HIGH",IF(Matrix!$BA14=0,"NOBODY HAS IT","CAN COPY")))))</f>
        <v/>
      </c>
      <c r="F23">
        <f>Matrix!$AZ14</f>
        <v/>
      </c>
      <c r="G23">
        <f>$A23*50</f>
        <v/>
      </c>
      <c r="H23">
        <f>IF($A23&lt;=4,1,2)</f>
        <v/>
      </c>
      <c r="I23" s="12" t="n"/>
    </row>
    <row r="24">
      <c r="A24" t="n">
        <v>1</v>
      </c>
      <c r="B24" t="inlineStr">
        <is>
          <t>False Life</t>
        </is>
      </c>
      <c r="C24" t="inlineStr">
        <is>
          <t>Necromancy</t>
        </is>
      </c>
      <c r="D24" t="inlineStr">
        <is>
          <t>PHB 2024</t>
        </is>
      </c>
      <c r="E24">
        <f>IF($L$1="","",IF(INDEX(Matrix!$D15:$AA15,1,$L$1)=1,"OWNED",IF(Spells!$E$15&lt;&gt;"","RESTRICTED",IF($A24&gt;$L$2,"TOO HIGH",IF(Matrix!$BA15=0,"NOBODY HAS IT","CAN COPY")))))</f>
        <v/>
      </c>
      <c r="F24">
        <f>Matrix!$AZ15</f>
        <v/>
      </c>
      <c r="G24">
        <f>$A24*50</f>
        <v/>
      </c>
      <c r="H24">
        <f>IF($A24&lt;=4,1,2)</f>
        <v/>
      </c>
      <c r="I24" s="12" t="n"/>
    </row>
    <row r="25">
      <c r="A25" t="n">
        <v>1</v>
      </c>
      <c r="B25" t="inlineStr">
        <is>
          <t>Feather Fall</t>
        </is>
      </c>
      <c r="C25" t="inlineStr">
        <is>
          <t>Transmutation</t>
        </is>
      </c>
      <c r="D25" t="inlineStr">
        <is>
          <t>PHB 2024</t>
        </is>
      </c>
      <c r="E25">
        <f>IF($L$1="","",IF(INDEX(Matrix!$D16:$AA16,1,$L$1)=1,"OWNED",IF(Spells!$E$16&lt;&gt;"","RESTRICTED",IF($A25&gt;$L$2,"TOO HIGH",IF(Matrix!$BA16=0,"NOBODY HAS IT","CAN COPY")))))</f>
        <v/>
      </c>
      <c r="F25">
        <f>Matrix!$AZ16</f>
        <v/>
      </c>
      <c r="G25">
        <f>$A25*50</f>
        <v/>
      </c>
      <c r="H25">
        <f>IF($A25&lt;=4,1,2)</f>
        <v/>
      </c>
      <c r="I25" s="12" t="n"/>
    </row>
    <row r="26">
      <c r="A26" t="n">
        <v>1</v>
      </c>
      <c r="B26" t="inlineStr">
        <is>
          <t>Find Familiar</t>
        </is>
      </c>
      <c r="C26" t="inlineStr">
        <is>
          <t>Conjuration</t>
        </is>
      </c>
      <c r="D26" t="inlineStr">
        <is>
          <t>PHB 2024</t>
        </is>
      </c>
      <c r="E26">
        <f>IF($L$1="","",IF(INDEX(Matrix!$D17:$AA17,1,$L$1)=1,"OWNED",IF(Spells!$E$17&lt;&gt;"","RESTRICTED",IF($A26&gt;$L$2,"TOO HIGH",IF(Matrix!$BA17=0,"NOBODY HAS IT","CAN COPY")))))</f>
        <v/>
      </c>
      <c r="F26">
        <f>Matrix!$AZ17</f>
        <v/>
      </c>
      <c r="G26">
        <f>$A26*50</f>
        <v/>
      </c>
      <c r="H26">
        <f>IF($A26&lt;=4,1,2)</f>
        <v/>
      </c>
      <c r="I26" s="12" t="n"/>
    </row>
    <row r="27">
      <c r="A27" t="n">
        <v>1</v>
      </c>
      <c r="B27" t="inlineStr">
        <is>
          <t>Fog Cloud</t>
        </is>
      </c>
      <c r="C27" t="inlineStr">
        <is>
          <t>Conjuration</t>
        </is>
      </c>
      <c r="D27" t="inlineStr">
        <is>
          <t>PHB 2024</t>
        </is>
      </c>
      <c r="E27">
        <f>IF($L$1="","",IF(INDEX(Matrix!$D18:$AA18,1,$L$1)=1,"OWNED",IF(Spells!$E$18&lt;&gt;"","RESTRICTED",IF($A27&gt;$L$2,"TOO HIGH",IF(Matrix!$BA18=0,"NOBODY HAS IT","CAN COPY")))))</f>
        <v/>
      </c>
      <c r="F27">
        <f>Matrix!$AZ18</f>
        <v/>
      </c>
      <c r="G27">
        <f>$A27*50</f>
        <v/>
      </c>
      <c r="H27">
        <f>IF($A27&lt;=4,1,2)</f>
        <v/>
      </c>
      <c r="I27" s="12" t="n"/>
    </row>
    <row r="28">
      <c r="A28" t="n">
        <v>1</v>
      </c>
      <c r="B28" t="inlineStr">
        <is>
          <t>Frost Fingers</t>
        </is>
      </c>
      <c r="C28" t="inlineStr">
        <is>
          <t>Evocation</t>
        </is>
      </c>
      <c r="D28" t="inlineStr">
        <is>
          <t>Icewind Dale</t>
        </is>
      </c>
      <c r="E28">
        <f>IF($L$1="","",IF(INDEX(Matrix!$D19:$AA19,1,$L$1)=1,"OWNED",IF(Spells!$E$19&lt;&gt;"","RESTRICTED",IF($A28&gt;$L$2,"TOO HIGH",IF(Matrix!$BA19=0,"NOBODY HAS IT","CAN COPY")))))</f>
        <v/>
      </c>
      <c r="F28">
        <f>Matrix!$AZ19</f>
        <v/>
      </c>
      <c r="G28">
        <f>$A28*50</f>
        <v/>
      </c>
      <c r="H28">
        <f>IF($A28&lt;=4,1,2)</f>
        <v/>
      </c>
      <c r="I28" s="12" t="n"/>
    </row>
    <row r="29">
      <c r="A29" t="n">
        <v>1</v>
      </c>
      <c r="B29" t="inlineStr">
        <is>
          <t>Grease</t>
        </is>
      </c>
      <c r="C29" t="inlineStr">
        <is>
          <t>Conjuration</t>
        </is>
      </c>
      <c r="D29" t="inlineStr">
        <is>
          <t>PHB 2024</t>
        </is>
      </c>
      <c r="E29">
        <f>IF($L$1="","",IF(INDEX(Matrix!$D20:$AA20,1,$L$1)=1,"OWNED",IF(Spells!$E$20&lt;&gt;"","RESTRICTED",IF($A29&gt;$L$2,"TOO HIGH",IF(Matrix!$BA20=0,"NOBODY HAS IT","CAN COPY")))))</f>
        <v/>
      </c>
      <c r="F29">
        <f>Matrix!$AZ20</f>
        <v/>
      </c>
      <c r="G29">
        <f>$A29*50</f>
        <v/>
      </c>
      <c r="H29">
        <f>IF($A29&lt;=4,1,2)</f>
        <v/>
      </c>
      <c r="I29" s="12" t="n"/>
    </row>
    <row r="30">
      <c r="A30" t="n">
        <v>1</v>
      </c>
      <c r="B30" t="inlineStr">
        <is>
          <t>Ice Knife</t>
        </is>
      </c>
      <c r="C30" t="inlineStr">
        <is>
          <t>Conjuration</t>
        </is>
      </c>
      <c r="D30" t="inlineStr">
        <is>
          <t>PHB 2024</t>
        </is>
      </c>
      <c r="E30">
        <f>IF($L$1="","",IF(INDEX(Matrix!$D21:$AA21,1,$L$1)=1,"OWNED",IF(Spells!$E$21&lt;&gt;"","RESTRICTED",IF($A30&gt;$L$2,"TOO HIGH",IF(Matrix!$BA21=0,"NOBODY HAS IT","CAN COPY")))))</f>
        <v/>
      </c>
      <c r="F30">
        <f>Matrix!$AZ21</f>
        <v/>
      </c>
      <c r="G30">
        <f>$A30*50</f>
        <v/>
      </c>
      <c r="H30">
        <f>IF($A30&lt;=4,1,2)</f>
        <v/>
      </c>
      <c r="I30" s="12" t="n"/>
    </row>
    <row r="31">
      <c r="A31" t="n">
        <v>1</v>
      </c>
      <c r="B31" t="inlineStr">
        <is>
          <t>Identify</t>
        </is>
      </c>
      <c r="C31" t="inlineStr">
        <is>
          <t>Divination</t>
        </is>
      </c>
      <c r="D31" t="inlineStr">
        <is>
          <t>PHB 2024</t>
        </is>
      </c>
      <c r="E31">
        <f>IF($L$1="","",IF(INDEX(Matrix!$D22:$AA22,1,$L$1)=1,"OWNED",IF(Spells!$E$22&lt;&gt;"","RESTRICTED",IF($A31&gt;$L$2,"TOO HIGH",IF(Matrix!$BA22=0,"NOBODY HAS IT","CAN COPY")))))</f>
        <v/>
      </c>
      <c r="F31">
        <f>Matrix!$AZ22</f>
        <v/>
      </c>
      <c r="G31">
        <f>$A31*50</f>
        <v/>
      </c>
      <c r="H31">
        <f>IF($A31&lt;=4,1,2)</f>
        <v/>
      </c>
      <c r="I31" s="12" t="n"/>
    </row>
    <row r="32">
      <c r="A32" t="n">
        <v>1</v>
      </c>
      <c r="B32" t="inlineStr">
        <is>
          <t>Illusory Script</t>
        </is>
      </c>
      <c r="C32" t="inlineStr">
        <is>
          <t>Illusion</t>
        </is>
      </c>
      <c r="D32" t="inlineStr">
        <is>
          <t>PHB 2024</t>
        </is>
      </c>
      <c r="E32">
        <f>IF($L$1="","",IF(INDEX(Matrix!$D23:$AA23,1,$L$1)=1,"OWNED",IF(Spells!$E$23&lt;&gt;"","RESTRICTED",IF($A32&gt;$L$2,"TOO HIGH",IF(Matrix!$BA23=0,"NOBODY HAS IT","CAN COPY")))))</f>
        <v/>
      </c>
      <c r="F32">
        <f>Matrix!$AZ23</f>
        <v/>
      </c>
      <c r="G32">
        <f>$A32*50</f>
        <v/>
      </c>
      <c r="H32">
        <f>IF($A32&lt;=4,1,2)</f>
        <v/>
      </c>
      <c r="I32" s="12" t="n"/>
    </row>
    <row r="33">
      <c r="A33" t="n">
        <v>1</v>
      </c>
      <c r="B33" t="inlineStr">
        <is>
          <t>Jump</t>
        </is>
      </c>
      <c r="C33" t="inlineStr">
        <is>
          <t>Transmutation</t>
        </is>
      </c>
      <c r="D33" t="inlineStr">
        <is>
          <t>PHB 2024</t>
        </is>
      </c>
      <c r="E33">
        <f>IF($L$1="","",IF(INDEX(Matrix!$D24:$AA24,1,$L$1)=1,"OWNED",IF(Spells!$E$24&lt;&gt;"","RESTRICTED",IF($A33&gt;$L$2,"TOO HIGH",IF(Matrix!$BA24=0,"NOBODY HAS IT","CAN COPY")))))</f>
        <v/>
      </c>
      <c r="F33">
        <f>Matrix!$AZ24</f>
        <v/>
      </c>
      <c r="G33">
        <f>$A33*50</f>
        <v/>
      </c>
      <c r="H33">
        <f>IF($A33&lt;=4,1,2)</f>
        <v/>
      </c>
      <c r="I33" s="12" t="n"/>
    </row>
    <row r="34">
      <c r="A34" t="n">
        <v>1</v>
      </c>
      <c r="B34" t="inlineStr">
        <is>
          <t>Longstrider</t>
        </is>
      </c>
      <c r="C34" t="inlineStr">
        <is>
          <t>Transmutation</t>
        </is>
      </c>
      <c r="D34" t="inlineStr">
        <is>
          <t>PHB 2024</t>
        </is>
      </c>
      <c r="E34">
        <f>IF($L$1="","",IF(INDEX(Matrix!$D25:$AA25,1,$L$1)=1,"OWNED",IF(Spells!$E$25&lt;&gt;"","RESTRICTED",IF($A34&gt;$L$2,"TOO HIGH",IF(Matrix!$BA25=0,"NOBODY HAS IT","CAN COPY")))))</f>
        <v/>
      </c>
      <c r="F34">
        <f>Matrix!$AZ25</f>
        <v/>
      </c>
      <c r="G34">
        <f>$A34*50</f>
        <v/>
      </c>
      <c r="H34">
        <f>IF($A34&lt;=4,1,2)</f>
        <v/>
      </c>
      <c r="I34" s="12" t="n"/>
    </row>
    <row r="35">
      <c r="A35" t="n">
        <v>1</v>
      </c>
      <c r="B35" t="inlineStr">
        <is>
          <t>Mage Armor</t>
        </is>
      </c>
      <c r="C35" t="inlineStr">
        <is>
          <t>Abjuration</t>
        </is>
      </c>
      <c r="D35" t="inlineStr">
        <is>
          <t>PHB 2024</t>
        </is>
      </c>
      <c r="E35">
        <f>IF($L$1="","",IF(INDEX(Matrix!$D26:$AA26,1,$L$1)=1,"OWNED",IF(Spells!$E$26&lt;&gt;"","RESTRICTED",IF($A35&gt;$L$2,"TOO HIGH",IF(Matrix!$BA26=0,"NOBODY HAS IT","CAN COPY")))))</f>
        <v/>
      </c>
      <c r="F35">
        <f>Matrix!$AZ26</f>
        <v/>
      </c>
      <c r="G35">
        <f>$A35*50</f>
        <v/>
      </c>
      <c r="H35">
        <f>IF($A35&lt;=4,1,2)</f>
        <v/>
      </c>
      <c r="I35" s="12" t="n"/>
    </row>
    <row r="36">
      <c r="A36" t="n">
        <v>1</v>
      </c>
      <c r="B36" t="inlineStr">
        <is>
          <t>Magic Missile</t>
        </is>
      </c>
      <c r="C36" t="inlineStr">
        <is>
          <t>Evocation</t>
        </is>
      </c>
      <c r="D36" t="inlineStr">
        <is>
          <t>PHB 2024</t>
        </is>
      </c>
      <c r="E36">
        <f>IF($L$1="","",IF(INDEX(Matrix!$D27:$AA27,1,$L$1)=1,"OWNED",IF(Spells!$E$27&lt;&gt;"","RESTRICTED",IF($A36&gt;$L$2,"TOO HIGH",IF(Matrix!$BA27=0,"NOBODY HAS IT","CAN COPY")))))</f>
        <v/>
      </c>
      <c r="F36">
        <f>Matrix!$AZ27</f>
        <v/>
      </c>
      <c r="G36">
        <f>$A36*50</f>
        <v/>
      </c>
      <c r="H36">
        <f>IF($A36&lt;=4,1,2)</f>
        <v/>
      </c>
      <c r="I36" s="12" t="n"/>
    </row>
    <row r="37">
      <c r="A37" t="n">
        <v>1</v>
      </c>
      <c r="B37" t="inlineStr">
        <is>
          <t>Protection from Evil and Good</t>
        </is>
      </c>
      <c r="C37" t="inlineStr">
        <is>
          <t>Abjuration</t>
        </is>
      </c>
      <c r="D37" t="inlineStr">
        <is>
          <t>PHB 2024</t>
        </is>
      </c>
      <c r="E37">
        <f>IF($L$1="","",IF(INDEX(Matrix!$D28:$AA28,1,$L$1)=1,"OWNED",IF(Spells!$E$28&lt;&gt;"","RESTRICTED",IF($A37&gt;$L$2,"TOO HIGH",IF(Matrix!$BA28=0,"NOBODY HAS IT","CAN COPY")))))</f>
        <v/>
      </c>
      <c r="F37">
        <f>Matrix!$AZ28</f>
        <v/>
      </c>
      <c r="G37">
        <f>$A37*50</f>
        <v/>
      </c>
      <c r="H37">
        <f>IF($A37&lt;=4,1,2)</f>
        <v/>
      </c>
      <c r="I37" s="12" t="n"/>
    </row>
    <row r="38">
      <c r="A38" t="n">
        <v>1</v>
      </c>
      <c r="B38" t="inlineStr">
        <is>
          <t>Ray of Sickness</t>
        </is>
      </c>
      <c r="C38" t="inlineStr">
        <is>
          <t>Necromancy</t>
        </is>
      </c>
      <c r="D38" t="inlineStr">
        <is>
          <t>PHB 2024</t>
        </is>
      </c>
      <c r="E38">
        <f>IF($L$1="","",IF(INDEX(Matrix!$D29:$AA29,1,$L$1)=1,"OWNED",IF(Spells!$E$29&lt;&gt;"","RESTRICTED",IF($A38&gt;$L$2,"TOO HIGH",IF(Matrix!$BA29=0,"NOBODY HAS IT","CAN COPY")))))</f>
        <v/>
      </c>
      <c r="F38">
        <f>Matrix!$AZ29</f>
        <v/>
      </c>
      <c r="G38">
        <f>$A38*50</f>
        <v/>
      </c>
      <c r="H38">
        <f>IF($A38&lt;=4,1,2)</f>
        <v/>
      </c>
      <c r="I38" s="12" t="n"/>
    </row>
    <row r="39">
      <c r="A39" t="n">
        <v>1</v>
      </c>
      <c r="B39" t="inlineStr">
        <is>
          <t>Shield</t>
        </is>
      </c>
      <c r="C39" t="inlineStr">
        <is>
          <t>Abjuration</t>
        </is>
      </c>
      <c r="D39" t="inlineStr">
        <is>
          <t>PHB 2024</t>
        </is>
      </c>
      <c r="E39">
        <f>IF($L$1="","",IF(INDEX(Matrix!$D30:$AA30,1,$L$1)=1,"OWNED",IF(Spells!$E$30&lt;&gt;"","RESTRICTED",IF($A39&gt;$L$2,"TOO HIGH",IF(Matrix!$BA30=0,"NOBODY HAS IT","CAN COPY")))))</f>
        <v/>
      </c>
      <c r="F39">
        <f>Matrix!$AZ30</f>
        <v/>
      </c>
      <c r="G39">
        <f>$A39*50</f>
        <v/>
      </c>
      <c r="H39">
        <f>IF($A39&lt;=4,1,2)</f>
        <v/>
      </c>
      <c r="I39" s="12" t="n"/>
    </row>
    <row r="40">
      <c r="A40" t="n">
        <v>1</v>
      </c>
      <c r="B40" t="inlineStr">
        <is>
          <t>Silent Image</t>
        </is>
      </c>
      <c r="C40" t="inlineStr">
        <is>
          <t>Illusion</t>
        </is>
      </c>
      <c r="D40" t="inlineStr">
        <is>
          <t>PHB 2024</t>
        </is>
      </c>
      <c r="E40">
        <f>IF($L$1="","",IF(INDEX(Matrix!$D31:$AA31,1,$L$1)=1,"OWNED",IF(Spells!$E$31&lt;&gt;"","RESTRICTED",IF($A40&gt;$L$2,"TOO HIGH",IF(Matrix!$BA31=0,"NOBODY HAS IT","CAN COPY")))))</f>
        <v/>
      </c>
      <c r="F40">
        <f>Matrix!$AZ31</f>
        <v/>
      </c>
      <c r="G40">
        <f>$A40*50</f>
        <v/>
      </c>
      <c r="H40">
        <f>IF($A40&lt;=4,1,2)</f>
        <v/>
      </c>
      <c r="I40" s="12" t="n"/>
    </row>
    <row r="41">
      <c r="A41" t="n">
        <v>1</v>
      </c>
      <c r="B41" t="inlineStr">
        <is>
          <t>Sleep</t>
        </is>
      </c>
      <c r="C41" t="inlineStr">
        <is>
          <t>Enchantment</t>
        </is>
      </c>
      <c r="D41" t="inlineStr">
        <is>
          <t>PHB 2024</t>
        </is>
      </c>
      <c r="E41">
        <f>IF($L$1="","",IF(INDEX(Matrix!$D32:$AA32,1,$L$1)=1,"OWNED",IF(Spells!$E$32&lt;&gt;"","RESTRICTED",IF($A41&gt;$L$2,"TOO HIGH",IF(Matrix!$BA32=0,"NOBODY HAS IT","CAN COPY")))))</f>
        <v/>
      </c>
      <c r="F41">
        <f>Matrix!$AZ32</f>
        <v/>
      </c>
      <c r="G41">
        <f>$A41*50</f>
        <v/>
      </c>
      <c r="H41">
        <f>IF($A41&lt;=4,1,2)</f>
        <v/>
      </c>
      <c r="I41" s="12" t="n"/>
    </row>
    <row r="42">
      <c r="A42" t="n">
        <v>1</v>
      </c>
      <c r="B42" t="inlineStr">
        <is>
          <t>Snare</t>
        </is>
      </c>
      <c r="C42" t="inlineStr">
        <is>
          <t>Abjuration</t>
        </is>
      </c>
      <c r="D42" t="inlineStr">
        <is>
          <t>Xanathar's Guide</t>
        </is>
      </c>
      <c r="E42">
        <f>IF($L$1="","",IF(INDEX(Matrix!$D33:$AA33,1,$L$1)=1,"OWNED",IF(Spells!$E$33&lt;&gt;"","RESTRICTED",IF($A42&gt;$L$2,"TOO HIGH",IF(Matrix!$BA33=0,"NOBODY HAS IT","CAN COPY")))))</f>
        <v/>
      </c>
      <c r="F42">
        <f>Matrix!$AZ33</f>
        <v/>
      </c>
      <c r="G42">
        <f>$A42*50</f>
        <v/>
      </c>
      <c r="H42">
        <f>IF($A42&lt;=4,1,2)</f>
        <v/>
      </c>
      <c r="I42" s="12" t="n"/>
    </row>
    <row r="43">
      <c r="A43" t="n">
        <v>1</v>
      </c>
      <c r="B43" t="inlineStr">
        <is>
          <t>Spellfire Flare</t>
        </is>
      </c>
      <c r="C43" t="inlineStr">
        <is>
          <t>Evocation</t>
        </is>
      </c>
      <c r="D43" t="inlineStr">
        <is>
          <t>Heroes of Faerun</t>
        </is>
      </c>
      <c r="E43">
        <f>IF($L$1="","",IF(INDEX(Matrix!$D34:$AA34,1,$L$1)=1,"OWNED",IF(Spells!$E$34&lt;&gt;"","RESTRICTED",IF($A43&gt;$L$2,"TOO HIGH",IF(Matrix!$BA34=0,"NOBODY HAS IT","CAN COPY")))))</f>
        <v/>
      </c>
      <c r="F43">
        <f>Matrix!$AZ34</f>
        <v/>
      </c>
      <c r="G43">
        <f>$A43*50</f>
        <v/>
      </c>
      <c r="H43">
        <f>IF($A43&lt;=4,1,2)</f>
        <v/>
      </c>
      <c r="I43" s="12" t="n"/>
    </row>
    <row r="44">
      <c r="A44" t="n">
        <v>1</v>
      </c>
      <c r="B44" t="inlineStr">
        <is>
          <t>Tasha's Caustic Brew</t>
        </is>
      </c>
      <c r="C44" t="inlineStr">
        <is>
          <t>Evocation</t>
        </is>
      </c>
      <c r="D44" t="inlineStr">
        <is>
          <t>Tasha's Cauldron</t>
        </is>
      </c>
      <c r="E44">
        <f>IF($L$1="","",IF(INDEX(Matrix!$D35:$AA35,1,$L$1)=1,"OWNED",IF(Spells!$E$35&lt;&gt;"","RESTRICTED",IF($A44&gt;$L$2,"TOO HIGH",IF(Matrix!$BA35=0,"NOBODY HAS IT","CAN COPY")))))</f>
        <v/>
      </c>
      <c r="F44">
        <f>Matrix!$AZ35</f>
        <v/>
      </c>
      <c r="G44">
        <f>$A44*50</f>
        <v/>
      </c>
      <c r="H44">
        <f>IF($A44&lt;=4,1,2)</f>
        <v/>
      </c>
      <c r="I44" s="12" t="n"/>
    </row>
    <row r="45">
      <c r="A45" t="n">
        <v>1</v>
      </c>
      <c r="B45" t="inlineStr">
        <is>
          <t>Tasha's Hideous Laughter</t>
        </is>
      </c>
      <c r="C45" t="inlineStr">
        <is>
          <t>Enchantment</t>
        </is>
      </c>
      <c r="D45" t="inlineStr">
        <is>
          <t>PHB 2024</t>
        </is>
      </c>
      <c r="E45">
        <f>IF($L$1="","",IF(INDEX(Matrix!$D36:$AA36,1,$L$1)=1,"OWNED",IF(Spells!$E$36&lt;&gt;"","RESTRICTED",IF($A45&gt;$L$2,"TOO HIGH",IF(Matrix!$BA36=0,"NOBODY HAS IT","CAN COPY")))))</f>
        <v/>
      </c>
      <c r="F45">
        <f>Matrix!$AZ36</f>
        <v/>
      </c>
      <c r="G45">
        <f>$A45*50</f>
        <v/>
      </c>
      <c r="H45">
        <f>IF($A45&lt;=4,1,2)</f>
        <v/>
      </c>
      <c r="I45" s="12" t="n"/>
    </row>
    <row r="46">
      <c r="A46" t="n">
        <v>1</v>
      </c>
      <c r="B46" t="inlineStr">
        <is>
          <t>Tenser's Floating Disk</t>
        </is>
      </c>
      <c r="C46" t="inlineStr">
        <is>
          <t>Conjuration</t>
        </is>
      </c>
      <c r="D46" t="inlineStr">
        <is>
          <t>PHB 2024</t>
        </is>
      </c>
      <c r="E46">
        <f>IF($L$1="","",IF(INDEX(Matrix!$D37:$AA37,1,$L$1)=1,"OWNED",IF(Spells!$E$37&lt;&gt;"","RESTRICTED",IF($A46&gt;$L$2,"TOO HIGH",IF(Matrix!$BA37=0,"NOBODY HAS IT","CAN COPY")))))</f>
        <v/>
      </c>
      <c r="F46">
        <f>Matrix!$AZ37</f>
        <v/>
      </c>
      <c r="G46">
        <f>$A46*50</f>
        <v/>
      </c>
      <c r="H46">
        <f>IF($A46&lt;=4,1,2)</f>
        <v/>
      </c>
      <c r="I46" s="12" t="n"/>
    </row>
    <row r="47">
      <c r="A47" t="n">
        <v>1</v>
      </c>
      <c r="B47" t="inlineStr">
        <is>
          <t>Thunderwave</t>
        </is>
      </c>
      <c r="C47" t="inlineStr">
        <is>
          <t>Evocation</t>
        </is>
      </c>
      <c r="D47" t="inlineStr">
        <is>
          <t>PHB 2024</t>
        </is>
      </c>
      <c r="E47">
        <f>IF($L$1="","",IF(INDEX(Matrix!$D38:$AA38,1,$L$1)=1,"OWNED",IF(Spells!$E$38&lt;&gt;"","RESTRICTED",IF($A47&gt;$L$2,"TOO HIGH",IF(Matrix!$BA38=0,"NOBODY HAS IT","CAN COPY")))))</f>
        <v/>
      </c>
      <c r="F47">
        <f>Matrix!$AZ38</f>
        <v/>
      </c>
      <c r="G47">
        <f>$A47*50</f>
        <v/>
      </c>
      <c r="H47">
        <f>IF($A47&lt;=4,1,2)</f>
        <v/>
      </c>
      <c r="I47" s="12" t="n"/>
    </row>
    <row r="48">
      <c r="A48" t="n">
        <v>1</v>
      </c>
      <c r="B48" t="inlineStr">
        <is>
          <t>Unseen Servant</t>
        </is>
      </c>
      <c r="C48" t="inlineStr">
        <is>
          <t>Conjuration</t>
        </is>
      </c>
      <c r="D48" t="inlineStr">
        <is>
          <t>PHB 2024</t>
        </is>
      </c>
      <c r="E48">
        <f>IF($L$1="","",IF(INDEX(Matrix!$D39:$AA39,1,$L$1)=1,"OWNED",IF(Spells!$E$39&lt;&gt;"","RESTRICTED",IF($A48&gt;$L$2,"TOO HIGH",IF(Matrix!$BA39=0,"NOBODY HAS IT","CAN COPY")))))</f>
        <v/>
      </c>
      <c r="F48">
        <f>Matrix!$AZ39</f>
        <v/>
      </c>
      <c r="G48">
        <f>$A48*50</f>
        <v/>
      </c>
      <c r="H48">
        <f>IF($A48&lt;=4,1,2)</f>
        <v/>
      </c>
      <c r="I48" s="12" t="n"/>
    </row>
    <row r="49">
      <c r="A49" t="n">
        <v>1</v>
      </c>
      <c r="B49" t="inlineStr">
        <is>
          <t>Wardaway</t>
        </is>
      </c>
      <c r="C49" t="inlineStr">
        <is>
          <t>Abjuration</t>
        </is>
      </c>
      <c r="D49" t="inlineStr">
        <is>
          <t>Heroes of Faerun</t>
        </is>
      </c>
      <c r="E49">
        <f>IF($L$1="","",IF(INDEX(Matrix!$D40:$AA40,1,$L$1)=1,"OWNED",IF(Spells!$E$40&lt;&gt;"","RESTRICTED",IF($A49&gt;$L$2,"TOO HIGH",IF(Matrix!$BA40=0,"NOBODY HAS IT","CAN COPY")))))</f>
        <v/>
      </c>
      <c r="F49">
        <f>Matrix!$AZ40</f>
        <v/>
      </c>
      <c r="G49">
        <f>$A49*50</f>
        <v/>
      </c>
      <c r="H49">
        <f>IF($A49&lt;=4,1,2)</f>
        <v/>
      </c>
      <c r="I49" s="12" t="n"/>
    </row>
    <row r="50">
      <c r="A50" t="n">
        <v>1</v>
      </c>
      <c r="B50" t="inlineStr">
        <is>
          <t>Witch Bolt</t>
        </is>
      </c>
      <c r="C50" t="inlineStr">
        <is>
          <t>Evocation</t>
        </is>
      </c>
      <c r="D50" t="inlineStr">
        <is>
          <t>PHB 2024</t>
        </is>
      </c>
      <c r="E50">
        <f>IF($L$1="","",IF(INDEX(Matrix!$D41:$AA41,1,$L$1)=1,"OWNED",IF(Spells!$E$41&lt;&gt;"","RESTRICTED",IF($A50&gt;$L$2,"TOO HIGH",IF(Matrix!$BA41=0,"NOBODY HAS IT","CAN COPY")))))</f>
        <v/>
      </c>
      <c r="F50">
        <f>Matrix!$AZ41</f>
        <v/>
      </c>
      <c r="G50">
        <f>$A50*50</f>
        <v/>
      </c>
      <c r="H50">
        <f>IF($A50&lt;=4,1,2)</f>
        <v/>
      </c>
      <c r="I50" s="12" t="n"/>
    </row>
    <row r="51">
      <c r="A51" t="n">
        <v>2</v>
      </c>
      <c r="B51" t="inlineStr">
        <is>
          <t>Aganazzar's Scorcher</t>
        </is>
      </c>
      <c r="C51" t="inlineStr">
        <is>
          <t>Evocation</t>
        </is>
      </c>
      <c r="D51" t="inlineStr">
        <is>
          <t>Xanathar's Guide</t>
        </is>
      </c>
      <c r="E51">
        <f>IF($L$1="","",IF(INDEX(Matrix!$D42:$AA42,1,$L$1)=1,"OWNED",IF(Spells!$E$42&lt;&gt;"","RESTRICTED",IF($A51&gt;$L$2,"TOO HIGH",IF(Matrix!$BA42=0,"NOBODY HAS IT","CAN COPY")))))</f>
        <v/>
      </c>
      <c r="F51">
        <f>Matrix!$AZ42</f>
        <v/>
      </c>
      <c r="G51">
        <f>$A51*50</f>
        <v/>
      </c>
      <c r="H51">
        <f>IF($A51&lt;=4,1,2)</f>
        <v/>
      </c>
      <c r="I51" s="12" t="n"/>
    </row>
    <row r="52">
      <c r="A52" t="n">
        <v>2</v>
      </c>
      <c r="B52" t="inlineStr">
        <is>
          <t>Air Bubble</t>
        </is>
      </c>
      <c r="C52" t="inlineStr">
        <is>
          <t>Conjuration</t>
        </is>
      </c>
      <c r="D52" t="inlineStr">
        <is>
          <t>Spelljammer</t>
        </is>
      </c>
      <c r="E52">
        <f>IF($L$1="","",IF(INDEX(Matrix!$D43:$AA43,1,$L$1)=1,"OWNED",IF(Spells!$E$43&lt;&gt;"","RESTRICTED",IF($A52&gt;$L$2,"TOO HIGH",IF(Matrix!$BA43=0,"NOBODY HAS IT","CAN COPY")))))</f>
        <v/>
      </c>
      <c r="F52">
        <f>Matrix!$AZ43</f>
        <v/>
      </c>
      <c r="G52">
        <f>$A52*50</f>
        <v/>
      </c>
      <c r="H52">
        <f>IF($A52&lt;=4,1,2)</f>
        <v/>
      </c>
      <c r="I52" s="12" t="n"/>
    </row>
    <row r="53">
      <c r="A53" t="n">
        <v>2</v>
      </c>
      <c r="B53" t="inlineStr">
        <is>
          <t>Alter Self</t>
        </is>
      </c>
      <c r="C53" t="inlineStr">
        <is>
          <t>Transmutation</t>
        </is>
      </c>
      <c r="D53" t="inlineStr">
        <is>
          <t>PHB 2024</t>
        </is>
      </c>
      <c r="E53">
        <f>IF($L$1="","",IF(INDEX(Matrix!$D44:$AA44,1,$L$1)=1,"OWNED",IF(Spells!$E$44&lt;&gt;"","RESTRICTED",IF($A53&gt;$L$2,"TOO HIGH",IF(Matrix!$BA44=0,"NOBODY HAS IT","CAN COPY")))))</f>
        <v/>
      </c>
      <c r="F53">
        <f>Matrix!$AZ44</f>
        <v/>
      </c>
      <c r="G53">
        <f>$A53*50</f>
        <v/>
      </c>
      <c r="H53">
        <f>IF($A53&lt;=4,1,2)</f>
        <v/>
      </c>
      <c r="I53" s="12" t="n"/>
    </row>
    <row r="54">
      <c r="A54" t="n">
        <v>2</v>
      </c>
      <c r="B54" t="inlineStr">
        <is>
          <t>Arcane Lock</t>
        </is>
      </c>
      <c r="C54" t="inlineStr">
        <is>
          <t>Abjuration</t>
        </is>
      </c>
      <c r="D54" t="inlineStr">
        <is>
          <t>PHB 2024</t>
        </is>
      </c>
      <c r="E54">
        <f>IF($L$1="","",IF(INDEX(Matrix!$D45:$AA45,1,$L$1)=1,"OWNED",IF(Spells!$E$45&lt;&gt;"","RESTRICTED",IF($A54&gt;$L$2,"TOO HIGH",IF(Matrix!$BA45=0,"NOBODY HAS IT","CAN COPY")))))</f>
        <v/>
      </c>
      <c r="F54">
        <f>Matrix!$AZ45</f>
        <v/>
      </c>
      <c r="G54">
        <f>$A54*50</f>
        <v/>
      </c>
      <c r="H54">
        <f>IF($A54&lt;=4,1,2)</f>
        <v/>
      </c>
      <c r="I54" s="12" t="n"/>
    </row>
    <row r="55">
      <c r="A55" t="n">
        <v>2</v>
      </c>
      <c r="B55" t="inlineStr">
        <is>
          <t>Arcane Vigor</t>
        </is>
      </c>
      <c r="C55" t="inlineStr">
        <is>
          <t>Abjuration</t>
        </is>
      </c>
      <c r="D55" t="inlineStr">
        <is>
          <t>PHB 2024</t>
        </is>
      </c>
      <c r="E55">
        <f>IF($L$1="","",IF(INDEX(Matrix!$D46:$AA46,1,$L$1)=1,"OWNED",IF(Spells!$E$46&lt;&gt;"","RESTRICTED",IF($A55&gt;$L$2,"TOO HIGH",IF(Matrix!$BA46=0,"NOBODY HAS IT","CAN COPY")))))</f>
        <v/>
      </c>
      <c r="F55">
        <f>Matrix!$AZ46</f>
        <v/>
      </c>
      <c r="G55">
        <f>$A55*50</f>
        <v/>
      </c>
      <c r="H55">
        <f>IF($A55&lt;=4,1,2)</f>
        <v/>
      </c>
      <c r="I55" s="12" t="n"/>
    </row>
    <row r="56">
      <c r="A56" t="n">
        <v>2</v>
      </c>
      <c r="B56" t="inlineStr">
        <is>
          <t>Augury</t>
        </is>
      </c>
      <c r="C56" t="inlineStr">
        <is>
          <t>Divination</t>
        </is>
      </c>
      <c r="D56" t="inlineStr">
        <is>
          <t>PHB 2024</t>
        </is>
      </c>
      <c r="E56">
        <f>IF($L$1="","",IF(INDEX(Matrix!$D47:$AA47,1,$L$1)=1,"OWNED",IF(Spells!$E$47&lt;&gt;"","RESTRICTED",IF($A56&gt;$L$2,"TOO HIGH",IF(Matrix!$BA47=0,"NOBODY HAS IT","CAN COPY")))))</f>
        <v/>
      </c>
      <c r="F56">
        <f>Matrix!$AZ47</f>
        <v/>
      </c>
      <c r="G56">
        <f>$A56*50</f>
        <v/>
      </c>
      <c r="H56">
        <f>IF($A56&lt;=4,1,2)</f>
        <v/>
      </c>
      <c r="I56" s="12" t="n"/>
    </row>
    <row r="57">
      <c r="A57" t="n">
        <v>2</v>
      </c>
      <c r="B57" t="inlineStr">
        <is>
          <t>Battle Familiar</t>
        </is>
      </c>
      <c r="C57" t="inlineStr">
        <is>
          <t>Conjuration</t>
        </is>
      </c>
      <c r="D57" t="inlineStr">
        <is>
          <t>Arcana Unleashed</t>
        </is>
      </c>
      <c r="E57">
        <f>IF($L$1="","",IF(INDEX(Matrix!$D48:$AA48,1,$L$1)=1,"OWNED",IF(Spells!$E$48&lt;&gt;"","RESTRICTED",IF($A57&gt;$L$2,"TOO HIGH",IF(Matrix!$BA48=0,"NOBODY HAS IT","CAN COPY")))))</f>
        <v/>
      </c>
      <c r="F57">
        <f>Matrix!$AZ48</f>
        <v/>
      </c>
      <c r="G57">
        <f>$A57*50</f>
        <v/>
      </c>
      <c r="H57">
        <f>IF($A57&lt;=4,1,2)</f>
        <v/>
      </c>
      <c r="I57" s="12" t="n"/>
    </row>
    <row r="58">
      <c r="A58" t="n">
        <v>2</v>
      </c>
      <c r="B58" t="inlineStr">
        <is>
          <t>Blindness/Deafness</t>
        </is>
      </c>
      <c r="C58" t="inlineStr">
        <is>
          <t>Transmutation</t>
        </is>
      </c>
      <c r="D58" t="inlineStr">
        <is>
          <t>PHB 2024</t>
        </is>
      </c>
      <c r="E58">
        <f>IF($L$1="","",IF(INDEX(Matrix!$D49:$AA49,1,$L$1)=1,"OWNED",IF(Spells!$E$49&lt;&gt;"","RESTRICTED",IF($A58&gt;$L$2,"TOO HIGH",IF(Matrix!$BA49=0,"NOBODY HAS IT","CAN COPY")))))</f>
        <v/>
      </c>
      <c r="F58">
        <f>Matrix!$AZ49</f>
        <v/>
      </c>
      <c r="G58">
        <f>$A58*50</f>
        <v/>
      </c>
      <c r="H58">
        <f>IF($A58&lt;=4,1,2)</f>
        <v/>
      </c>
      <c r="I58" s="12" t="n"/>
    </row>
    <row r="59">
      <c r="A59" t="n">
        <v>2</v>
      </c>
      <c r="B59" t="inlineStr">
        <is>
          <t>Blur</t>
        </is>
      </c>
      <c r="C59" t="inlineStr">
        <is>
          <t>Illusion</t>
        </is>
      </c>
      <c r="D59" t="inlineStr">
        <is>
          <t>PHB 2024</t>
        </is>
      </c>
      <c r="E59">
        <f>IF($L$1="","",IF(INDEX(Matrix!$D50:$AA50,1,$L$1)=1,"OWNED",IF(Spells!$E$50&lt;&gt;"","RESTRICTED",IF($A59&gt;$L$2,"TOO HIGH",IF(Matrix!$BA50=0,"NOBODY HAS IT","CAN COPY")))))</f>
        <v/>
      </c>
      <c r="F59">
        <f>Matrix!$AZ50</f>
        <v/>
      </c>
      <c r="G59">
        <f>$A59*50</f>
        <v/>
      </c>
      <c r="H59">
        <f>IF($A59&lt;=4,1,2)</f>
        <v/>
      </c>
      <c r="I59" s="12" t="n"/>
    </row>
    <row r="60">
      <c r="A60" t="n">
        <v>2</v>
      </c>
      <c r="B60" t="inlineStr">
        <is>
          <t>Cloud of Daggers</t>
        </is>
      </c>
      <c r="C60" t="inlineStr">
        <is>
          <t>Conjuration</t>
        </is>
      </c>
      <c r="D60" t="inlineStr">
        <is>
          <t>PHB 2024</t>
        </is>
      </c>
      <c r="E60">
        <f>IF($L$1="","",IF(INDEX(Matrix!$D51:$AA51,1,$L$1)=1,"OWNED",IF(Spells!$E$51&lt;&gt;"","RESTRICTED",IF($A60&gt;$L$2,"TOO HIGH",IF(Matrix!$BA51=0,"NOBODY HAS IT","CAN COPY")))))</f>
        <v/>
      </c>
      <c r="F60">
        <f>Matrix!$AZ51</f>
        <v/>
      </c>
      <c r="G60">
        <f>$A60*50</f>
        <v/>
      </c>
      <c r="H60">
        <f>IF($A60&lt;=4,1,2)</f>
        <v/>
      </c>
      <c r="I60" s="12" t="n"/>
    </row>
    <row r="61">
      <c r="A61" t="n">
        <v>2</v>
      </c>
      <c r="B61" t="inlineStr">
        <is>
          <t>Continual Flame</t>
        </is>
      </c>
      <c r="C61" t="inlineStr">
        <is>
          <t>Evocation</t>
        </is>
      </c>
      <c r="D61" t="inlineStr">
        <is>
          <t>PHB 2024</t>
        </is>
      </c>
      <c r="E61">
        <f>IF($L$1="","",IF(INDEX(Matrix!$D52:$AA52,1,$L$1)=1,"OWNED",IF(Spells!$E$52&lt;&gt;"","RESTRICTED",IF($A61&gt;$L$2,"TOO HIGH",IF(Matrix!$BA52=0,"NOBODY HAS IT","CAN COPY")))))</f>
        <v/>
      </c>
      <c r="F61">
        <f>Matrix!$AZ52</f>
        <v/>
      </c>
      <c r="G61">
        <f>$A61*50</f>
        <v/>
      </c>
      <c r="H61">
        <f>IF($A61&lt;=4,1,2)</f>
        <v/>
      </c>
      <c r="I61" s="12" t="n"/>
    </row>
    <row r="62">
      <c r="A62" t="n">
        <v>2</v>
      </c>
      <c r="B62" t="inlineStr">
        <is>
          <t>Crown of Madness</t>
        </is>
      </c>
      <c r="C62" t="inlineStr">
        <is>
          <t>Enchantment</t>
        </is>
      </c>
      <c r="D62" t="inlineStr">
        <is>
          <t>PHB 2024</t>
        </is>
      </c>
      <c r="E62">
        <f>IF($L$1="","",IF(INDEX(Matrix!$D53:$AA53,1,$L$1)=1,"OWNED",IF(Spells!$E$53&lt;&gt;"","RESTRICTED",IF($A62&gt;$L$2,"TOO HIGH",IF(Matrix!$BA53=0,"NOBODY HAS IT","CAN COPY")))))</f>
        <v/>
      </c>
      <c r="F62">
        <f>Matrix!$AZ53</f>
        <v/>
      </c>
      <c r="G62">
        <f>$A62*50</f>
        <v/>
      </c>
      <c r="H62">
        <f>IF($A62&lt;=4,1,2)</f>
        <v/>
      </c>
      <c r="I62" s="12" t="n"/>
    </row>
    <row r="63">
      <c r="A63" t="n">
        <v>2</v>
      </c>
      <c r="B63" t="inlineStr">
        <is>
          <t>Darkness</t>
        </is>
      </c>
      <c r="C63" t="inlineStr">
        <is>
          <t>Evocation</t>
        </is>
      </c>
      <c r="D63" t="inlineStr">
        <is>
          <t>PHB 2024</t>
        </is>
      </c>
      <c r="E63">
        <f>IF($L$1="","",IF(INDEX(Matrix!$D54:$AA54,1,$L$1)=1,"OWNED",IF(Spells!$E$54&lt;&gt;"","RESTRICTED",IF($A63&gt;$L$2,"TOO HIGH",IF(Matrix!$BA54=0,"NOBODY HAS IT","CAN COPY")))))</f>
        <v/>
      </c>
      <c r="F63">
        <f>Matrix!$AZ54</f>
        <v/>
      </c>
      <c r="G63">
        <f>$A63*50</f>
        <v/>
      </c>
      <c r="H63">
        <f>IF($A63&lt;=4,1,2)</f>
        <v/>
      </c>
      <c r="I63" s="12" t="n"/>
    </row>
    <row r="64">
      <c r="A64" t="n">
        <v>2</v>
      </c>
      <c r="B64" t="inlineStr">
        <is>
          <t>Darkvision</t>
        </is>
      </c>
      <c r="C64" t="inlineStr">
        <is>
          <t>Transmutation</t>
        </is>
      </c>
      <c r="D64" t="inlineStr">
        <is>
          <t>PHB 2024</t>
        </is>
      </c>
      <c r="E64">
        <f>IF($L$1="","",IF(INDEX(Matrix!$D55:$AA55,1,$L$1)=1,"OWNED",IF(Spells!$E$55&lt;&gt;"","RESTRICTED",IF($A64&gt;$L$2,"TOO HIGH",IF(Matrix!$BA55=0,"NOBODY HAS IT","CAN COPY")))))</f>
        <v/>
      </c>
      <c r="F64">
        <f>Matrix!$AZ55</f>
        <v/>
      </c>
      <c r="G64">
        <f>$A64*50</f>
        <v/>
      </c>
      <c r="H64">
        <f>IF($A64&lt;=4,1,2)</f>
        <v/>
      </c>
      <c r="I64" s="12" t="n"/>
    </row>
    <row r="65">
      <c r="A65" t="n">
        <v>2</v>
      </c>
      <c r="B65" t="inlineStr">
        <is>
          <t>Death Armor</t>
        </is>
      </c>
      <c r="C65" t="inlineStr">
        <is>
          <t>Necromancy</t>
        </is>
      </c>
      <c r="D65" t="inlineStr">
        <is>
          <t>Heroes of Faerun</t>
        </is>
      </c>
      <c r="E65">
        <f>IF($L$1="","",IF(INDEX(Matrix!$D56:$AA56,1,$L$1)=1,"OWNED",IF(Spells!$E$56&lt;&gt;"","RESTRICTED",IF($A65&gt;$L$2,"TOO HIGH",IF(Matrix!$BA56=0,"NOBODY HAS IT","CAN COPY")))))</f>
        <v/>
      </c>
      <c r="F65">
        <f>Matrix!$AZ56</f>
        <v/>
      </c>
      <c r="G65">
        <f>$A65*50</f>
        <v/>
      </c>
      <c r="H65">
        <f>IF($A65&lt;=4,1,2)</f>
        <v/>
      </c>
      <c r="I65" s="12" t="n"/>
    </row>
    <row r="66">
      <c r="A66" t="n">
        <v>2</v>
      </c>
      <c r="B66" t="inlineStr">
        <is>
          <t>Deryan's Helpful Homunculi</t>
        </is>
      </c>
      <c r="C66" t="inlineStr">
        <is>
          <t>Conjuration</t>
        </is>
      </c>
      <c r="D66" t="inlineStr">
        <is>
          <t>Heroes of Faerun</t>
        </is>
      </c>
      <c r="E66">
        <f>IF($L$1="","",IF(INDEX(Matrix!$D57:$AA57,1,$L$1)=1,"OWNED",IF(Spells!$E$57&lt;&gt;"","RESTRICTED",IF($A66&gt;$L$2,"TOO HIGH",IF(Matrix!$BA57=0,"NOBODY HAS IT","CAN COPY")))))</f>
        <v/>
      </c>
      <c r="F66">
        <f>Matrix!$AZ57</f>
        <v/>
      </c>
      <c r="G66">
        <f>$A66*50</f>
        <v/>
      </c>
      <c r="H66">
        <f>IF($A66&lt;=4,1,2)</f>
        <v/>
      </c>
      <c r="I66" s="12" t="n"/>
    </row>
    <row r="67">
      <c r="A67" t="n">
        <v>2</v>
      </c>
      <c r="B67" t="inlineStr">
        <is>
          <t>Detect Thoughts</t>
        </is>
      </c>
      <c r="C67" t="inlineStr">
        <is>
          <t>Divination</t>
        </is>
      </c>
      <c r="D67" t="inlineStr">
        <is>
          <t>PHB 2024</t>
        </is>
      </c>
      <c r="E67">
        <f>IF($L$1="","",IF(INDEX(Matrix!$D58:$AA58,1,$L$1)=1,"OWNED",IF(Spells!$E$58&lt;&gt;"","RESTRICTED",IF($A67&gt;$L$2,"TOO HIGH",IF(Matrix!$BA58=0,"NOBODY HAS IT","CAN COPY")))))</f>
        <v/>
      </c>
      <c r="F67">
        <f>Matrix!$AZ58</f>
        <v/>
      </c>
      <c r="G67">
        <f>$A67*50</f>
        <v/>
      </c>
      <c r="H67">
        <f>IF($A67&lt;=4,1,2)</f>
        <v/>
      </c>
      <c r="I67" s="12" t="n"/>
    </row>
    <row r="68">
      <c r="A68" t="n">
        <v>2</v>
      </c>
      <c r="B68" t="inlineStr">
        <is>
          <t>Disruptive Tune</t>
        </is>
      </c>
      <c r="C68" t="inlineStr">
        <is>
          <t>Abjuration</t>
        </is>
      </c>
      <c r="D68" t="inlineStr">
        <is>
          <t>Arcana Unleashed</t>
        </is>
      </c>
      <c r="E68">
        <f>IF($L$1="","",IF(INDEX(Matrix!$D59:$AA59,1,$L$1)=1,"OWNED",IF(Spells!$E$59&lt;&gt;"","RESTRICTED",IF($A68&gt;$L$2,"TOO HIGH",IF(Matrix!$BA59=0,"NOBODY HAS IT","CAN COPY")))))</f>
        <v/>
      </c>
      <c r="F68">
        <f>Matrix!$AZ59</f>
        <v/>
      </c>
      <c r="G68">
        <f>$A68*50</f>
        <v/>
      </c>
      <c r="H68">
        <f>IF($A68&lt;=4,1,2)</f>
        <v/>
      </c>
      <c r="I68" s="12" t="n"/>
    </row>
    <row r="69">
      <c r="A69" t="n">
        <v>2</v>
      </c>
      <c r="B69" t="inlineStr">
        <is>
          <t>Dragon's Breath</t>
        </is>
      </c>
      <c r="C69" t="inlineStr">
        <is>
          <t>Transmutation</t>
        </is>
      </c>
      <c r="D69" t="inlineStr">
        <is>
          <t>PHB 2024</t>
        </is>
      </c>
      <c r="E69">
        <f>IF($L$1="","",IF(INDEX(Matrix!$D60:$AA60,1,$L$1)=1,"OWNED",IF(Spells!$E$60&lt;&gt;"","RESTRICTED",IF($A69&gt;$L$2,"TOO HIGH",IF(Matrix!$BA60=0,"NOBODY HAS IT","CAN COPY")))))</f>
        <v/>
      </c>
      <c r="F69">
        <f>Matrix!$AZ60</f>
        <v/>
      </c>
      <c r="G69">
        <f>$A69*50</f>
        <v/>
      </c>
      <c r="H69">
        <f>IF($A69&lt;=4,1,2)</f>
        <v/>
      </c>
      <c r="I69" s="12" t="n"/>
    </row>
    <row r="70">
      <c r="A70" t="n">
        <v>2</v>
      </c>
      <c r="B70" t="inlineStr">
        <is>
          <t>Dueling Ground</t>
        </is>
      </c>
      <c r="C70" t="inlineStr">
        <is>
          <t>Abjuration</t>
        </is>
      </c>
      <c r="D70" t="inlineStr">
        <is>
          <t>Arcana Unleashed</t>
        </is>
      </c>
      <c r="E70">
        <f>IF($L$1="","",IF(INDEX(Matrix!$D61:$AA61,1,$L$1)=1,"OWNED",IF(Spells!$E$61&lt;&gt;"","RESTRICTED",IF($A70&gt;$L$2,"TOO HIGH",IF(Matrix!$BA61=0,"NOBODY HAS IT","CAN COPY")))))</f>
        <v/>
      </c>
      <c r="F70">
        <f>Matrix!$AZ61</f>
        <v/>
      </c>
      <c r="G70">
        <f>$A70*50</f>
        <v/>
      </c>
      <c r="H70">
        <f>IF($A70&lt;=4,1,2)</f>
        <v/>
      </c>
      <c r="I70" s="12" t="n"/>
    </row>
    <row r="71">
      <c r="A71" t="n">
        <v>2</v>
      </c>
      <c r="B71" t="inlineStr">
        <is>
          <t>Dust Devil</t>
        </is>
      </c>
      <c r="C71" t="inlineStr">
        <is>
          <t>Conjuration</t>
        </is>
      </c>
      <c r="D71" t="inlineStr">
        <is>
          <t>Xanathar's Guide</t>
        </is>
      </c>
      <c r="E71">
        <f>IF($L$1="","",IF(INDEX(Matrix!$D62:$AA62,1,$L$1)=1,"OWNED",IF(Spells!$E$62&lt;&gt;"","RESTRICTED",IF($A71&gt;$L$2,"TOO HIGH",IF(Matrix!$BA62=0,"NOBODY HAS IT","CAN COPY")))))</f>
        <v/>
      </c>
      <c r="F71">
        <f>Matrix!$AZ62</f>
        <v/>
      </c>
      <c r="G71">
        <f>$A71*50</f>
        <v/>
      </c>
      <c r="H71">
        <f>IF($A71&lt;=4,1,2)</f>
        <v/>
      </c>
      <c r="I71" s="12" t="n"/>
    </row>
    <row r="72">
      <c r="A72" t="n">
        <v>2</v>
      </c>
      <c r="B72" t="inlineStr">
        <is>
          <t>Earthbind</t>
        </is>
      </c>
      <c r="C72" t="inlineStr">
        <is>
          <t>Transmutation</t>
        </is>
      </c>
      <c r="D72" t="inlineStr">
        <is>
          <t>Xanathar's Guide</t>
        </is>
      </c>
      <c r="E72">
        <f>IF($L$1="","",IF(INDEX(Matrix!$D63:$AA63,1,$L$1)=1,"OWNED",IF(Spells!$E$63&lt;&gt;"","RESTRICTED",IF($A72&gt;$L$2,"TOO HIGH",IF(Matrix!$BA63=0,"NOBODY HAS IT","CAN COPY")))))</f>
        <v/>
      </c>
      <c r="F72">
        <f>Matrix!$AZ63</f>
        <v/>
      </c>
      <c r="G72">
        <f>$A72*50</f>
        <v/>
      </c>
      <c r="H72">
        <f>IF($A72&lt;=4,1,2)</f>
        <v/>
      </c>
      <c r="I72" s="12" t="n"/>
    </row>
    <row r="73">
      <c r="A73" t="n">
        <v>2</v>
      </c>
      <c r="B73" t="inlineStr">
        <is>
          <t>Elminster's Elusion</t>
        </is>
      </c>
      <c r="C73" t="inlineStr">
        <is>
          <t>Abjuration</t>
        </is>
      </c>
      <c r="D73" t="inlineStr">
        <is>
          <t>Heroes of Faerun</t>
        </is>
      </c>
      <c r="E73">
        <f>IF($L$1="","",IF(INDEX(Matrix!$D64:$AA64,1,$L$1)=1,"OWNED",IF(Spells!$E$64&lt;&gt;"","RESTRICTED",IF($A73&gt;$L$2,"TOO HIGH",IF(Matrix!$BA64=0,"NOBODY HAS IT","CAN COPY")))))</f>
        <v/>
      </c>
      <c r="F73">
        <f>Matrix!$AZ64</f>
        <v/>
      </c>
      <c r="G73">
        <f>$A73*50</f>
        <v/>
      </c>
      <c r="H73">
        <f>IF($A73&lt;=4,1,2)</f>
        <v/>
      </c>
      <c r="I73" s="12" t="n"/>
    </row>
    <row r="74">
      <c r="A74" t="n">
        <v>2</v>
      </c>
      <c r="B74" t="inlineStr">
        <is>
          <t>Enhance Ability</t>
        </is>
      </c>
      <c r="C74" t="inlineStr">
        <is>
          <t>Transmutation</t>
        </is>
      </c>
      <c r="D74" t="inlineStr">
        <is>
          <t>PHB 2024</t>
        </is>
      </c>
      <c r="E74">
        <f>IF($L$1="","",IF(INDEX(Matrix!$D65:$AA65,1,$L$1)=1,"OWNED",IF(Spells!$E$65&lt;&gt;"","RESTRICTED",IF($A74&gt;$L$2,"TOO HIGH",IF(Matrix!$BA65=0,"NOBODY HAS IT","CAN COPY")))))</f>
        <v/>
      </c>
      <c r="F74">
        <f>Matrix!$AZ65</f>
        <v/>
      </c>
      <c r="G74">
        <f>$A74*50</f>
        <v/>
      </c>
      <c r="H74">
        <f>IF($A74&lt;=4,1,2)</f>
        <v/>
      </c>
      <c r="I74" s="12" t="n"/>
    </row>
    <row r="75">
      <c r="A75" t="n">
        <v>2</v>
      </c>
      <c r="B75" t="inlineStr">
        <is>
          <t>Enlarge/Reduce</t>
        </is>
      </c>
      <c r="C75" t="inlineStr">
        <is>
          <t>Transmutation</t>
        </is>
      </c>
      <c r="D75" t="inlineStr">
        <is>
          <t>PHB 2024</t>
        </is>
      </c>
      <c r="E75">
        <f>IF($L$1="","",IF(INDEX(Matrix!$D66:$AA66,1,$L$1)=1,"OWNED",IF(Spells!$E$66&lt;&gt;"","RESTRICTED",IF($A75&gt;$L$2,"TOO HIGH",IF(Matrix!$BA66=0,"NOBODY HAS IT","CAN COPY")))))</f>
        <v/>
      </c>
      <c r="F75">
        <f>Matrix!$AZ66</f>
        <v/>
      </c>
      <c r="G75">
        <f>$A75*50</f>
        <v/>
      </c>
      <c r="H75">
        <f>IF($A75&lt;=4,1,2)</f>
        <v/>
      </c>
      <c r="I75" s="12" t="n"/>
    </row>
    <row r="76">
      <c r="A76" t="n">
        <v>2</v>
      </c>
      <c r="B76" t="inlineStr">
        <is>
          <t>Flaming Sphere</t>
        </is>
      </c>
      <c r="C76" t="inlineStr">
        <is>
          <t>Conjuration</t>
        </is>
      </c>
      <c r="D76" t="inlineStr">
        <is>
          <t>PHB 2024</t>
        </is>
      </c>
      <c r="E76">
        <f>IF($L$1="","",IF(INDEX(Matrix!$D67:$AA67,1,$L$1)=1,"OWNED",IF(Spells!$E$67&lt;&gt;"","RESTRICTED",IF($A76&gt;$L$2,"TOO HIGH",IF(Matrix!$BA67=0,"NOBODY HAS IT","CAN COPY")))))</f>
        <v/>
      </c>
      <c r="F76">
        <f>Matrix!$AZ67</f>
        <v/>
      </c>
      <c r="G76">
        <f>$A76*50</f>
        <v/>
      </c>
      <c r="H76">
        <f>IF($A76&lt;=4,1,2)</f>
        <v/>
      </c>
      <c r="I76" s="12" t="n"/>
    </row>
    <row r="77">
      <c r="A77" t="n">
        <v>2</v>
      </c>
      <c r="B77" t="inlineStr">
        <is>
          <t>Flock of Familiars</t>
        </is>
      </c>
      <c r="C77" t="inlineStr">
        <is>
          <t>Conjuration</t>
        </is>
      </c>
      <c r="D77" t="inlineStr">
        <is>
          <t>Kwalish</t>
        </is>
      </c>
      <c r="E77">
        <f>IF($L$1="","",IF(INDEX(Matrix!$D68:$AA68,1,$L$1)=1,"OWNED",IF(Spells!$E$68&lt;&gt;"","RESTRICTED",IF($A77&gt;$L$2,"TOO HIGH",IF(Matrix!$BA68=0,"NOBODY HAS IT","CAN COPY")))))</f>
        <v/>
      </c>
      <c r="F77">
        <f>Matrix!$AZ68</f>
        <v/>
      </c>
      <c r="G77">
        <f>$A77*50</f>
        <v/>
      </c>
      <c r="H77">
        <f>IF($A77&lt;=4,1,2)</f>
        <v/>
      </c>
      <c r="I77" s="12" t="n"/>
    </row>
    <row r="78">
      <c r="A78" t="n">
        <v>2</v>
      </c>
      <c r="B78" t="inlineStr">
        <is>
          <t>Gentle Repose</t>
        </is>
      </c>
      <c r="C78" t="inlineStr">
        <is>
          <t>Necromancy</t>
        </is>
      </c>
      <c r="D78" t="inlineStr">
        <is>
          <t>PHB 2024</t>
        </is>
      </c>
      <c r="E78">
        <f>IF($L$1="","",IF(INDEX(Matrix!$D69:$AA69,1,$L$1)=1,"OWNED",IF(Spells!$E$69&lt;&gt;"","RESTRICTED",IF($A78&gt;$L$2,"TOO HIGH",IF(Matrix!$BA69=0,"NOBODY HAS IT","CAN COPY")))))</f>
        <v/>
      </c>
      <c r="F78">
        <f>Matrix!$AZ69</f>
        <v/>
      </c>
      <c r="G78">
        <f>$A78*50</f>
        <v/>
      </c>
      <c r="H78">
        <f>IF($A78&lt;=4,1,2)</f>
        <v/>
      </c>
      <c r="I78" s="12" t="n"/>
    </row>
    <row r="79">
      <c r="A79" t="n">
        <v>2</v>
      </c>
      <c r="B79" t="inlineStr">
        <is>
          <t>Gust of Wind</t>
        </is>
      </c>
      <c r="C79" t="inlineStr">
        <is>
          <t>Evocation</t>
        </is>
      </c>
      <c r="D79" t="inlineStr">
        <is>
          <t>PHB 2024</t>
        </is>
      </c>
      <c r="E79">
        <f>IF($L$1="","",IF(INDEX(Matrix!$D70:$AA70,1,$L$1)=1,"OWNED",IF(Spells!$E$70&lt;&gt;"","RESTRICTED",IF($A79&gt;$L$2,"TOO HIGH",IF(Matrix!$BA70=0,"NOBODY HAS IT","CAN COPY")))))</f>
        <v/>
      </c>
      <c r="F79">
        <f>Matrix!$AZ70</f>
        <v/>
      </c>
      <c r="G79">
        <f>$A79*50</f>
        <v/>
      </c>
      <c r="H79">
        <f>IF($A79&lt;=4,1,2)</f>
        <v/>
      </c>
      <c r="I79" s="12" t="n"/>
    </row>
    <row r="80">
      <c r="A80" t="n">
        <v>2</v>
      </c>
      <c r="B80" t="inlineStr">
        <is>
          <t>Hold Person</t>
        </is>
      </c>
      <c r="C80" t="inlineStr">
        <is>
          <t>Enchantment</t>
        </is>
      </c>
      <c r="D80" t="inlineStr">
        <is>
          <t>PHB 2024</t>
        </is>
      </c>
      <c r="E80">
        <f>IF($L$1="","",IF(INDEX(Matrix!$D71:$AA71,1,$L$1)=1,"OWNED",IF(Spells!$E$71&lt;&gt;"","RESTRICTED",IF($A80&gt;$L$2,"TOO HIGH",IF(Matrix!$BA71=0,"NOBODY HAS IT","CAN COPY")))))</f>
        <v/>
      </c>
      <c r="F80">
        <f>Matrix!$AZ71</f>
        <v/>
      </c>
      <c r="G80">
        <f>$A80*50</f>
        <v/>
      </c>
      <c r="H80">
        <f>IF($A80&lt;=4,1,2)</f>
        <v/>
      </c>
      <c r="I80" s="12" t="n"/>
    </row>
    <row r="81">
      <c r="A81" t="n">
        <v>2</v>
      </c>
      <c r="B81" t="inlineStr">
        <is>
          <t>Invisibility</t>
        </is>
      </c>
      <c r="C81" t="inlineStr">
        <is>
          <t>Illusion</t>
        </is>
      </c>
      <c r="D81" t="inlineStr">
        <is>
          <t>PHB 2024</t>
        </is>
      </c>
      <c r="E81">
        <f>IF($L$1="","",IF(INDEX(Matrix!$D72:$AA72,1,$L$1)=1,"OWNED",IF(Spells!$E$72&lt;&gt;"","RESTRICTED",IF($A81&gt;$L$2,"TOO HIGH",IF(Matrix!$BA72=0,"NOBODY HAS IT","CAN COPY")))))</f>
        <v/>
      </c>
      <c r="F81">
        <f>Matrix!$AZ72</f>
        <v/>
      </c>
      <c r="G81">
        <f>$A81*50</f>
        <v/>
      </c>
      <c r="H81">
        <f>IF($A81&lt;=4,1,2)</f>
        <v/>
      </c>
      <c r="I81" s="12" t="n"/>
    </row>
    <row r="82">
      <c r="A82" t="n">
        <v>2</v>
      </c>
      <c r="B82" t="inlineStr">
        <is>
          <t>Knock</t>
        </is>
      </c>
      <c r="C82" t="inlineStr">
        <is>
          <t>Transmutation</t>
        </is>
      </c>
      <c r="D82" t="inlineStr">
        <is>
          <t>PHB 2024</t>
        </is>
      </c>
      <c r="E82">
        <f>IF($L$1="","",IF(INDEX(Matrix!$D73:$AA73,1,$L$1)=1,"OWNED",IF(Spells!$E$73&lt;&gt;"","RESTRICTED",IF($A82&gt;$L$2,"TOO HIGH",IF(Matrix!$BA73=0,"NOBODY HAS IT","CAN COPY")))))</f>
        <v/>
      </c>
      <c r="F82">
        <f>Matrix!$AZ73</f>
        <v/>
      </c>
      <c r="G82">
        <f>$A82*50</f>
        <v/>
      </c>
      <c r="H82">
        <f>IF($A82&lt;=4,1,2)</f>
        <v/>
      </c>
      <c r="I82" s="12" t="n"/>
    </row>
    <row r="83">
      <c r="A83" t="n">
        <v>2</v>
      </c>
      <c r="B83" t="inlineStr">
        <is>
          <t>Levitate</t>
        </is>
      </c>
      <c r="C83" t="inlineStr">
        <is>
          <t>Transmutation</t>
        </is>
      </c>
      <c r="D83" t="inlineStr">
        <is>
          <t>PHB 2024</t>
        </is>
      </c>
      <c r="E83">
        <f>IF($L$1="","",IF(INDEX(Matrix!$D74:$AA74,1,$L$1)=1,"OWNED",IF(Spells!$E$74&lt;&gt;"","RESTRICTED",IF($A83&gt;$L$2,"TOO HIGH",IF(Matrix!$BA74=0,"NOBODY HAS IT","CAN COPY")))))</f>
        <v/>
      </c>
      <c r="F83">
        <f>Matrix!$AZ74</f>
        <v/>
      </c>
      <c r="G83">
        <f>$A83*50</f>
        <v/>
      </c>
      <c r="H83">
        <f>IF($A83&lt;=4,1,2)</f>
        <v/>
      </c>
      <c r="I83" s="12" t="n"/>
    </row>
    <row r="84">
      <c r="A84" t="n">
        <v>2</v>
      </c>
      <c r="B84" t="inlineStr">
        <is>
          <t>Locate Object</t>
        </is>
      </c>
      <c r="C84" t="inlineStr">
        <is>
          <t>Divination</t>
        </is>
      </c>
      <c r="D84" t="inlineStr">
        <is>
          <t>PHB 2024</t>
        </is>
      </c>
      <c r="E84">
        <f>IF($L$1="","",IF(INDEX(Matrix!$D75:$AA75,1,$L$1)=1,"OWNED",IF(Spells!$E$75&lt;&gt;"","RESTRICTED",IF($A84&gt;$L$2,"TOO HIGH",IF(Matrix!$BA75=0,"NOBODY HAS IT","CAN COPY")))))</f>
        <v/>
      </c>
      <c r="F84">
        <f>Matrix!$AZ75</f>
        <v/>
      </c>
      <c r="G84">
        <f>$A84*50</f>
        <v/>
      </c>
      <c r="H84">
        <f>IF($A84&lt;=4,1,2)</f>
        <v/>
      </c>
      <c r="I84" s="12" t="n"/>
    </row>
    <row r="85">
      <c r="A85" t="n">
        <v>2</v>
      </c>
      <c r="B85" t="inlineStr">
        <is>
          <t>Magic Mouth</t>
        </is>
      </c>
      <c r="C85" t="inlineStr">
        <is>
          <t>Illusion</t>
        </is>
      </c>
      <c r="D85" t="inlineStr">
        <is>
          <t>PHB 2024</t>
        </is>
      </c>
      <c r="E85">
        <f>IF($L$1="","",IF(INDEX(Matrix!$D76:$AA76,1,$L$1)=1,"OWNED",IF(Spells!$E$76&lt;&gt;"","RESTRICTED",IF($A85&gt;$L$2,"TOO HIGH",IF(Matrix!$BA76=0,"NOBODY HAS IT","CAN COPY")))))</f>
        <v/>
      </c>
      <c r="F85">
        <f>Matrix!$AZ76</f>
        <v/>
      </c>
      <c r="G85">
        <f>$A85*50</f>
        <v/>
      </c>
      <c r="H85">
        <f>IF($A85&lt;=4,1,2)</f>
        <v/>
      </c>
      <c r="I85" s="12" t="n"/>
    </row>
    <row r="86">
      <c r="A86" t="n">
        <v>2</v>
      </c>
      <c r="B86" t="inlineStr">
        <is>
          <t>Magic Weapon</t>
        </is>
      </c>
      <c r="C86" t="inlineStr">
        <is>
          <t>Transmutation</t>
        </is>
      </c>
      <c r="D86" t="inlineStr">
        <is>
          <t>PHB 2024</t>
        </is>
      </c>
      <c r="E86">
        <f>IF($L$1="","",IF(INDEX(Matrix!$D77:$AA77,1,$L$1)=1,"OWNED",IF(Spells!$E$77&lt;&gt;"","RESTRICTED",IF($A86&gt;$L$2,"TOO HIGH",IF(Matrix!$BA77=0,"NOBODY HAS IT","CAN COPY")))))</f>
        <v/>
      </c>
      <c r="F86">
        <f>Matrix!$AZ77</f>
        <v/>
      </c>
      <c r="G86">
        <f>$A86*50</f>
        <v/>
      </c>
      <c r="H86">
        <f>IF($A86&lt;=4,1,2)</f>
        <v/>
      </c>
      <c r="I86" s="12" t="n"/>
    </row>
    <row r="87">
      <c r="A87" t="n">
        <v>2</v>
      </c>
      <c r="B87" t="inlineStr">
        <is>
          <t>Maximilian's Earthen Grasp</t>
        </is>
      </c>
      <c r="C87" t="inlineStr">
        <is>
          <t>Transmutation</t>
        </is>
      </c>
      <c r="D87" t="inlineStr">
        <is>
          <t>Xanathar's Guide</t>
        </is>
      </c>
      <c r="E87">
        <f>IF($L$1="","",IF(INDEX(Matrix!$D78:$AA78,1,$L$1)=1,"OWNED",IF(Spells!$E$78&lt;&gt;"","RESTRICTED",IF($A87&gt;$L$2,"TOO HIGH",IF(Matrix!$BA78=0,"NOBODY HAS IT","CAN COPY")))))</f>
        <v/>
      </c>
      <c r="F87">
        <f>Matrix!$AZ78</f>
        <v/>
      </c>
      <c r="G87">
        <f>$A87*50</f>
        <v/>
      </c>
      <c r="H87">
        <f>IF($A87&lt;=4,1,2)</f>
        <v/>
      </c>
      <c r="I87" s="12" t="n"/>
    </row>
    <row r="88">
      <c r="A88" t="n">
        <v>2</v>
      </c>
      <c r="B88" t="inlineStr">
        <is>
          <t>Melf's Acid Arrow</t>
        </is>
      </c>
      <c r="C88" t="inlineStr">
        <is>
          <t>Evocation</t>
        </is>
      </c>
      <c r="D88" t="inlineStr">
        <is>
          <t>PHB 2024</t>
        </is>
      </c>
      <c r="E88">
        <f>IF($L$1="","",IF(INDEX(Matrix!$D79:$AA79,1,$L$1)=1,"OWNED",IF(Spells!$E$79&lt;&gt;"","RESTRICTED",IF($A88&gt;$L$2,"TOO HIGH",IF(Matrix!$BA79=0,"NOBODY HAS IT","CAN COPY")))))</f>
        <v/>
      </c>
      <c r="F88">
        <f>Matrix!$AZ79</f>
        <v/>
      </c>
      <c r="G88">
        <f>$A88*50</f>
        <v/>
      </c>
      <c r="H88">
        <f>IF($A88&lt;=4,1,2)</f>
        <v/>
      </c>
      <c r="I88" s="12" t="n"/>
    </row>
    <row r="89">
      <c r="A89" t="n">
        <v>2</v>
      </c>
      <c r="B89" t="inlineStr">
        <is>
          <t>Mind Spike</t>
        </is>
      </c>
      <c r="C89" t="inlineStr">
        <is>
          <t>Divination</t>
        </is>
      </c>
      <c r="D89" t="inlineStr">
        <is>
          <t>PHB 2024</t>
        </is>
      </c>
      <c r="E89">
        <f>IF($L$1="","",IF(INDEX(Matrix!$D80:$AA80,1,$L$1)=1,"OWNED",IF(Spells!$E$80&lt;&gt;"","RESTRICTED",IF($A89&gt;$L$2,"TOO HIGH",IF(Matrix!$BA80=0,"NOBODY HAS IT","CAN COPY")))))</f>
        <v/>
      </c>
      <c r="F89">
        <f>Matrix!$AZ80</f>
        <v/>
      </c>
      <c r="G89">
        <f>$A89*50</f>
        <v/>
      </c>
      <c r="H89">
        <f>IF($A89&lt;=4,1,2)</f>
        <v/>
      </c>
      <c r="I89" s="12" t="n"/>
    </row>
    <row r="90">
      <c r="A90" t="n">
        <v>2</v>
      </c>
      <c r="B90" t="inlineStr">
        <is>
          <t>Mirror Image</t>
        </is>
      </c>
      <c r="C90" t="inlineStr">
        <is>
          <t>Illusion</t>
        </is>
      </c>
      <c r="D90" t="inlineStr">
        <is>
          <t>PHB 2024</t>
        </is>
      </c>
      <c r="E90">
        <f>IF($L$1="","",IF(INDEX(Matrix!$D81:$AA81,1,$L$1)=1,"OWNED",IF(Spells!$E$81&lt;&gt;"","RESTRICTED",IF($A90&gt;$L$2,"TOO HIGH",IF(Matrix!$BA81=0,"NOBODY HAS IT","CAN COPY")))))</f>
        <v/>
      </c>
      <c r="F90">
        <f>Matrix!$AZ81</f>
        <v/>
      </c>
      <c r="G90">
        <f>$A90*50</f>
        <v/>
      </c>
      <c r="H90">
        <f>IF($A90&lt;=4,1,2)</f>
        <v/>
      </c>
      <c r="I90" s="12" t="n"/>
    </row>
    <row r="91">
      <c r="A91" t="n">
        <v>2</v>
      </c>
      <c r="B91" t="inlineStr">
        <is>
          <t>Misty Step</t>
        </is>
      </c>
      <c r="C91" t="inlineStr">
        <is>
          <t>Conjuration</t>
        </is>
      </c>
      <c r="D91" t="inlineStr">
        <is>
          <t>PHB 2024</t>
        </is>
      </c>
      <c r="E91">
        <f>IF($L$1="","",IF(INDEX(Matrix!$D82:$AA82,1,$L$1)=1,"OWNED",IF(Spells!$E$82&lt;&gt;"","RESTRICTED",IF($A91&gt;$L$2,"TOO HIGH",IF(Matrix!$BA82=0,"NOBODY HAS IT","CAN COPY")))))</f>
        <v/>
      </c>
      <c r="F91">
        <f>Matrix!$AZ82</f>
        <v/>
      </c>
      <c r="G91">
        <f>$A91*50</f>
        <v/>
      </c>
      <c r="H91">
        <f>IF($A91&lt;=4,1,2)</f>
        <v/>
      </c>
      <c r="I91" s="12" t="n"/>
    </row>
    <row r="92">
      <c r="A92" t="n">
        <v>2</v>
      </c>
      <c r="B92" t="inlineStr">
        <is>
          <t>Nathair's Mischief</t>
        </is>
      </c>
      <c r="C92" t="inlineStr">
        <is>
          <t>Illusion</t>
        </is>
      </c>
      <c r="D92" t="inlineStr">
        <is>
          <t>Fizban's</t>
        </is>
      </c>
      <c r="E92">
        <f>IF($L$1="","",IF(INDEX(Matrix!$D83:$AA83,1,$L$1)=1,"OWNED",IF(Spells!$E$83&lt;&gt;"","RESTRICTED",IF($A92&gt;$L$2,"TOO HIGH",IF(Matrix!$BA83=0,"NOBODY HAS IT","CAN COPY")))))</f>
        <v/>
      </c>
      <c r="F92">
        <f>Matrix!$AZ83</f>
        <v/>
      </c>
      <c r="G92">
        <f>$A92*50</f>
        <v/>
      </c>
      <c r="H92">
        <f>IF($A92&lt;=4,1,2)</f>
        <v/>
      </c>
      <c r="I92" s="12" t="n"/>
    </row>
    <row r="93">
      <c r="A93" t="n">
        <v>2</v>
      </c>
      <c r="B93" t="inlineStr">
        <is>
          <t>Nystul's Magic Aura</t>
        </is>
      </c>
      <c r="C93" t="inlineStr">
        <is>
          <t>Illusion</t>
        </is>
      </c>
      <c r="D93" t="inlineStr">
        <is>
          <t>PHB 2024</t>
        </is>
      </c>
      <c r="E93">
        <f>IF($L$1="","",IF(INDEX(Matrix!$D84:$AA84,1,$L$1)=1,"OWNED",IF(Spells!$E$84&lt;&gt;"","RESTRICTED",IF($A93&gt;$L$2,"TOO HIGH",IF(Matrix!$BA84=0,"NOBODY HAS IT","CAN COPY")))))</f>
        <v/>
      </c>
      <c r="F93">
        <f>Matrix!$AZ84</f>
        <v/>
      </c>
      <c r="G93">
        <f>$A93*50</f>
        <v/>
      </c>
      <c r="H93">
        <f>IF($A93&lt;=4,1,2)</f>
        <v/>
      </c>
      <c r="I93" s="12" t="n"/>
    </row>
    <row r="94">
      <c r="A94" t="n">
        <v>2</v>
      </c>
      <c r="B94" t="inlineStr">
        <is>
          <t>Phantasmal Force</t>
        </is>
      </c>
      <c r="C94" t="inlineStr">
        <is>
          <t>Illusion</t>
        </is>
      </c>
      <c r="D94" t="inlineStr">
        <is>
          <t>PHB 2024</t>
        </is>
      </c>
      <c r="E94">
        <f>IF($L$1="","",IF(INDEX(Matrix!$D85:$AA85,1,$L$1)=1,"OWNED",IF(Spells!$E$85&lt;&gt;"","RESTRICTED",IF($A94&gt;$L$2,"TOO HIGH",IF(Matrix!$BA85=0,"NOBODY HAS IT","CAN COPY")))))</f>
        <v/>
      </c>
      <c r="F94">
        <f>Matrix!$AZ85</f>
        <v/>
      </c>
      <c r="G94">
        <f>$A94*50</f>
        <v/>
      </c>
      <c r="H94">
        <f>IF($A94&lt;=4,1,2)</f>
        <v/>
      </c>
      <c r="I94" s="12" t="n"/>
    </row>
    <row r="95">
      <c r="A95" t="n">
        <v>2</v>
      </c>
      <c r="B95" t="inlineStr">
        <is>
          <t>Pyrotechnics</t>
        </is>
      </c>
      <c r="C95" t="inlineStr">
        <is>
          <t>Transmutation</t>
        </is>
      </c>
      <c r="D95" t="inlineStr">
        <is>
          <t>Xanathar's Guide</t>
        </is>
      </c>
      <c r="E95">
        <f>IF($L$1="","",IF(INDEX(Matrix!$D86:$AA86,1,$L$1)=1,"OWNED",IF(Spells!$E$86&lt;&gt;"","RESTRICTED",IF($A95&gt;$L$2,"TOO HIGH",IF(Matrix!$BA86=0,"NOBODY HAS IT","CAN COPY")))))</f>
        <v/>
      </c>
      <c r="F95">
        <f>Matrix!$AZ86</f>
        <v/>
      </c>
      <c r="G95">
        <f>$A95*50</f>
        <v/>
      </c>
      <c r="H95">
        <f>IF($A95&lt;=4,1,2)</f>
        <v/>
      </c>
      <c r="I95" s="12" t="n"/>
    </row>
    <row r="96">
      <c r="A96" t="n">
        <v>2</v>
      </c>
      <c r="B96" t="inlineStr">
        <is>
          <t>Ray of Enfeeblement</t>
        </is>
      </c>
      <c r="C96" t="inlineStr">
        <is>
          <t>Necromancy</t>
        </is>
      </c>
      <c r="D96" t="inlineStr">
        <is>
          <t>PHB 2024</t>
        </is>
      </c>
      <c r="E96">
        <f>IF($L$1="","",IF(INDEX(Matrix!$D87:$AA87,1,$L$1)=1,"OWNED",IF(Spells!$E$87&lt;&gt;"","RESTRICTED",IF($A96&gt;$L$2,"TOO HIGH",IF(Matrix!$BA87=0,"NOBODY HAS IT","CAN COPY")))))</f>
        <v/>
      </c>
      <c r="F96">
        <f>Matrix!$AZ87</f>
        <v/>
      </c>
      <c r="G96">
        <f>$A96*50</f>
        <v/>
      </c>
      <c r="H96">
        <f>IF($A96&lt;=4,1,2)</f>
        <v/>
      </c>
      <c r="I96" s="12" t="n"/>
    </row>
    <row r="97">
      <c r="A97" t="n">
        <v>2</v>
      </c>
      <c r="B97" t="inlineStr">
        <is>
          <t>Rime's Binding Ice</t>
        </is>
      </c>
      <c r="C97" t="inlineStr">
        <is>
          <t>Evocation</t>
        </is>
      </c>
      <c r="D97" t="inlineStr">
        <is>
          <t>Fizban's</t>
        </is>
      </c>
      <c r="E97">
        <f>IF($L$1="","",IF(INDEX(Matrix!$D88:$AA88,1,$L$1)=1,"OWNED",IF(Spells!$E$88&lt;&gt;"","RESTRICTED",IF($A97&gt;$L$2,"TOO HIGH",IF(Matrix!$BA88=0,"NOBODY HAS IT","CAN COPY")))))</f>
        <v/>
      </c>
      <c r="F97">
        <f>Matrix!$AZ88</f>
        <v/>
      </c>
      <c r="G97">
        <f>$A97*50</f>
        <v/>
      </c>
      <c r="H97">
        <f>IF($A97&lt;=4,1,2)</f>
        <v/>
      </c>
      <c r="I97" s="12" t="n"/>
    </row>
    <row r="98">
      <c r="A98" t="n">
        <v>2</v>
      </c>
      <c r="B98" t="inlineStr">
        <is>
          <t>Rope Trick</t>
        </is>
      </c>
      <c r="C98" t="inlineStr">
        <is>
          <t>Transmutation</t>
        </is>
      </c>
      <c r="D98" t="inlineStr">
        <is>
          <t>PHB 2024</t>
        </is>
      </c>
      <c r="E98">
        <f>IF($L$1="","",IF(INDEX(Matrix!$D89:$AA89,1,$L$1)=1,"OWNED",IF(Spells!$E$89&lt;&gt;"","RESTRICTED",IF($A98&gt;$L$2,"TOO HIGH",IF(Matrix!$BA89=0,"NOBODY HAS IT","CAN COPY")))))</f>
        <v/>
      </c>
      <c r="F98">
        <f>Matrix!$AZ89</f>
        <v/>
      </c>
      <c r="G98">
        <f>$A98*50</f>
        <v/>
      </c>
      <c r="H98">
        <f>IF($A98&lt;=4,1,2)</f>
        <v/>
      </c>
      <c r="I98" s="12" t="n"/>
    </row>
    <row r="99">
      <c r="A99" t="n">
        <v>2</v>
      </c>
      <c r="B99" t="inlineStr">
        <is>
          <t>Scorching Ray</t>
        </is>
      </c>
      <c r="C99" t="inlineStr">
        <is>
          <t>Evocation</t>
        </is>
      </c>
      <c r="D99" t="inlineStr">
        <is>
          <t>PHB 2024</t>
        </is>
      </c>
      <c r="E99">
        <f>IF($L$1="","",IF(INDEX(Matrix!$D90:$AA90,1,$L$1)=1,"OWNED",IF(Spells!$E$90&lt;&gt;"","RESTRICTED",IF($A99&gt;$L$2,"TOO HIGH",IF(Matrix!$BA90=0,"NOBODY HAS IT","CAN COPY")))))</f>
        <v/>
      </c>
      <c r="F99">
        <f>Matrix!$AZ90</f>
        <v/>
      </c>
      <c r="G99">
        <f>$A99*50</f>
        <v/>
      </c>
      <c r="H99">
        <f>IF($A99&lt;=4,1,2)</f>
        <v/>
      </c>
      <c r="I99" s="12" t="n"/>
    </row>
    <row r="100">
      <c r="A100" t="n">
        <v>2</v>
      </c>
      <c r="B100" t="inlineStr">
        <is>
          <t>See Invisibility</t>
        </is>
      </c>
      <c r="C100" t="inlineStr">
        <is>
          <t>Divination</t>
        </is>
      </c>
      <c r="D100" t="inlineStr">
        <is>
          <t>PHB 2024</t>
        </is>
      </c>
      <c r="E100">
        <f>IF($L$1="","",IF(INDEX(Matrix!$D91:$AA91,1,$L$1)=1,"OWNED",IF(Spells!$E$91&lt;&gt;"","RESTRICTED",IF($A100&gt;$L$2,"TOO HIGH",IF(Matrix!$BA91=0,"NOBODY HAS IT","CAN COPY")))))</f>
        <v/>
      </c>
      <c r="F100">
        <f>Matrix!$AZ91</f>
        <v/>
      </c>
      <c r="G100">
        <f>$A100*50</f>
        <v/>
      </c>
      <c r="H100">
        <f>IF($A100&lt;=4,1,2)</f>
        <v/>
      </c>
      <c r="I100" s="12" t="n"/>
    </row>
    <row r="101">
      <c r="A101" t="n">
        <v>2</v>
      </c>
      <c r="B101" t="inlineStr">
        <is>
          <t>Shadow Blade</t>
        </is>
      </c>
      <c r="C101" t="inlineStr">
        <is>
          <t>Illusion</t>
        </is>
      </c>
      <c r="D101" t="inlineStr">
        <is>
          <t>Xanathar's Guide</t>
        </is>
      </c>
      <c r="E101">
        <f>IF($L$1="","",IF(INDEX(Matrix!$D92:$AA92,1,$L$1)=1,"OWNED",IF(Spells!$E$92&lt;&gt;"","RESTRICTED",IF($A101&gt;$L$2,"TOO HIGH",IF(Matrix!$BA92=0,"NOBODY HAS IT","CAN COPY")))))</f>
        <v/>
      </c>
      <c r="F101">
        <f>Matrix!$AZ92</f>
        <v/>
      </c>
      <c r="G101">
        <f>$A101*50</f>
        <v/>
      </c>
      <c r="H101">
        <f>IF($A101&lt;=4,1,2)</f>
        <v/>
      </c>
      <c r="I101" s="12" t="n"/>
    </row>
    <row r="102">
      <c r="A102" t="n">
        <v>2</v>
      </c>
      <c r="B102" t="inlineStr">
        <is>
          <t>Shatter</t>
        </is>
      </c>
      <c r="C102" t="inlineStr">
        <is>
          <t>Evocation</t>
        </is>
      </c>
      <c r="D102" t="inlineStr">
        <is>
          <t>PHB 2024</t>
        </is>
      </c>
      <c r="E102">
        <f>IF($L$1="","",IF(INDEX(Matrix!$D93:$AA93,1,$L$1)=1,"OWNED",IF(Spells!$E$93&lt;&gt;"","RESTRICTED",IF($A102&gt;$L$2,"TOO HIGH",IF(Matrix!$BA93=0,"NOBODY HAS IT","CAN COPY")))))</f>
        <v/>
      </c>
      <c r="F102">
        <f>Matrix!$AZ93</f>
        <v/>
      </c>
      <c r="G102">
        <f>$A102*50</f>
        <v/>
      </c>
      <c r="H102">
        <f>IF($A102&lt;=4,1,2)</f>
        <v/>
      </c>
      <c r="I102" s="12" t="n"/>
    </row>
    <row r="103">
      <c r="A103" t="n">
        <v>2</v>
      </c>
      <c r="B103" t="inlineStr">
        <is>
          <t>Skywrite</t>
        </is>
      </c>
      <c r="C103" t="inlineStr">
        <is>
          <t>Transmutation</t>
        </is>
      </c>
      <c r="D103" t="inlineStr">
        <is>
          <t>Xanathar's Guide</t>
        </is>
      </c>
      <c r="E103">
        <f>IF($L$1="","",IF(INDEX(Matrix!$D94:$AA94,1,$L$1)=1,"OWNED",IF(Spells!$E$94&lt;&gt;"","RESTRICTED",IF($A103&gt;$L$2,"TOO HIGH",IF(Matrix!$BA94=0,"NOBODY HAS IT","CAN COPY")))))</f>
        <v/>
      </c>
      <c r="F103">
        <f>Matrix!$AZ94</f>
        <v/>
      </c>
      <c r="G103">
        <f>$A103*50</f>
        <v/>
      </c>
      <c r="H103">
        <f>IF($A103&lt;=4,1,2)</f>
        <v/>
      </c>
      <c r="I103" s="12" t="n"/>
    </row>
    <row r="104">
      <c r="A104" t="n">
        <v>2</v>
      </c>
      <c r="B104" t="inlineStr">
        <is>
          <t>Snilloc's Snowball Swarm</t>
        </is>
      </c>
      <c r="C104" t="inlineStr">
        <is>
          <t>Evocation</t>
        </is>
      </c>
      <c r="D104" t="inlineStr">
        <is>
          <t>Xanathar's Guide</t>
        </is>
      </c>
      <c r="E104">
        <f>IF($L$1="","",IF(INDEX(Matrix!$D95:$AA95,1,$L$1)=1,"OWNED",IF(Spells!$E$95&lt;&gt;"","RESTRICTED",IF($A104&gt;$L$2,"TOO HIGH",IF(Matrix!$BA95=0,"NOBODY HAS IT","CAN COPY")))))</f>
        <v/>
      </c>
      <c r="F104">
        <f>Matrix!$AZ95</f>
        <v/>
      </c>
      <c r="G104">
        <f>$A104*50</f>
        <v/>
      </c>
      <c r="H104">
        <f>IF($A104&lt;=4,1,2)</f>
        <v/>
      </c>
      <c r="I104" s="12" t="n"/>
    </row>
    <row r="105">
      <c r="A105" t="n">
        <v>2</v>
      </c>
      <c r="B105" t="inlineStr">
        <is>
          <t>Spider Climb</t>
        </is>
      </c>
      <c r="C105" t="inlineStr">
        <is>
          <t>Transmutation</t>
        </is>
      </c>
      <c r="D105" t="inlineStr">
        <is>
          <t>PHB 2024</t>
        </is>
      </c>
      <c r="E105">
        <f>IF($L$1="","",IF(INDEX(Matrix!$D96:$AA96,1,$L$1)=1,"OWNED",IF(Spells!$E$96&lt;&gt;"","RESTRICTED",IF($A105&gt;$L$2,"TOO HIGH",IF(Matrix!$BA96=0,"NOBODY HAS IT","CAN COPY")))))</f>
        <v/>
      </c>
      <c r="F105">
        <f>Matrix!$AZ96</f>
        <v/>
      </c>
      <c r="G105">
        <f>$A105*50</f>
        <v/>
      </c>
      <c r="H105">
        <f>IF($A105&lt;=4,1,2)</f>
        <v/>
      </c>
      <c r="I105" s="12" t="n"/>
    </row>
    <row r="106">
      <c r="A106" t="n">
        <v>2</v>
      </c>
      <c r="B106" t="inlineStr">
        <is>
          <t>Spray of Cards</t>
        </is>
      </c>
      <c r="C106" t="inlineStr">
        <is>
          <t>Conjuration</t>
        </is>
      </c>
      <c r="D106" t="inlineStr">
        <is>
          <t>Book of Many Things</t>
        </is>
      </c>
      <c r="E106">
        <f>IF($L$1="","",IF(INDEX(Matrix!$D97:$AA97,1,$L$1)=1,"OWNED",IF(Spells!$E$97&lt;&gt;"","RESTRICTED",IF($A106&gt;$L$2,"TOO HIGH",IF(Matrix!$BA97=0,"NOBODY HAS IT","CAN COPY")))))</f>
        <v/>
      </c>
      <c r="F106">
        <f>Matrix!$AZ97</f>
        <v/>
      </c>
      <c r="G106">
        <f>$A106*50</f>
        <v/>
      </c>
      <c r="H106">
        <f>IF($A106&lt;=4,1,2)</f>
        <v/>
      </c>
      <c r="I106" s="12" t="n"/>
    </row>
    <row r="107">
      <c r="A107" t="n">
        <v>2</v>
      </c>
      <c r="B107" t="inlineStr">
        <is>
          <t>Suggestion</t>
        </is>
      </c>
      <c r="C107" t="inlineStr">
        <is>
          <t>Enchantment</t>
        </is>
      </c>
      <c r="D107" t="inlineStr">
        <is>
          <t>PHB 2024</t>
        </is>
      </c>
      <c r="E107">
        <f>IF($L$1="","",IF(INDEX(Matrix!$D98:$AA98,1,$L$1)=1,"OWNED",IF(Spells!$E$98&lt;&gt;"","RESTRICTED",IF($A107&gt;$L$2,"TOO HIGH",IF(Matrix!$BA98=0,"NOBODY HAS IT","CAN COPY")))))</f>
        <v/>
      </c>
      <c r="F107">
        <f>Matrix!$AZ98</f>
        <v/>
      </c>
      <c r="G107">
        <f>$A107*50</f>
        <v/>
      </c>
      <c r="H107">
        <f>IF($A107&lt;=4,1,2)</f>
        <v/>
      </c>
      <c r="I107" s="12" t="n"/>
    </row>
    <row r="108">
      <c r="A108" t="n">
        <v>2</v>
      </c>
      <c r="B108" t="inlineStr">
        <is>
          <t>Tasha's Mind Whip</t>
        </is>
      </c>
      <c r="C108" t="inlineStr">
        <is>
          <t>Enchantment</t>
        </is>
      </c>
      <c r="D108" t="inlineStr">
        <is>
          <t>Tasha's Cauldron</t>
        </is>
      </c>
      <c r="E108">
        <f>IF($L$1="","",IF(INDEX(Matrix!$D99:$AA99,1,$L$1)=1,"OWNED",IF(Spells!$E$99&lt;&gt;"","RESTRICTED",IF($A108&gt;$L$2,"TOO HIGH",IF(Matrix!$BA99=0,"NOBODY HAS IT","CAN COPY")))))</f>
        <v/>
      </c>
      <c r="F108">
        <f>Matrix!$AZ99</f>
        <v/>
      </c>
      <c r="G108">
        <f>$A108*50</f>
        <v/>
      </c>
      <c r="H108">
        <f>IF($A108&lt;=4,1,2)</f>
        <v/>
      </c>
      <c r="I108" s="12" t="n"/>
    </row>
    <row r="109">
      <c r="A109" t="n">
        <v>2</v>
      </c>
      <c r="B109" t="inlineStr">
        <is>
          <t>Uncertain Footing</t>
        </is>
      </c>
      <c r="C109" t="inlineStr">
        <is>
          <t>Illusion</t>
        </is>
      </c>
      <c r="D109" t="inlineStr">
        <is>
          <t>Arcana Unleashed</t>
        </is>
      </c>
      <c r="E109">
        <f>IF($L$1="","",IF(INDEX(Matrix!$D100:$AA100,1,$L$1)=1,"OWNED",IF(Spells!$E$100&lt;&gt;"","RESTRICTED",IF($A109&gt;$L$2,"TOO HIGH",IF(Matrix!$BA100=0,"NOBODY HAS IT","CAN COPY")))))</f>
        <v/>
      </c>
      <c r="F109">
        <f>Matrix!$AZ100</f>
        <v/>
      </c>
      <c r="G109">
        <f>$A109*50</f>
        <v/>
      </c>
      <c r="H109">
        <f>IF($A109&lt;=4,1,2)</f>
        <v/>
      </c>
      <c r="I109" s="12" t="n"/>
    </row>
    <row r="110">
      <c r="A110" t="n">
        <v>2</v>
      </c>
      <c r="B110" t="inlineStr">
        <is>
          <t>Warding Wind</t>
        </is>
      </c>
      <c r="C110" t="inlineStr">
        <is>
          <t>Evocation</t>
        </is>
      </c>
      <c r="D110" t="inlineStr">
        <is>
          <t>Xanathar's Guide</t>
        </is>
      </c>
      <c r="E110">
        <f>IF($L$1="","",IF(INDEX(Matrix!$D101:$AA101,1,$L$1)=1,"OWNED",IF(Spells!$E$101&lt;&gt;"","RESTRICTED",IF($A110&gt;$L$2,"TOO HIGH",IF(Matrix!$BA101=0,"NOBODY HAS IT","CAN COPY")))))</f>
        <v/>
      </c>
      <c r="F110">
        <f>Matrix!$AZ101</f>
        <v/>
      </c>
      <c r="G110">
        <f>$A110*50</f>
        <v/>
      </c>
      <c r="H110">
        <f>IF($A110&lt;=4,1,2)</f>
        <v/>
      </c>
      <c r="I110" s="12" t="n"/>
    </row>
    <row r="111">
      <c r="A111" t="n">
        <v>2</v>
      </c>
      <c r="B111" t="inlineStr">
        <is>
          <t>Warp Sense</t>
        </is>
      </c>
      <c r="C111" t="inlineStr">
        <is>
          <t>Divination</t>
        </is>
      </c>
      <c r="D111" t="inlineStr">
        <is>
          <t>Planescape</t>
        </is>
      </c>
      <c r="E111">
        <f>IF($L$1="","",IF(INDEX(Matrix!$D102:$AA102,1,$L$1)=1,"OWNED",IF(Spells!$E$102&lt;&gt;"","RESTRICTED",IF($A111&gt;$L$2,"TOO HIGH",IF(Matrix!$BA102=0,"NOBODY HAS IT","CAN COPY")))))</f>
        <v/>
      </c>
      <c r="F111">
        <f>Matrix!$AZ102</f>
        <v/>
      </c>
      <c r="G111">
        <f>$A111*50</f>
        <v/>
      </c>
      <c r="H111">
        <f>IF($A111&lt;=4,1,2)</f>
        <v/>
      </c>
      <c r="I111" s="12" t="n"/>
    </row>
    <row r="112">
      <c r="A112" t="n">
        <v>2</v>
      </c>
      <c r="B112" t="inlineStr">
        <is>
          <t>Web</t>
        </is>
      </c>
      <c r="C112" t="inlineStr">
        <is>
          <t>Conjuration</t>
        </is>
      </c>
      <c r="D112" t="inlineStr">
        <is>
          <t>PHB 2024</t>
        </is>
      </c>
      <c r="E112">
        <f>IF($L$1="","",IF(INDEX(Matrix!$D103:$AA103,1,$L$1)=1,"OWNED",IF(Spells!$E$103&lt;&gt;"","RESTRICTED",IF($A112&gt;$L$2,"TOO HIGH",IF(Matrix!$BA103=0,"NOBODY HAS IT","CAN COPY")))))</f>
        <v/>
      </c>
      <c r="F112">
        <f>Matrix!$AZ103</f>
        <v/>
      </c>
      <c r="G112">
        <f>$A112*50</f>
        <v/>
      </c>
      <c r="H112">
        <f>IF($A112&lt;=4,1,2)</f>
        <v/>
      </c>
      <c r="I112" s="12" t="n"/>
    </row>
    <row r="113">
      <c r="A113" t="n">
        <v>2</v>
      </c>
      <c r="B113" t="inlineStr">
        <is>
          <t>Wither and Bloom</t>
        </is>
      </c>
      <c r="C113" t="inlineStr">
        <is>
          <t>Necromancy</t>
        </is>
      </c>
      <c r="D113" t="inlineStr">
        <is>
          <t>Arcana Unleashed</t>
        </is>
      </c>
      <c r="E113">
        <f>IF($L$1="","",IF(INDEX(Matrix!$D104:$AA104,1,$L$1)=1,"OWNED",IF(Spells!$E$104&lt;&gt;"","RESTRICTED",IF($A113&gt;$L$2,"TOO HIGH",IF(Matrix!$BA104=0,"NOBODY HAS IT","CAN COPY")))))</f>
        <v/>
      </c>
      <c r="F113">
        <f>Matrix!$AZ104</f>
        <v/>
      </c>
      <c r="G113">
        <f>$A113*50</f>
        <v/>
      </c>
      <c r="H113">
        <f>IF($A113&lt;=4,1,2)</f>
        <v/>
      </c>
      <c r="I113" s="12" t="n"/>
    </row>
    <row r="114">
      <c r="A114" t="n">
        <v>3</v>
      </c>
      <c r="B114" t="inlineStr">
        <is>
          <t>Animate Dead</t>
        </is>
      </c>
      <c r="C114" t="inlineStr">
        <is>
          <t>Necromancy</t>
        </is>
      </c>
      <c r="D114" t="inlineStr">
        <is>
          <t>PHB 2024</t>
        </is>
      </c>
      <c r="E114">
        <f>IF($L$1="","",IF(INDEX(Matrix!$D105:$AA105,1,$L$1)=1,"OWNED",IF(Spells!$E$105&lt;&gt;"","RESTRICTED",IF($A114&gt;$L$2,"TOO HIGH",IF(Matrix!$BA105=0,"NOBODY HAS IT","CAN COPY")))))</f>
        <v/>
      </c>
      <c r="F114">
        <f>Matrix!$AZ105</f>
        <v/>
      </c>
      <c r="G114">
        <f>$A114*50</f>
        <v/>
      </c>
      <c r="H114">
        <f>IF($A114&lt;=4,1,2)</f>
        <v/>
      </c>
      <c r="I114" s="12" t="n"/>
    </row>
    <row r="115">
      <c r="A115" t="n">
        <v>3</v>
      </c>
      <c r="B115" t="inlineStr">
        <is>
          <t>Antagonize</t>
        </is>
      </c>
      <c r="C115" t="inlineStr">
        <is>
          <t>Enchantment</t>
        </is>
      </c>
      <c r="D115" t="inlineStr">
        <is>
          <t>Book of Many Things</t>
        </is>
      </c>
      <c r="E115">
        <f>IF($L$1="","",IF(INDEX(Matrix!$D106:$AA106,1,$L$1)=1,"OWNED",IF(Spells!$E$106&lt;&gt;"","RESTRICTED",IF($A115&gt;$L$2,"TOO HIGH",IF(Matrix!$BA106=0,"NOBODY HAS IT","CAN COPY")))))</f>
        <v/>
      </c>
      <c r="F115">
        <f>Matrix!$AZ106</f>
        <v/>
      </c>
      <c r="G115">
        <f>$A115*50</f>
        <v/>
      </c>
      <c r="H115">
        <f>IF($A115&lt;=4,1,2)</f>
        <v/>
      </c>
      <c r="I115" s="12" t="n"/>
    </row>
    <row r="116">
      <c r="A116" t="n">
        <v>3</v>
      </c>
      <c r="B116" t="inlineStr">
        <is>
          <t>Ashardalon's Stride</t>
        </is>
      </c>
      <c r="C116" t="inlineStr">
        <is>
          <t>Transmutation</t>
        </is>
      </c>
      <c r="D116" t="inlineStr">
        <is>
          <t>Fizban's</t>
        </is>
      </c>
      <c r="E116">
        <f>IF($L$1="","",IF(INDEX(Matrix!$D107:$AA107,1,$L$1)=1,"OWNED",IF(Spells!$E$107&lt;&gt;"","RESTRICTED",IF($A116&gt;$L$2,"TOO HIGH",IF(Matrix!$BA107=0,"NOBODY HAS IT","CAN COPY")))))</f>
        <v/>
      </c>
      <c r="F116">
        <f>Matrix!$AZ107</f>
        <v/>
      </c>
      <c r="G116">
        <f>$A116*50</f>
        <v/>
      </c>
      <c r="H116">
        <f>IF($A116&lt;=4,1,2)</f>
        <v/>
      </c>
      <c r="I116" s="12" t="n"/>
    </row>
    <row r="117">
      <c r="A117" t="n">
        <v>3</v>
      </c>
      <c r="B117" t="inlineStr">
        <is>
          <t>Bestow Curse</t>
        </is>
      </c>
      <c r="C117" t="inlineStr">
        <is>
          <t>Necromancy</t>
        </is>
      </c>
      <c r="D117" t="inlineStr">
        <is>
          <t>PHB 2024</t>
        </is>
      </c>
      <c r="E117">
        <f>IF($L$1="","",IF(INDEX(Matrix!$D108:$AA108,1,$L$1)=1,"OWNED",IF(Spells!$E$108&lt;&gt;"","RESTRICTED",IF($A117&gt;$L$2,"TOO HIGH",IF(Matrix!$BA108=0,"NOBODY HAS IT","CAN COPY")))))</f>
        <v/>
      </c>
      <c r="F117">
        <f>Matrix!$AZ108</f>
        <v/>
      </c>
      <c r="G117">
        <f>$A117*50</f>
        <v/>
      </c>
      <c r="H117">
        <f>IF($A117&lt;=4,1,2)</f>
        <v/>
      </c>
      <c r="I117" s="12" t="n"/>
    </row>
    <row r="118">
      <c r="A118" t="n">
        <v>3</v>
      </c>
      <c r="B118" t="inlineStr">
        <is>
          <t>Blink</t>
        </is>
      </c>
      <c r="C118" t="inlineStr">
        <is>
          <t>Transmutation</t>
        </is>
      </c>
      <c r="D118" t="inlineStr">
        <is>
          <t>PHB 2024</t>
        </is>
      </c>
      <c r="E118">
        <f>IF($L$1="","",IF(INDEX(Matrix!$D109:$AA109,1,$L$1)=1,"OWNED",IF(Spells!$E$109&lt;&gt;"","RESTRICTED",IF($A118&gt;$L$2,"TOO HIGH",IF(Matrix!$BA109=0,"NOBODY HAS IT","CAN COPY")))))</f>
        <v/>
      </c>
      <c r="F118">
        <f>Matrix!$AZ109</f>
        <v/>
      </c>
      <c r="G118">
        <f>$A118*50</f>
        <v/>
      </c>
      <c r="H118">
        <f>IF($A118&lt;=4,1,2)</f>
        <v/>
      </c>
      <c r="I118" s="12" t="n"/>
    </row>
    <row r="119">
      <c r="A119" t="n">
        <v>3</v>
      </c>
      <c r="B119" t="inlineStr">
        <is>
          <t>Cacophonic Shield</t>
        </is>
      </c>
      <c r="C119" t="inlineStr">
        <is>
          <t>Evocation</t>
        </is>
      </c>
      <c r="D119" t="inlineStr">
        <is>
          <t>Heroes of Faerun</t>
        </is>
      </c>
      <c r="E119">
        <f>IF($L$1="","",IF(INDEX(Matrix!$D110:$AA110,1,$L$1)=1,"OWNED",IF(Spells!$E$110&lt;&gt;"","RESTRICTED",IF($A119&gt;$L$2,"TOO HIGH",IF(Matrix!$BA110=0,"NOBODY HAS IT","CAN COPY")))))</f>
        <v/>
      </c>
      <c r="F119">
        <f>Matrix!$AZ110</f>
        <v/>
      </c>
      <c r="G119">
        <f>$A119*50</f>
        <v/>
      </c>
      <c r="H119">
        <f>IF($A119&lt;=4,1,2)</f>
        <v/>
      </c>
      <c r="I119" s="12" t="n"/>
    </row>
    <row r="120">
      <c r="A120" t="n">
        <v>3</v>
      </c>
      <c r="B120" t="inlineStr">
        <is>
          <t>Catnap</t>
        </is>
      </c>
      <c r="C120" t="inlineStr">
        <is>
          <t>Enchantment</t>
        </is>
      </c>
      <c r="D120" t="inlineStr">
        <is>
          <t>Arcana Unleashed</t>
        </is>
      </c>
      <c r="E120">
        <f>IF($L$1="","",IF(INDEX(Matrix!$D111:$AA111,1,$L$1)=1,"OWNED",IF(Spells!$E$111&lt;&gt;"","RESTRICTED",IF($A120&gt;$L$2,"TOO HIGH",IF(Matrix!$BA111=0,"NOBODY HAS IT","CAN COPY")))))</f>
        <v/>
      </c>
      <c r="F120">
        <f>Matrix!$AZ111</f>
        <v/>
      </c>
      <c r="G120">
        <f>$A120*50</f>
        <v/>
      </c>
      <c r="H120">
        <f>IF($A120&lt;=4,1,2)</f>
        <v/>
      </c>
      <c r="I120" s="12" t="n"/>
    </row>
    <row r="121">
      <c r="A121" t="n">
        <v>3</v>
      </c>
      <c r="B121" t="inlineStr">
        <is>
          <t>Clairvoyance</t>
        </is>
      </c>
      <c r="C121" t="inlineStr">
        <is>
          <t>Divination</t>
        </is>
      </c>
      <c r="D121" t="inlineStr">
        <is>
          <t>PHB 2024</t>
        </is>
      </c>
      <c r="E121">
        <f>IF($L$1="","",IF(INDEX(Matrix!$D112:$AA112,1,$L$1)=1,"OWNED",IF(Spells!$E$112&lt;&gt;"","RESTRICTED",IF($A121&gt;$L$2,"TOO HIGH",IF(Matrix!$BA112=0,"NOBODY HAS IT","CAN COPY")))))</f>
        <v/>
      </c>
      <c r="F121">
        <f>Matrix!$AZ112</f>
        <v/>
      </c>
      <c r="G121">
        <f>$A121*50</f>
        <v/>
      </c>
      <c r="H121">
        <f>IF($A121&lt;=4,1,2)</f>
        <v/>
      </c>
      <c r="I121" s="12" t="n"/>
    </row>
    <row r="122">
      <c r="A122" t="n">
        <v>3</v>
      </c>
      <c r="B122" t="inlineStr">
        <is>
          <t>Conjure Constructs</t>
        </is>
      </c>
      <c r="C122" t="inlineStr">
        <is>
          <t>Conjuration</t>
        </is>
      </c>
      <c r="D122" t="inlineStr">
        <is>
          <t>Heroes of Faerun</t>
        </is>
      </c>
      <c r="E122">
        <f>IF($L$1="","",IF(INDEX(Matrix!$D113:$AA113,1,$L$1)=1,"OWNED",IF(Spells!$E$113&lt;&gt;"","RESTRICTED",IF($A122&gt;$L$2,"TOO HIGH",IF(Matrix!$BA113=0,"NOBODY HAS IT","CAN COPY")))))</f>
        <v/>
      </c>
      <c r="F122">
        <f>Matrix!$AZ113</f>
        <v/>
      </c>
      <c r="G122">
        <f>$A122*50</f>
        <v/>
      </c>
      <c r="H122">
        <f>IF($A122&lt;=4,1,2)</f>
        <v/>
      </c>
      <c r="I122" s="12" t="n"/>
    </row>
    <row r="123">
      <c r="A123" t="n">
        <v>3</v>
      </c>
      <c r="B123" t="inlineStr">
        <is>
          <t>Counterspell</t>
        </is>
      </c>
      <c r="C123" t="inlineStr">
        <is>
          <t>Abjuration</t>
        </is>
      </c>
      <c r="D123" t="inlineStr">
        <is>
          <t>PHB 2024</t>
        </is>
      </c>
      <c r="E123">
        <f>IF($L$1="","",IF(INDEX(Matrix!$D114:$AA114,1,$L$1)=1,"OWNED",IF(Spells!$E$114&lt;&gt;"","RESTRICTED",IF($A123&gt;$L$2,"TOO HIGH",IF(Matrix!$BA114=0,"NOBODY HAS IT","CAN COPY")))))</f>
        <v/>
      </c>
      <c r="F123">
        <f>Matrix!$AZ114</f>
        <v/>
      </c>
      <c r="G123">
        <f>$A123*50</f>
        <v/>
      </c>
      <c r="H123">
        <f>IF($A123&lt;=4,1,2)</f>
        <v/>
      </c>
      <c r="I123" s="12" t="n"/>
    </row>
    <row r="124">
      <c r="A124" t="n">
        <v>3</v>
      </c>
      <c r="B124" t="inlineStr">
        <is>
          <t>Dispel Magic</t>
        </is>
      </c>
      <c r="C124" t="inlineStr">
        <is>
          <t>Abjuration</t>
        </is>
      </c>
      <c r="D124" t="inlineStr">
        <is>
          <t>PHB 2024</t>
        </is>
      </c>
      <c r="E124">
        <f>IF($L$1="","",IF(INDEX(Matrix!$D115:$AA115,1,$L$1)=1,"OWNED",IF(Spells!$E$115&lt;&gt;"","RESTRICTED",IF($A124&gt;$L$2,"TOO HIGH",IF(Matrix!$BA115=0,"NOBODY HAS IT","CAN COPY")))))</f>
        <v/>
      </c>
      <c r="F124">
        <f>Matrix!$AZ115</f>
        <v/>
      </c>
      <c r="G124">
        <f>$A124*50</f>
        <v/>
      </c>
      <c r="H124">
        <f>IF($A124&lt;=4,1,2)</f>
        <v/>
      </c>
      <c r="I124" s="12" t="n"/>
    </row>
    <row r="125">
      <c r="A125" t="n">
        <v>3</v>
      </c>
      <c r="B125" t="inlineStr">
        <is>
          <t>Enemies Abound</t>
        </is>
      </c>
      <c r="C125" t="inlineStr">
        <is>
          <t>Enchantment</t>
        </is>
      </c>
      <c r="D125" t="inlineStr">
        <is>
          <t>Xanathar's Guide</t>
        </is>
      </c>
      <c r="E125">
        <f>IF($L$1="","",IF(INDEX(Matrix!$D116:$AA116,1,$L$1)=1,"OWNED",IF(Spells!$E$116&lt;&gt;"","RESTRICTED",IF($A125&gt;$L$2,"TOO HIGH",IF(Matrix!$BA116=0,"NOBODY HAS IT","CAN COPY")))))</f>
        <v/>
      </c>
      <c r="F125">
        <f>Matrix!$AZ116</f>
        <v/>
      </c>
      <c r="G125">
        <f>$A125*50</f>
        <v/>
      </c>
      <c r="H125">
        <f>IF($A125&lt;=4,1,2)</f>
        <v/>
      </c>
      <c r="I125" s="12" t="n"/>
    </row>
    <row r="126">
      <c r="A126" t="n">
        <v>3</v>
      </c>
      <c r="B126" t="inlineStr">
        <is>
          <t>Erupting Earth</t>
        </is>
      </c>
      <c r="C126" t="inlineStr">
        <is>
          <t>Transmutation</t>
        </is>
      </c>
      <c r="D126" t="inlineStr">
        <is>
          <t>Xanathar's Guide</t>
        </is>
      </c>
      <c r="E126">
        <f>IF($L$1="","",IF(INDEX(Matrix!$D117:$AA117,1,$L$1)=1,"OWNED",IF(Spells!$E$117&lt;&gt;"","RESTRICTED",IF($A126&gt;$L$2,"TOO HIGH",IF(Matrix!$BA117=0,"NOBODY HAS IT","CAN COPY")))))</f>
        <v/>
      </c>
      <c r="F126">
        <f>Matrix!$AZ117</f>
        <v/>
      </c>
      <c r="G126">
        <f>$A126*50</f>
        <v/>
      </c>
      <c r="H126">
        <f>IF($A126&lt;=4,1,2)</f>
        <v/>
      </c>
      <c r="I126" s="12" t="n"/>
    </row>
    <row r="127">
      <c r="A127" t="n">
        <v>3</v>
      </c>
      <c r="B127" t="inlineStr">
        <is>
          <t>Fear</t>
        </is>
      </c>
      <c r="C127" t="inlineStr">
        <is>
          <t>Illusion</t>
        </is>
      </c>
      <c r="D127" t="inlineStr">
        <is>
          <t>PHB 2024</t>
        </is>
      </c>
      <c r="E127">
        <f>IF($L$1="","",IF(INDEX(Matrix!$D118:$AA118,1,$L$1)=1,"OWNED",IF(Spells!$E$118&lt;&gt;"","RESTRICTED",IF($A127&gt;$L$2,"TOO HIGH",IF(Matrix!$BA118=0,"NOBODY HAS IT","CAN COPY")))))</f>
        <v/>
      </c>
      <c r="F127">
        <f>Matrix!$AZ118</f>
        <v/>
      </c>
      <c r="G127">
        <f>$A127*50</f>
        <v/>
      </c>
      <c r="H127">
        <f>IF($A127&lt;=4,1,2)</f>
        <v/>
      </c>
      <c r="I127" s="12" t="n"/>
    </row>
    <row r="128">
      <c r="A128" t="n">
        <v>3</v>
      </c>
      <c r="B128" t="inlineStr">
        <is>
          <t>Feign Death</t>
        </is>
      </c>
      <c r="C128" t="inlineStr">
        <is>
          <t>Necromancy</t>
        </is>
      </c>
      <c r="D128" t="inlineStr">
        <is>
          <t>PHB 2024</t>
        </is>
      </c>
      <c r="E128">
        <f>IF($L$1="","",IF(INDEX(Matrix!$D119:$AA119,1,$L$1)=1,"OWNED",IF(Spells!$E$119&lt;&gt;"","RESTRICTED",IF($A128&gt;$L$2,"TOO HIGH",IF(Matrix!$BA119=0,"NOBODY HAS IT","CAN COPY")))))</f>
        <v/>
      </c>
      <c r="F128">
        <f>Matrix!$AZ119</f>
        <v/>
      </c>
      <c r="G128">
        <f>$A128*50</f>
        <v/>
      </c>
      <c r="H128">
        <f>IF($A128&lt;=4,1,2)</f>
        <v/>
      </c>
      <c r="I128" s="12" t="n"/>
    </row>
    <row r="129">
      <c r="A129" t="n">
        <v>3</v>
      </c>
      <c r="B129" t="inlineStr">
        <is>
          <t>Fireball</t>
        </is>
      </c>
      <c r="C129" t="inlineStr">
        <is>
          <t>Evocation</t>
        </is>
      </c>
      <c r="D129" t="inlineStr">
        <is>
          <t>PHB 2024</t>
        </is>
      </c>
      <c r="E129">
        <f>IF($L$1="","",IF(INDEX(Matrix!$D120:$AA120,1,$L$1)=1,"OWNED",IF(Spells!$E$120&lt;&gt;"","RESTRICTED",IF($A129&gt;$L$2,"TOO HIGH",IF(Matrix!$BA120=0,"NOBODY HAS IT","CAN COPY")))))</f>
        <v/>
      </c>
      <c r="F129">
        <f>Matrix!$AZ120</f>
        <v/>
      </c>
      <c r="G129">
        <f>$A129*50</f>
        <v/>
      </c>
      <c r="H129">
        <f>IF($A129&lt;=4,1,2)</f>
        <v/>
      </c>
      <c r="I129" s="12" t="n"/>
    </row>
    <row r="130">
      <c r="A130" t="n">
        <v>3</v>
      </c>
      <c r="B130" t="inlineStr">
        <is>
          <t>Flame Arrows</t>
        </is>
      </c>
      <c r="C130" t="inlineStr">
        <is>
          <t>Transmutation</t>
        </is>
      </c>
      <c r="D130" t="inlineStr">
        <is>
          <t>Xanathar's Guide</t>
        </is>
      </c>
      <c r="E130">
        <f>IF($L$1="","",IF(INDEX(Matrix!$D121:$AA121,1,$L$1)=1,"OWNED",IF(Spells!$E$121&lt;&gt;"","RESTRICTED",IF($A130&gt;$L$2,"TOO HIGH",IF(Matrix!$BA121=0,"NOBODY HAS IT","CAN COPY")))))</f>
        <v/>
      </c>
      <c r="F130">
        <f>Matrix!$AZ121</f>
        <v/>
      </c>
      <c r="G130">
        <f>$A130*50</f>
        <v/>
      </c>
      <c r="H130">
        <f>IF($A130&lt;=4,1,2)</f>
        <v/>
      </c>
      <c r="I130" s="12" t="n"/>
    </row>
    <row r="131">
      <c r="A131" t="n">
        <v>3</v>
      </c>
      <c r="B131" t="inlineStr">
        <is>
          <t>Fly</t>
        </is>
      </c>
      <c r="C131" t="inlineStr">
        <is>
          <t>Transmutation</t>
        </is>
      </c>
      <c r="D131" t="inlineStr">
        <is>
          <t>PHB 2024</t>
        </is>
      </c>
      <c r="E131">
        <f>IF($L$1="","",IF(INDEX(Matrix!$D122:$AA122,1,$L$1)=1,"OWNED",IF(Spells!$E$122&lt;&gt;"","RESTRICTED",IF($A131&gt;$L$2,"TOO HIGH",IF(Matrix!$BA122=0,"NOBODY HAS IT","CAN COPY")))))</f>
        <v/>
      </c>
      <c r="F131">
        <f>Matrix!$AZ122</f>
        <v/>
      </c>
      <c r="G131">
        <f>$A131*50</f>
        <v/>
      </c>
      <c r="H131">
        <f>IF($A131&lt;=4,1,2)</f>
        <v/>
      </c>
      <c r="I131" s="12" t="n"/>
    </row>
    <row r="132">
      <c r="A132" t="n">
        <v>3</v>
      </c>
      <c r="B132" t="inlineStr">
        <is>
          <t>Galder's Tower</t>
        </is>
      </c>
      <c r="C132" t="inlineStr">
        <is>
          <t>Conjuration</t>
        </is>
      </c>
      <c r="D132" t="inlineStr">
        <is>
          <t>Kwalish</t>
        </is>
      </c>
      <c r="E132">
        <f>IF($L$1="","",IF(INDEX(Matrix!$D123:$AA123,1,$L$1)=1,"OWNED",IF(Spells!$E$123&lt;&gt;"","RESTRICTED",IF($A132&gt;$L$2,"TOO HIGH",IF(Matrix!$BA123=0,"NOBODY HAS IT","CAN COPY")))))</f>
        <v/>
      </c>
      <c r="F132">
        <f>Matrix!$AZ123</f>
        <v/>
      </c>
      <c r="G132">
        <f>$A132*50</f>
        <v/>
      </c>
      <c r="H132">
        <f>IF($A132&lt;=4,1,2)</f>
        <v/>
      </c>
      <c r="I132" s="12" t="n"/>
    </row>
    <row r="133">
      <c r="A133" t="n">
        <v>3</v>
      </c>
      <c r="B133" t="inlineStr">
        <is>
          <t>Gaseous Form</t>
        </is>
      </c>
      <c r="C133" t="inlineStr">
        <is>
          <t>Transmutation</t>
        </is>
      </c>
      <c r="D133" t="inlineStr">
        <is>
          <t>PHB 2024</t>
        </is>
      </c>
      <c r="E133">
        <f>IF($L$1="","",IF(INDEX(Matrix!$D124:$AA124,1,$L$1)=1,"OWNED",IF(Spells!$E$124&lt;&gt;"","RESTRICTED",IF($A133&gt;$L$2,"TOO HIGH",IF(Matrix!$BA124=0,"NOBODY HAS IT","CAN COPY")))))</f>
        <v/>
      </c>
      <c r="F133">
        <f>Matrix!$AZ124</f>
        <v/>
      </c>
      <c r="G133">
        <f>$A133*50</f>
        <v/>
      </c>
      <c r="H133">
        <f>IF($A133&lt;=4,1,2)</f>
        <v/>
      </c>
      <c r="I133" s="12" t="n"/>
    </row>
    <row r="134">
      <c r="A134" t="n">
        <v>3</v>
      </c>
      <c r="B134" t="inlineStr">
        <is>
          <t>Glyph of Warding</t>
        </is>
      </c>
      <c r="C134" t="inlineStr">
        <is>
          <t>Abjuration</t>
        </is>
      </c>
      <c r="D134" t="inlineStr">
        <is>
          <t>PHB 2024</t>
        </is>
      </c>
      <c r="E134">
        <f>IF($L$1="","",IF(INDEX(Matrix!$D125:$AA125,1,$L$1)=1,"OWNED",IF(Spells!$E$125&lt;&gt;"","RESTRICTED",IF($A134&gt;$L$2,"TOO HIGH",IF(Matrix!$BA125=0,"NOBODY HAS IT","CAN COPY")))))</f>
        <v/>
      </c>
      <c r="F134">
        <f>Matrix!$AZ125</f>
        <v/>
      </c>
      <c r="G134">
        <f>$A134*50</f>
        <v/>
      </c>
      <c r="H134">
        <f>IF($A134&lt;=4,1,2)</f>
        <v/>
      </c>
      <c r="I134" s="12" t="n"/>
    </row>
    <row r="135">
      <c r="A135" t="n">
        <v>3</v>
      </c>
      <c r="B135" t="inlineStr">
        <is>
          <t>Haste</t>
        </is>
      </c>
      <c r="C135" t="inlineStr">
        <is>
          <t>Transmutation</t>
        </is>
      </c>
      <c r="D135" t="inlineStr">
        <is>
          <t>PHB 2024</t>
        </is>
      </c>
      <c r="E135">
        <f>IF($L$1="","",IF(INDEX(Matrix!$D126:$AA126,1,$L$1)=1,"OWNED",IF(Spells!$E$126&lt;&gt;"","RESTRICTED",IF($A135&gt;$L$2,"TOO HIGH",IF(Matrix!$BA126=0,"NOBODY HAS IT","CAN COPY")))))</f>
        <v/>
      </c>
      <c r="F135">
        <f>Matrix!$AZ126</f>
        <v/>
      </c>
      <c r="G135">
        <f>$A135*50</f>
        <v/>
      </c>
      <c r="H135">
        <f>IF($A135&lt;=4,1,2)</f>
        <v/>
      </c>
      <c r="I135" s="12" t="n"/>
    </row>
    <row r="136">
      <c r="A136" t="n">
        <v>3</v>
      </c>
      <c r="B136" t="inlineStr">
        <is>
          <t>Hypnotic Pattern</t>
        </is>
      </c>
      <c r="C136" t="inlineStr">
        <is>
          <t>Illusion</t>
        </is>
      </c>
      <c r="D136" t="inlineStr">
        <is>
          <t>PHB 2024</t>
        </is>
      </c>
      <c r="E136">
        <f>IF($L$1="","",IF(INDEX(Matrix!$D127:$AA127,1,$L$1)=1,"OWNED",IF(Spells!$E$127&lt;&gt;"","RESTRICTED",IF($A136&gt;$L$2,"TOO HIGH",IF(Matrix!$BA127=0,"NOBODY HAS IT","CAN COPY")))))</f>
        <v/>
      </c>
      <c r="F136">
        <f>Matrix!$AZ127</f>
        <v/>
      </c>
      <c r="G136">
        <f>$A136*50</f>
        <v/>
      </c>
      <c r="H136">
        <f>IF($A136&lt;=4,1,2)</f>
        <v/>
      </c>
      <c r="I136" s="12" t="n"/>
    </row>
    <row r="137">
      <c r="A137" t="n">
        <v>3</v>
      </c>
      <c r="B137" t="inlineStr">
        <is>
          <t>Inflict Doubt</t>
        </is>
      </c>
      <c r="C137" t="inlineStr">
        <is>
          <t>Enchantment</t>
        </is>
      </c>
      <c r="D137" t="inlineStr">
        <is>
          <t>Arcana Unleashed</t>
        </is>
      </c>
      <c r="E137">
        <f>IF($L$1="","",IF(INDEX(Matrix!$D128:$AA128,1,$L$1)=1,"OWNED",IF(Spells!$E$128&lt;&gt;"","RESTRICTED",IF($A137&gt;$L$2,"TOO HIGH",IF(Matrix!$BA128=0,"NOBODY HAS IT","CAN COPY")))))</f>
        <v/>
      </c>
      <c r="F137">
        <f>Matrix!$AZ128</f>
        <v/>
      </c>
      <c r="G137">
        <f>$A137*50</f>
        <v/>
      </c>
      <c r="H137">
        <f>IF($A137&lt;=4,1,2)</f>
        <v/>
      </c>
      <c r="I137" s="12" t="n"/>
    </row>
    <row r="138">
      <c r="A138" t="n">
        <v>3</v>
      </c>
      <c r="B138" t="inlineStr">
        <is>
          <t>Intellect Fortress</t>
        </is>
      </c>
      <c r="C138" t="inlineStr">
        <is>
          <t>Abjuration</t>
        </is>
      </c>
      <c r="D138" t="inlineStr">
        <is>
          <t>Tasha's Cauldron</t>
        </is>
      </c>
      <c r="E138">
        <f>IF($L$1="","",IF(INDEX(Matrix!$D129:$AA129,1,$L$1)=1,"OWNED",IF(Spells!$E$129&lt;&gt;"","RESTRICTED",IF($A138&gt;$L$2,"TOO HIGH",IF(Matrix!$BA129=0,"NOBODY HAS IT","CAN COPY")))))</f>
        <v/>
      </c>
      <c r="F138">
        <f>Matrix!$AZ129</f>
        <v/>
      </c>
      <c r="G138">
        <f>$A138*50</f>
        <v/>
      </c>
      <c r="H138">
        <f>IF($A138&lt;=4,1,2)</f>
        <v/>
      </c>
      <c r="I138" s="12" t="n"/>
    </row>
    <row r="139">
      <c r="A139" t="n">
        <v>3</v>
      </c>
      <c r="B139" t="inlineStr">
        <is>
          <t>Laeral's Silver Lance</t>
        </is>
      </c>
      <c r="C139" t="inlineStr">
        <is>
          <t>Evocation</t>
        </is>
      </c>
      <c r="D139" t="inlineStr">
        <is>
          <t>Heroes of Faerun</t>
        </is>
      </c>
      <c r="E139">
        <f>IF($L$1="","",IF(INDEX(Matrix!$D130:$AA130,1,$L$1)=1,"OWNED",IF(Spells!$E$130&lt;&gt;"","RESTRICTED",IF($A139&gt;$L$2,"TOO HIGH",IF(Matrix!$BA130=0,"NOBODY HAS IT","CAN COPY")))))</f>
        <v/>
      </c>
      <c r="F139">
        <f>Matrix!$AZ130</f>
        <v/>
      </c>
      <c r="G139">
        <f>$A139*50</f>
        <v/>
      </c>
      <c r="H139">
        <f>IF($A139&lt;=4,1,2)</f>
        <v/>
      </c>
      <c r="I139" s="12" t="n"/>
    </row>
    <row r="140">
      <c r="A140" t="n">
        <v>3</v>
      </c>
      <c r="B140" t="inlineStr">
        <is>
          <t>Leomund's Tiny Hut</t>
        </is>
      </c>
      <c r="C140" t="inlineStr">
        <is>
          <t>Evocation</t>
        </is>
      </c>
      <c r="D140" t="inlineStr">
        <is>
          <t>PHB 2024</t>
        </is>
      </c>
      <c r="E140">
        <f>IF($L$1="","",IF(INDEX(Matrix!$D131:$AA131,1,$L$1)=1,"OWNED",IF(Spells!$E$131&lt;&gt;"","RESTRICTED",IF($A140&gt;$L$2,"TOO HIGH",IF(Matrix!$BA131=0,"NOBODY HAS IT","CAN COPY")))))</f>
        <v/>
      </c>
      <c r="F140">
        <f>Matrix!$AZ131</f>
        <v/>
      </c>
      <c r="G140">
        <f>$A140*50</f>
        <v/>
      </c>
      <c r="H140">
        <f>IF($A140&lt;=4,1,2)</f>
        <v/>
      </c>
      <c r="I140" s="12" t="n"/>
    </row>
    <row r="141">
      <c r="A141" t="n">
        <v>3</v>
      </c>
      <c r="B141" t="inlineStr">
        <is>
          <t>Life Transference</t>
        </is>
      </c>
      <c r="C141" t="inlineStr">
        <is>
          <t>Necromancy</t>
        </is>
      </c>
      <c r="D141" t="inlineStr">
        <is>
          <t>Xanathar's Guide</t>
        </is>
      </c>
      <c r="E141">
        <f>IF($L$1="","",IF(INDEX(Matrix!$D132:$AA132,1,$L$1)=1,"OWNED",IF(Spells!$E$132&lt;&gt;"","RESTRICTED",IF($A141&gt;$L$2,"TOO HIGH",IF(Matrix!$BA132=0,"NOBODY HAS IT","CAN COPY")))))</f>
        <v/>
      </c>
      <c r="F141">
        <f>Matrix!$AZ132</f>
        <v/>
      </c>
      <c r="G141">
        <f>$A141*50</f>
        <v/>
      </c>
      <c r="H141">
        <f>IF($A141&lt;=4,1,2)</f>
        <v/>
      </c>
      <c r="I141" s="12" t="n"/>
    </row>
    <row r="142">
      <c r="A142" t="n">
        <v>3</v>
      </c>
      <c r="B142" t="inlineStr">
        <is>
          <t>Lightning Bolt</t>
        </is>
      </c>
      <c r="C142" t="inlineStr">
        <is>
          <t>Evocation</t>
        </is>
      </c>
      <c r="D142" t="inlineStr">
        <is>
          <t>PHB 2024</t>
        </is>
      </c>
      <c r="E142">
        <f>IF($L$1="","",IF(INDEX(Matrix!$D133:$AA133,1,$L$1)=1,"OWNED",IF(Spells!$E$133&lt;&gt;"","RESTRICTED",IF($A142&gt;$L$2,"TOO HIGH",IF(Matrix!$BA133=0,"NOBODY HAS IT","CAN COPY")))))</f>
        <v/>
      </c>
      <c r="F142">
        <f>Matrix!$AZ133</f>
        <v/>
      </c>
      <c r="G142">
        <f>$A142*50</f>
        <v/>
      </c>
      <c r="H142">
        <f>IF($A142&lt;=4,1,2)</f>
        <v/>
      </c>
      <c r="I142" s="12" t="n"/>
    </row>
    <row r="143">
      <c r="A143" t="n">
        <v>3</v>
      </c>
      <c r="B143" t="inlineStr">
        <is>
          <t>Magic Circle</t>
        </is>
      </c>
      <c r="C143" t="inlineStr">
        <is>
          <t>Abjuration</t>
        </is>
      </c>
      <c r="D143" t="inlineStr">
        <is>
          <t>PHB 2024</t>
        </is>
      </c>
      <c r="E143">
        <f>IF($L$1="","",IF(INDEX(Matrix!$D134:$AA134,1,$L$1)=1,"OWNED",IF(Spells!$E$134&lt;&gt;"","RESTRICTED",IF($A143&gt;$L$2,"TOO HIGH",IF(Matrix!$BA134=0,"NOBODY HAS IT","CAN COPY")))))</f>
        <v/>
      </c>
      <c r="F143">
        <f>Matrix!$AZ134</f>
        <v/>
      </c>
      <c r="G143">
        <f>$A143*50</f>
        <v/>
      </c>
      <c r="H143">
        <f>IF($A143&lt;=4,1,2)</f>
        <v/>
      </c>
      <c r="I143" s="12" t="n"/>
    </row>
    <row r="144">
      <c r="A144" t="n">
        <v>3</v>
      </c>
      <c r="B144" t="inlineStr">
        <is>
          <t>Major Image</t>
        </is>
      </c>
      <c r="C144" t="inlineStr">
        <is>
          <t>Illusion</t>
        </is>
      </c>
      <c r="D144" t="inlineStr">
        <is>
          <t>PHB 2024</t>
        </is>
      </c>
      <c r="E144">
        <f>IF($L$1="","",IF(INDEX(Matrix!$D135:$AA135,1,$L$1)=1,"OWNED",IF(Spells!$E$135&lt;&gt;"","RESTRICTED",IF($A144&gt;$L$2,"TOO HIGH",IF(Matrix!$BA135=0,"NOBODY HAS IT","CAN COPY")))))</f>
        <v/>
      </c>
      <c r="F144">
        <f>Matrix!$AZ135</f>
        <v/>
      </c>
      <c r="G144">
        <f>$A144*50</f>
        <v/>
      </c>
      <c r="H144">
        <f>IF($A144&lt;=4,1,2)</f>
        <v/>
      </c>
      <c r="I144" s="12" t="n"/>
    </row>
    <row r="145">
      <c r="A145" t="n">
        <v>3</v>
      </c>
      <c r="B145" t="inlineStr">
        <is>
          <t>Melf's Minute Meteors</t>
        </is>
      </c>
      <c r="C145" t="inlineStr">
        <is>
          <t>Evocation</t>
        </is>
      </c>
      <c r="D145" t="inlineStr">
        <is>
          <t>Xanathar's Guide</t>
        </is>
      </c>
      <c r="E145">
        <f>IF($L$1="","",IF(INDEX(Matrix!$D136:$AA136,1,$L$1)=1,"OWNED",IF(Spells!$E$136&lt;&gt;"","RESTRICTED",IF($A145&gt;$L$2,"TOO HIGH",IF(Matrix!$BA136=0,"NOBODY HAS IT","CAN COPY")))))</f>
        <v/>
      </c>
      <c r="F145">
        <f>Matrix!$AZ136</f>
        <v/>
      </c>
      <c r="G145">
        <f>$A145*50</f>
        <v/>
      </c>
      <c r="H145">
        <f>IF($A145&lt;=4,1,2)</f>
        <v/>
      </c>
      <c r="I145" s="12" t="n"/>
    </row>
    <row r="146">
      <c r="A146" t="n">
        <v>3</v>
      </c>
      <c r="B146" t="inlineStr">
        <is>
          <t>Nondetection</t>
        </is>
      </c>
      <c r="C146" t="inlineStr">
        <is>
          <t>Abjuration</t>
        </is>
      </c>
      <c r="D146" t="inlineStr">
        <is>
          <t>PHB 2024</t>
        </is>
      </c>
      <c r="E146">
        <f>IF($L$1="","",IF(INDEX(Matrix!$D137:$AA137,1,$L$1)=1,"OWNED",IF(Spells!$E$137&lt;&gt;"","RESTRICTED",IF($A146&gt;$L$2,"TOO HIGH",IF(Matrix!$BA137=0,"NOBODY HAS IT","CAN COPY")))))</f>
        <v/>
      </c>
      <c r="F146">
        <f>Matrix!$AZ137</f>
        <v/>
      </c>
      <c r="G146">
        <f>$A146*50</f>
        <v/>
      </c>
      <c r="H146">
        <f>IF($A146&lt;=4,1,2)</f>
        <v/>
      </c>
      <c r="I146" s="12" t="n"/>
    </row>
    <row r="147">
      <c r="A147" t="n">
        <v>3</v>
      </c>
      <c r="B147" t="inlineStr">
        <is>
          <t>Phantom Steed</t>
        </is>
      </c>
      <c r="C147" t="inlineStr">
        <is>
          <t>Illusion</t>
        </is>
      </c>
      <c r="D147" t="inlineStr">
        <is>
          <t>PHB 2024</t>
        </is>
      </c>
      <c r="E147">
        <f>IF($L$1="","",IF(INDEX(Matrix!$D138:$AA138,1,$L$1)=1,"OWNED",IF(Spells!$E$138&lt;&gt;"","RESTRICTED",IF($A147&gt;$L$2,"TOO HIGH",IF(Matrix!$BA138=0,"NOBODY HAS IT","CAN COPY")))))</f>
        <v/>
      </c>
      <c r="F147">
        <f>Matrix!$AZ138</f>
        <v/>
      </c>
      <c r="G147">
        <f>$A147*50</f>
        <v/>
      </c>
      <c r="H147">
        <f>IF($A147&lt;=4,1,2)</f>
        <v/>
      </c>
      <c r="I147" s="12" t="n"/>
    </row>
    <row r="148">
      <c r="A148" t="n">
        <v>3</v>
      </c>
      <c r="B148" t="inlineStr">
        <is>
          <t>Protection from Energy</t>
        </is>
      </c>
      <c r="C148" t="inlineStr">
        <is>
          <t>Abjuration</t>
        </is>
      </c>
      <c r="D148" t="inlineStr">
        <is>
          <t>PHB 2024</t>
        </is>
      </c>
      <c r="E148">
        <f>IF($L$1="","",IF(INDEX(Matrix!$D139:$AA139,1,$L$1)=1,"OWNED",IF(Spells!$E$139&lt;&gt;"","RESTRICTED",IF($A148&gt;$L$2,"TOO HIGH",IF(Matrix!$BA139=0,"NOBODY HAS IT","CAN COPY")))))</f>
        <v/>
      </c>
      <c r="F148">
        <f>Matrix!$AZ139</f>
        <v/>
      </c>
      <c r="G148">
        <f>$A148*50</f>
        <v/>
      </c>
      <c r="H148">
        <f>IF($A148&lt;=4,1,2)</f>
        <v/>
      </c>
      <c r="I148" s="12" t="n"/>
    </row>
    <row r="149">
      <c r="A149" t="n">
        <v>3</v>
      </c>
      <c r="B149" t="inlineStr">
        <is>
          <t>Remove Curse</t>
        </is>
      </c>
      <c r="C149" t="inlineStr">
        <is>
          <t>Abjuration</t>
        </is>
      </c>
      <c r="D149" t="inlineStr">
        <is>
          <t>PHB 2024</t>
        </is>
      </c>
      <c r="E149">
        <f>IF($L$1="","",IF(INDEX(Matrix!$D140:$AA140,1,$L$1)=1,"OWNED",IF(Spells!$E$140&lt;&gt;"","RESTRICTED",IF($A149&gt;$L$2,"TOO HIGH",IF(Matrix!$BA140=0,"NOBODY HAS IT","CAN COPY")))))</f>
        <v/>
      </c>
      <c r="F149">
        <f>Matrix!$AZ140</f>
        <v/>
      </c>
      <c r="G149">
        <f>$A149*50</f>
        <v/>
      </c>
      <c r="H149">
        <f>IF($A149&lt;=4,1,2)</f>
        <v/>
      </c>
      <c r="I149" s="12" t="n"/>
    </row>
    <row r="150">
      <c r="A150" t="n">
        <v>3</v>
      </c>
      <c r="B150" t="inlineStr">
        <is>
          <t>Sending</t>
        </is>
      </c>
      <c r="C150" t="inlineStr">
        <is>
          <t>Divination</t>
        </is>
      </c>
      <c r="D150" t="inlineStr">
        <is>
          <t>PHB 2024</t>
        </is>
      </c>
      <c r="E150">
        <f>IF($L$1="","",IF(INDEX(Matrix!$D141:$AA141,1,$L$1)=1,"OWNED",IF(Spells!$E$141&lt;&gt;"","RESTRICTED",IF($A150&gt;$L$2,"TOO HIGH",IF(Matrix!$BA141=0,"NOBODY HAS IT","CAN COPY")))))</f>
        <v/>
      </c>
      <c r="F150">
        <f>Matrix!$AZ141</f>
        <v/>
      </c>
      <c r="G150">
        <f>$A150*50</f>
        <v/>
      </c>
      <c r="H150">
        <f>IF($A150&lt;=4,1,2)</f>
        <v/>
      </c>
      <c r="I150" s="12" t="n"/>
    </row>
    <row r="151">
      <c r="A151" t="n">
        <v>3</v>
      </c>
      <c r="B151" t="inlineStr">
        <is>
          <t>Sleet Storm</t>
        </is>
      </c>
      <c r="C151" t="inlineStr">
        <is>
          <t>Conjuration</t>
        </is>
      </c>
      <c r="D151" t="inlineStr">
        <is>
          <t>PHB 2024</t>
        </is>
      </c>
      <c r="E151">
        <f>IF($L$1="","",IF(INDEX(Matrix!$D142:$AA142,1,$L$1)=1,"OWNED",IF(Spells!$E$142&lt;&gt;"","RESTRICTED",IF($A151&gt;$L$2,"TOO HIGH",IF(Matrix!$BA142=0,"NOBODY HAS IT","CAN COPY")))))</f>
        <v/>
      </c>
      <c r="F151">
        <f>Matrix!$AZ142</f>
        <v/>
      </c>
      <c r="G151">
        <f>$A151*50</f>
        <v/>
      </c>
      <c r="H151">
        <f>IF($A151&lt;=4,1,2)</f>
        <v/>
      </c>
      <c r="I151" s="12" t="n"/>
    </row>
    <row r="152">
      <c r="A152" t="n">
        <v>3</v>
      </c>
      <c r="B152" t="inlineStr">
        <is>
          <t>Slow</t>
        </is>
      </c>
      <c r="C152" t="inlineStr">
        <is>
          <t>Transmutation</t>
        </is>
      </c>
      <c r="D152" t="inlineStr">
        <is>
          <t>PHB 2024</t>
        </is>
      </c>
      <c r="E152">
        <f>IF($L$1="","",IF(INDEX(Matrix!$D143:$AA143,1,$L$1)=1,"OWNED",IF(Spells!$E$143&lt;&gt;"","RESTRICTED",IF($A152&gt;$L$2,"TOO HIGH",IF(Matrix!$BA143=0,"NOBODY HAS IT","CAN COPY")))))</f>
        <v/>
      </c>
      <c r="F152">
        <f>Matrix!$AZ143</f>
        <v/>
      </c>
      <c r="G152">
        <f>$A152*50</f>
        <v/>
      </c>
      <c r="H152">
        <f>IF($A152&lt;=4,1,2)</f>
        <v/>
      </c>
      <c r="I152" s="12" t="n"/>
    </row>
    <row r="153">
      <c r="A153" t="n">
        <v>3</v>
      </c>
      <c r="B153" t="inlineStr">
        <is>
          <t>Speak with Dead</t>
        </is>
      </c>
      <c r="C153" t="inlineStr">
        <is>
          <t>Necromancy</t>
        </is>
      </c>
      <c r="D153" t="inlineStr">
        <is>
          <t>PHB 2024</t>
        </is>
      </c>
      <c r="E153">
        <f>IF($L$1="","",IF(INDEX(Matrix!$D144:$AA144,1,$L$1)=1,"OWNED",IF(Spells!$E$144&lt;&gt;"","RESTRICTED",IF($A153&gt;$L$2,"TOO HIGH",IF(Matrix!$BA144=0,"NOBODY HAS IT","CAN COPY")))))</f>
        <v/>
      </c>
      <c r="F153">
        <f>Matrix!$AZ144</f>
        <v/>
      </c>
      <c r="G153">
        <f>$A153*50</f>
        <v/>
      </c>
      <c r="H153">
        <f>IF($A153&lt;=4,1,2)</f>
        <v/>
      </c>
      <c r="I153" s="12" t="n"/>
    </row>
    <row r="154">
      <c r="A154" t="n">
        <v>3</v>
      </c>
      <c r="B154" t="inlineStr">
        <is>
          <t>Spirit Shroud</t>
        </is>
      </c>
      <c r="C154" t="inlineStr">
        <is>
          <t>Necromancy</t>
        </is>
      </c>
      <c r="D154" t="inlineStr">
        <is>
          <t>Tasha's Cauldron</t>
        </is>
      </c>
      <c r="E154">
        <f>IF($L$1="","",IF(INDEX(Matrix!$D145:$AA145,1,$L$1)=1,"OWNED",IF(Spells!$E$145&lt;&gt;"","RESTRICTED",IF($A154&gt;$L$2,"TOO HIGH",IF(Matrix!$BA145=0,"NOBODY HAS IT","CAN COPY")))))</f>
        <v/>
      </c>
      <c r="F154">
        <f>Matrix!$AZ145</f>
        <v/>
      </c>
      <c r="G154">
        <f>$A154*50</f>
        <v/>
      </c>
      <c r="H154">
        <f>IF($A154&lt;=4,1,2)</f>
        <v/>
      </c>
      <c r="I154" s="12" t="n"/>
    </row>
    <row r="155">
      <c r="A155" t="n">
        <v>3</v>
      </c>
      <c r="B155" t="inlineStr">
        <is>
          <t>Stinking Cloud</t>
        </is>
      </c>
      <c r="C155" t="inlineStr">
        <is>
          <t>Conjuration</t>
        </is>
      </c>
      <c r="D155" t="inlineStr">
        <is>
          <t>PHB 2024</t>
        </is>
      </c>
      <c r="E155">
        <f>IF($L$1="","",IF(INDEX(Matrix!$D146:$AA146,1,$L$1)=1,"OWNED",IF(Spells!$E$146&lt;&gt;"","RESTRICTED",IF($A155&gt;$L$2,"TOO HIGH",IF(Matrix!$BA146=0,"NOBODY HAS IT","CAN COPY")))))</f>
        <v/>
      </c>
      <c r="F155">
        <f>Matrix!$AZ146</f>
        <v/>
      </c>
      <c r="G155">
        <f>$A155*50</f>
        <v/>
      </c>
      <c r="H155">
        <f>IF($A155&lt;=4,1,2)</f>
        <v/>
      </c>
      <c r="I155" s="12" t="n"/>
    </row>
    <row r="156">
      <c r="A156" t="n">
        <v>3</v>
      </c>
      <c r="B156" t="inlineStr">
        <is>
          <t>Summon Fey</t>
        </is>
      </c>
      <c r="C156" t="inlineStr">
        <is>
          <t>Conjuration</t>
        </is>
      </c>
      <c r="D156" t="inlineStr">
        <is>
          <t>PHB 2024</t>
        </is>
      </c>
      <c r="E156">
        <f>IF($L$1="","",IF(INDEX(Matrix!$D147:$AA147,1,$L$1)=1,"OWNED",IF(Spells!$E$147&lt;&gt;"","RESTRICTED",IF($A156&gt;$L$2,"TOO HIGH",IF(Matrix!$BA147=0,"NOBODY HAS IT","CAN COPY")))))</f>
        <v/>
      </c>
      <c r="F156">
        <f>Matrix!$AZ147</f>
        <v/>
      </c>
      <c r="G156">
        <f>$A156*50</f>
        <v/>
      </c>
      <c r="H156">
        <f>IF($A156&lt;=4,1,2)</f>
        <v/>
      </c>
      <c r="I156" s="12" t="n"/>
    </row>
    <row r="157">
      <c r="A157" t="n">
        <v>3</v>
      </c>
      <c r="B157" t="inlineStr">
        <is>
          <t>Summon Lesser Demons</t>
        </is>
      </c>
      <c r="C157" t="inlineStr">
        <is>
          <t>Conjuration</t>
        </is>
      </c>
      <c r="D157" t="inlineStr">
        <is>
          <t>Xanathar's Guide</t>
        </is>
      </c>
      <c r="E157">
        <f>IF($L$1="","",IF(INDEX(Matrix!$D148:$AA148,1,$L$1)=1,"OWNED",IF(Spells!$E$148&lt;&gt;"","RESTRICTED",IF($A157&gt;$L$2,"TOO HIGH",IF(Matrix!$BA148=0,"NOBODY HAS IT","CAN COPY")))))</f>
        <v/>
      </c>
      <c r="F157">
        <f>Matrix!$AZ148</f>
        <v/>
      </c>
      <c r="G157">
        <f>$A157*50</f>
        <v/>
      </c>
      <c r="H157">
        <f>IF($A157&lt;=4,1,2)</f>
        <v/>
      </c>
      <c r="I157" s="12" t="n"/>
    </row>
    <row r="158">
      <c r="A158" t="n">
        <v>3</v>
      </c>
      <c r="B158" t="inlineStr">
        <is>
          <t>Summon Shadowspawn</t>
        </is>
      </c>
      <c r="C158" t="inlineStr">
        <is>
          <t>Conjuration</t>
        </is>
      </c>
      <c r="D158" t="inlineStr">
        <is>
          <t>Tasha's Cauldron</t>
        </is>
      </c>
      <c r="E158">
        <f>IF($L$1="","",IF(INDEX(Matrix!$D149:$AA149,1,$L$1)=1,"OWNED",IF(Spells!$E$149&lt;&gt;"","RESTRICTED",IF($A158&gt;$L$2,"TOO HIGH",IF(Matrix!$BA149=0,"NOBODY HAS IT","CAN COPY")))))</f>
        <v/>
      </c>
      <c r="F158">
        <f>Matrix!$AZ149</f>
        <v/>
      </c>
      <c r="G158">
        <f>$A158*50</f>
        <v/>
      </c>
      <c r="H158">
        <f>IF($A158&lt;=4,1,2)</f>
        <v/>
      </c>
      <c r="I158" s="12" t="n"/>
    </row>
    <row r="159">
      <c r="A159" t="n">
        <v>3</v>
      </c>
      <c r="B159" t="inlineStr">
        <is>
          <t>Summon Undead</t>
        </is>
      </c>
      <c r="C159" t="inlineStr">
        <is>
          <t>Necromancy</t>
        </is>
      </c>
      <c r="D159" t="inlineStr">
        <is>
          <t>PHB 2024</t>
        </is>
      </c>
      <c r="E159">
        <f>IF($L$1="","",IF(INDEX(Matrix!$D150:$AA150,1,$L$1)=1,"OWNED",IF(Spells!$E$150&lt;&gt;"","RESTRICTED",IF($A159&gt;$L$2,"TOO HIGH",IF(Matrix!$BA150=0,"NOBODY HAS IT","CAN COPY")))))</f>
        <v/>
      </c>
      <c r="F159">
        <f>Matrix!$AZ150</f>
        <v/>
      </c>
      <c r="G159">
        <f>$A159*50</f>
        <v/>
      </c>
      <c r="H159">
        <f>IF($A159&lt;=4,1,2)</f>
        <v/>
      </c>
      <c r="I159" s="12" t="n"/>
    </row>
    <row r="160">
      <c r="A160" t="n">
        <v>3</v>
      </c>
      <c r="B160" t="inlineStr">
        <is>
          <t>Syluné’s Viper</t>
        </is>
      </c>
      <c r="C160" t="inlineStr">
        <is>
          <t>Conjuration</t>
        </is>
      </c>
      <c r="D160" t="inlineStr">
        <is>
          <t>Heroes of Faerun</t>
        </is>
      </c>
      <c r="E160">
        <f>IF($L$1="","",IF(INDEX(Matrix!$D151:$AA151,1,$L$1)=1,"OWNED",IF(Spells!$E$151&lt;&gt;"","RESTRICTED",IF($A160&gt;$L$2,"TOO HIGH",IF(Matrix!$BA151=0,"NOBODY HAS IT","CAN COPY")))))</f>
        <v/>
      </c>
      <c r="F160">
        <f>Matrix!$AZ151</f>
        <v/>
      </c>
      <c r="G160">
        <f>$A160*50</f>
        <v/>
      </c>
      <c r="H160">
        <f>IF($A160&lt;=4,1,2)</f>
        <v/>
      </c>
      <c r="I160" s="12" t="n"/>
    </row>
    <row r="161">
      <c r="A161" t="n">
        <v>3</v>
      </c>
      <c r="B161" t="inlineStr">
        <is>
          <t>Thunder Step</t>
        </is>
      </c>
      <c r="C161" t="inlineStr">
        <is>
          <t>Conjuration</t>
        </is>
      </c>
      <c r="D161" t="inlineStr">
        <is>
          <t>Xanathar's Guide</t>
        </is>
      </c>
      <c r="E161">
        <f>IF($L$1="","",IF(INDEX(Matrix!$D152:$AA152,1,$L$1)=1,"OWNED",IF(Spells!$E$152&lt;&gt;"","RESTRICTED",IF($A161&gt;$L$2,"TOO HIGH",IF(Matrix!$BA152=0,"NOBODY HAS IT","CAN COPY")))))</f>
        <v/>
      </c>
      <c r="F161">
        <f>Matrix!$AZ152</f>
        <v/>
      </c>
      <c r="G161">
        <f>$A161*50</f>
        <v/>
      </c>
      <c r="H161">
        <f>IF($A161&lt;=4,1,2)</f>
        <v/>
      </c>
      <c r="I161" s="12" t="n"/>
    </row>
    <row r="162">
      <c r="A162" t="n">
        <v>3</v>
      </c>
      <c r="B162" t="inlineStr">
        <is>
          <t>Tidal Wave</t>
        </is>
      </c>
      <c r="C162" t="inlineStr">
        <is>
          <t>Conjuration</t>
        </is>
      </c>
      <c r="D162" t="inlineStr">
        <is>
          <t>Xanathar's Guide</t>
        </is>
      </c>
      <c r="E162">
        <f>IF($L$1="","",IF(INDEX(Matrix!$D153:$AA153,1,$L$1)=1,"OWNED",IF(Spells!$E$153&lt;&gt;"","RESTRICTED",IF($A162&gt;$L$2,"TOO HIGH",IF(Matrix!$BA153=0,"NOBODY HAS IT","CAN COPY")))))</f>
        <v/>
      </c>
      <c r="F162">
        <f>Matrix!$AZ153</f>
        <v/>
      </c>
      <c r="G162">
        <f>$A162*50</f>
        <v/>
      </c>
      <c r="H162">
        <f>IF($A162&lt;=4,1,2)</f>
        <v/>
      </c>
      <c r="I162" s="12" t="n"/>
    </row>
    <row r="163">
      <c r="A163" t="n">
        <v>3</v>
      </c>
      <c r="B163" t="inlineStr">
        <is>
          <t>Tiny Servant</t>
        </is>
      </c>
      <c r="C163" t="inlineStr">
        <is>
          <t>Transmutation</t>
        </is>
      </c>
      <c r="D163" t="inlineStr">
        <is>
          <t>Xanathar's Guide</t>
        </is>
      </c>
      <c r="E163">
        <f>IF($L$1="","",IF(INDEX(Matrix!$D154:$AA154,1,$L$1)=1,"OWNED",IF(Spells!$E$154&lt;&gt;"","RESTRICTED",IF($A163&gt;$L$2,"TOO HIGH",IF(Matrix!$BA154=0,"NOBODY HAS IT","CAN COPY")))))</f>
        <v/>
      </c>
      <c r="F163">
        <f>Matrix!$AZ154</f>
        <v/>
      </c>
      <c r="G163">
        <f>$A163*50</f>
        <v/>
      </c>
      <c r="H163">
        <f>IF($A163&lt;=4,1,2)</f>
        <v/>
      </c>
      <c r="I163" s="12" t="n"/>
    </row>
    <row r="164">
      <c r="A164" t="n">
        <v>3</v>
      </c>
      <c r="B164" t="inlineStr">
        <is>
          <t>Tongues</t>
        </is>
      </c>
      <c r="C164" t="inlineStr">
        <is>
          <t>Divination</t>
        </is>
      </c>
      <c r="D164" t="inlineStr">
        <is>
          <t>PHB 2024</t>
        </is>
      </c>
      <c r="E164">
        <f>IF($L$1="","",IF(INDEX(Matrix!$D155:$AA155,1,$L$1)=1,"OWNED",IF(Spells!$E$155&lt;&gt;"","RESTRICTED",IF($A164&gt;$L$2,"TOO HIGH",IF(Matrix!$BA155=0,"NOBODY HAS IT","CAN COPY")))))</f>
        <v/>
      </c>
      <c r="F164">
        <f>Matrix!$AZ155</f>
        <v/>
      </c>
      <c r="G164">
        <f>$A164*50</f>
        <v/>
      </c>
      <c r="H164">
        <f>IF($A164&lt;=4,1,2)</f>
        <v/>
      </c>
      <c r="I164" s="12" t="n"/>
    </row>
    <row r="165">
      <c r="A165" t="n">
        <v>3</v>
      </c>
      <c r="B165" t="inlineStr">
        <is>
          <t>Vampiric Touch</t>
        </is>
      </c>
      <c r="C165" t="inlineStr">
        <is>
          <t>Necromancy</t>
        </is>
      </c>
      <c r="D165" t="inlineStr">
        <is>
          <t>PHB 2024</t>
        </is>
      </c>
      <c r="E165">
        <f>IF($L$1="","",IF(INDEX(Matrix!$D156:$AA156,1,$L$1)=1,"OWNED",IF(Spells!$E$156&lt;&gt;"","RESTRICTED",IF($A165&gt;$L$2,"TOO HIGH",IF(Matrix!$BA156=0,"NOBODY HAS IT","CAN COPY")))))</f>
        <v/>
      </c>
      <c r="F165">
        <f>Matrix!$AZ156</f>
        <v/>
      </c>
      <c r="G165">
        <f>$A165*50</f>
        <v/>
      </c>
      <c r="H165">
        <f>IF($A165&lt;=4,1,2)</f>
        <v/>
      </c>
      <c r="I165" s="12" t="n"/>
    </row>
    <row r="166">
      <c r="A166" t="n">
        <v>3</v>
      </c>
      <c r="B166" t="inlineStr">
        <is>
          <t>Wall of Sand</t>
        </is>
      </c>
      <c r="C166" t="inlineStr">
        <is>
          <t>Evocation</t>
        </is>
      </c>
      <c r="D166" t="inlineStr">
        <is>
          <t>Xanathar's Guide</t>
        </is>
      </c>
      <c r="E166">
        <f>IF($L$1="","",IF(INDEX(Matrix!$D157:$AA157,1,$L$1)=1,"OWNED",IF(Spells!$E$157&lt;&gt;"","RESTRICTED",IF($A166&gt;$L$2,"TOO HIGH",IF(Matrix!$BA157=0,"NOBODY HAS IT","CAN COPY")))))</f>
        <v/>
      </c>
      <c r="F166">
        <f>Matrix!$AZ157</f>
        <v/>
      </c>
      <c r="G166">
        <f>$A166*50</f>
        <v/>
      </c>
      <c r="H166">
        <f>IF($A166&lt;=4,1,2)</f>
        <v/>
      </c>
      <c r="I166" s="12" t="n"/>
    </row>
    <row r="167">
      <c r="A167" t="n">
        <v>3</v>
      </c>
      <c r="B167" t="inlineStr">
        <is>
          <t>Wall of Water</t>
        </is>
      </c>
      <c r="C167" t="inlineStr">
        <is>
          <t>Evocation</t>
        </is>
      </c>
      <c r="D167" t="inlineStr">
        <is>
          <t>Xanathar's Guide</t>
        </is>
      </c>
      <c r="E167">
        <f>IF($L$1="","",IF(INDEX(Matrix!$D158:$AA158,1,$L$1)=1,"OWNED",IF(Spells!$E$158&lt;&gt;"","RESTRICTED",IF($A167&gt;$L$2,"TOO HIGH",IF(Matrix!$BA158=0,"NOBODY HAS IT","CAN COPY")))))</f>
        <v/>
      </c>
      <c r="F167">
        <f>Matrix!$AZ158</f>
        <v/>
      </c>
      <c r="G167">
        <f>$A167*50</f>
        <v/>
      </c>
      <c r="H167">
        <f>IF($A167&lt;=4,1,2)</f>
        <v/>
      </c>
      <c r="I167" s="12" t="n"/>
    </row>
    <row r="168">
      <c r="A168" t="n">
        <v>3</v>
      </c>
      <c r="B168" t="inlineStr">
        <is>
          <t>Water Breathing</t>
        </is>
      </c>
      <c r="C168" t="inlineStr">
        <is>
          <t>Transmutation</t>
        </is>
      </c>
      <c r="D168" t="inlineStr">
        <is>
          <t>PHB 2024</t>
        </is>
      </c>
      <c r="E168">
        <f>IF($L$1="","",IF(INDEX(Matrix!$D159:$AA159,1,$L$1)=1,"OWNED",IF(Spells!$E$159&lt;&gt;"","RESTRICTED",IF($A168&gt;$L$2,"TOO HIGH",IF(Matrix!$BA159=0,"NOBODY HAS IT","CAN COPY")))))</f>
        <v/>
      </c>
      <c r="F168">
        <f>Matrix!$AZ159</f>
        <v/>
      </c>
      <c r="G168">
        <f>$A168*50</f>
        <v/>
      </c>
      <c r="H168">
        <f>IF($A168&lt;=4,1,2)</f>
        <v/>
      </c>
      <c r="I168" s="12" t="n"/>
    </row>
    <row r="169">
      <c r="A169" t="n">
        <v>4</v>
      </c>
      <c r="B169" t="inlineStr">
        <is>
          <t>Arcane Eye</t>
        </is>
      </c>
      <c r="C169" t="inlineStr">
        <is>
          <t>Divination</t>
        </is>
      </c>
      <c r="D169" t="inlineStr">
        <is>
          <t>PHB 2024</t>
        </is>
      </c>
      <c r="E169">
        <f>IF($L$1="","",IF(INDEX(Matrix!$D160:$AA160,1,$L$1)=1,"OWNED",IF(Spells!$E$160&lt;&gt;"","RESTRICTED",IF($A169&gt;$L$2,"TOO HIGH",IF(Matrix!$BA160=0,"NOBODY HAS IT","CAN COPY")))))</f>
        <v/>
      </c>
      <c r="F169">
        <f>Matrix!$AZ160</f>
        <v/>
      </c>
      <c r="G169">
        <f>$A169*50</f>
        <v/>
      </c>
      <c r="H169">
        <f>IF($A169&lt;=4,1,2)</f>
        <v/>
      </c>
      <c r="I169" s="12" t="n"/>
    </row>
    <row r="170">
      <c r="A170" t="n">
        <v>4</v>
      </c>
      <c r="B170" t="inlineStr">
        <is>
          <t>Backlash</t>
        </is>
      </c>
      <c r="C170" t="inlineStr">
        <is>
          <t>Abjuration</t>
        </is>
      </c>
      <c r="D170" t="inlineStr">
        <is>
          <t>Heroes of Faerun</t>
        </is>
      </c>
      <c r="E170">
        <f>IF($L$1="","",IF(INDEX(Matrix!$D161:$AA161,1,$L$1)=1,"OWNED",IF(Spells!$E$161&lt;&gt;"","RESTRICTED",IF($A170&gt;$L$2,"TOO HIGH",IF(Matrix!$BA161=0,"NOBODY HAS IT","CAN COPY")))))</f>
        <v/>
      </c>
      <c r="F170">
        <f>Matrix!$AZ161</f>
        <v/>
      </c>
      <c r="G170">
        <f>$A170*50</f>
        <v/>
      </c>
      <c r="H170">
        <f>IF($A170&lt;=4,1,2)</f>
        <v/>
      </c>
      <c r="I170" s="12" t="n"/>
    </row>
    <row r="171">
      <c r="A171" t="n">
        <v>4</v>
      </c>
      <c r="B171" t="inlineStr">
        <is>
          <t>Banishment</t>
        </is>
      </c>
      <c r="C171" t="inlineStr">
        <is>
          <t>Abjuration</t>
        </is>
      </c>
      <c r="D171" t="inlineStr">
        <is>
          <t>PHB 2024</t>
        </is>
      </c>
      <c r="E171">
        <f>IF($L$1="","",IF(INDEX(Matrix!$D162:$AA162,1,$L$1)=1,"OWNED",IF(Spells!$E$162&lt;&gt;"","RESTRICTED",IF($A171&gt;$L$2,"TOO HIGH",IF(Matrix!$BA162=0,"NOBODY HAS IT","CAN COPY")))))</f>
        <v/>
      </c>
      <c r="F171">
        <f>Matrix!$AZ162</f>
        <v/>
      </c>
      <c r="G171">
        <f>$A171*50</f>
        <v/>
      </c>
      <c r="H171">
        <f>IF($A171&lt;=4,1,2)</f>
        <v/>
      </c>
      <c r="I171" s="12" t="n"/>
    </row>
    <row r="172">
      <c r="A172" t="n">
        <v>4</v>
      </c>
      <c r="B172" t="inlineStr">
        <is>
          <t>Blight</t>
        </is>
      </c>
      <c r="C172" t="inlineStr">
        <is>
          <t>Necromancy</t>
        </is>
      </c>
      <c r="D172" t="inlineStr">
        <is>
          <t>PHB 2024</t>
        </is>
      </c>
      <c r="E172">
        <f>IF($L$1="","",IF(INDEX(Matrix!$D163:$AA163,1,$L$1)=1,"OWNED",IF(Spells!$E$163&lt;&gt;"","RESTRICTED",IF($A172&gt;$L$2,"TOO HIGH",IF(Matrix!$BA163=0,"NOBODY HAS IT","CAN COPY")))))</f>
        <v/>
      </c>
      <c r="F172">
        <f>Matrix!$AZ163</f>
        <v/>
      </c>
      <c r="G172">
        <f>$A172*50</f>
        <v/>
      </c>
      <c r="H172">
        <f>IF($A172&lt;=4,1,2)</f>
        <v/>
      </c>
      <c r="I172" s="12" t="n"/>
    </row>
    <row r="173">
      <c r="A173" t="n">
        <v>4</v>
      </c>
      <c r="B173" t="inlineStr">
        <is>
          <t>Charm Monster</t>
        </is>
      </c>
      <c r="C173" t="inlineStr">
        <is>
          <t>Enchantment</t>
        </is>
      </c>
      <c r="D173" t="inlineStr">
        <is>
          <t>PHB 2024</t>
        </is>
      </c>
      <c r="E173">
        <f>IF($L$1="","",IF(INDEX(Matrix!$D164:$AA164,1,$L$1)=1,"OWNED",IF(Spells!$E$164&lt;&gt;"","RESTRICTED",IF($A173&gt;$L$2,"TOO HIGH",IF(Matrix!$BA164=0,"NOBODY HAS IT","CAN COPY")))))</f>
        <v/>
      </c>
      <c r="F173">
        <f>Matrix!$AZ164</f>
        <v/>
      </c>
      <c r="G173">
        <f>$A173*50</f>
        <v/>
      </c>
      <c r="H173">
        <f>IF($A173&lt;=4,1,2)</f>
        <v/>
      </c>
      <c r="I173" s="12" t="n"/>
    </row>
    <row r="174">
      <c r="A174" t="n">
        <v>4</v>
      </c>
      <c r="B174" t="inlineStr">
        <is>
          <t>Confusion</t>
        </is>
      </c>
      <c r="C174" t="inlineStr">
        <is>
          <t>Enchantment</t>
        </is>
      </c>
      <c r="D174" t="inlineStr">
        <is>
          <t>PHB 2024</t>
        </is>
      </c>
      <c r="E174">
        <f>IF($L$1="","",IF(INDEX(Matrix!$D165:$AA165,1,$L$1)=1,"OWNED",IF(Spells!$E$165&lt;&gt;"","RESTRICTED",IF($A174&gt;$L$2,"TOO HIGH",IF(Matrix!$BA165=0,"NOBODY HAS IT","CAN COPY")))))</f>
        <v/>
      </c>
      <c r="F174">
        <f>Matrix!$AZ165</f>
        <v/>
      </c>
      <c r="G174">
        <f>$A174*50</f>
        <v/>
      </c>
      <c r="H174">
        <f>IF($A174&lt;=4,1,2)</f>
        <v/>
      </c>
      <c r="I174" s="12" t="n"/>
    </row>
    <row r="175">
      <c r="A175" t="n">
        <v>4</v>
      </c>
      <c r="B175" t="inlineStr">
        <is>
          <t>Conjure Minor Elementals</t>
        </is>
      </c>
      <c r="C175" t="inlineStr">
        <is>
          <t>Conjuration</t>
        </is>
      </c>
      <c r="D175" t="inlineStr">
        <is>
          <t>PHB 2024</t>
        </is>
      </c>
      <c r="E175">
        <f>IF($L$1="","",IF(INDEX(Matrix!$D166:$AA166,1,$L$1)=1,"OWNED",IF(Spells!$E$166&lt;&gt;"","RESTRICTED",IF($A175&gt;$L$2,"TOO HIGH",IF(Matrix!$BA166=0,"NOBODY HAS IT","CAN COPY")))))</f>
        <v/>
      </c>
      <c r="F175">
        <f>Matrix!$AZ166</f>
        <v/>
      </c>
      <c r="G175">
        <f>$A175*50</f>
        <v/>
      </c>
      <c r="H175">
        <f>IF($A175&lt;=4,1,2)</f>
        <v/>
      </c>
      <c r="I175" s="12" t="n"/>
    </row>
    <row r="176">
      <c r="A176" t="n">
        <v>4</v>
      </c>
      <c r="B176" t="inlineStr">
        <is>
          <t>Control Water</t>
        </is>
      </c>
      <c r="C176" t="inlineStr">
        <is>
          <t>Transmutation</t>
        </is>
      </c>
      <c r="D176" t="inlineStr">
        <is>
          <t>PHB 2024</t>
        </is>
      </c>
      <c r="E176">
        <f>IF($L$1="","",IF(INDEX(Matrix!$D167:$AA167,1,$L$1)=1,"OWNED",IF(Spells!$E$167&lt;&gt;"","RESTRICTED",IF($A176&gt;$L$2,"TOO HIGH",IF(Matrix!$BA167=0,"NOBODY HAS IT","CAN COPY")))))</f>
        <v/>
      </c>
      <c r="F176">
        <f>Matrix!$AZ167</f>
        <v/>
      </c>
      <c r="G176">
        <f>$A176*50</f>
        <v/>
      </c>
      <c r="H176">
        <f>IF($A176&lt;=4,1,2)</f>
        <v/>
      </c>
      <c r="I176" s="12" t="n"/>
    </row>
    <row r="177">
      <c r="A177" t="n">
        <v>4</v>
      </c>
      <c r="B177" t="inlineStr">
        <is>
          <t>Dimension Door</t>
        </is>
      </c>
      <c r="C177" t="inlineStr">
        <is>
          <t>Conjuration</t>
        </is>
      </c>
      <c r="D177" t="inlineStr">
        <is>
          <t>PHB 2024</t>
        </is>
      </c>
      <c r="E177">
        <f>IF($L$1="","",IF(INDEX(Matrix!$D168:$AA168,1,$L$1)=1,"OWNED",IF(Spells!$E$168&lt;&gt;"","RESTRICTED",IF($A177&gt;$L$2,"TOO HIGH",IF(Matrix!$BA168=0,"NOBODY HAS IT","CAN COPY")))))</f>
        <v/>
      </c>
      <c r="F177">
        <f>Matrix!$AZ168</f>
        <v/>
      </c>
      <c r="G177">
        <f>$A177*50</f>
        <v/>
      </c>
      <c r="H177">
        <f>IF($A177&lt;=4,1,2)</f>
        <v/>
      </c>
      <c r="I177" s="12" t="n"/>
    </row>
    <row r="178">
      <c r="A178" t="n">
        <v>4</v>
      </c>
      <c r="B178" t="inlineStr">
        <is>
          <t>Distorted Distance</t>
        </is>
      </c>
      <c r="C178" t="inlineStr">
        <is>
          <t>Illusion</t>
        </is>
      </c>
      <c r="D178" t="inlineStr">
        <is>
          <t>Arcana Unleashed</t>
        </is>
      </c>
      <c r="E178">
        <f>IF($L$1="","",IF(INDEX(Matrix!$D169:$AA169,1,$L$1)=1,"OWNED",IF(Spells!$E$169&lt;&gt;"","RESTRICTED",IF($A178&gt;$L$2,"TOO HIGH",IF(Matrix!$BA169=0,"NOBODY HAS IT","CAN COPY")))))</f>
        <v/>
      </c>
      <c r="F178">
        <f>Matrix!$AZ169</f>
        <v/>
      </c>
      <c r="G178">
        <f>$A178*50</f>
        <v/>
      </c>
      <c r="H178">
        <f>IF($A178&lt;=4,1,2)</f>
        <v/>
      </c>
      <c r="I178" s="12" t="n"/>
    </row>
    <row r="179">
      <c r="A179" t="n">
        <v>4</v>
      </c>
      <c r="B179" t="inlineStr">
        <is>
          <t>Divination</t>
        </is>
      </c>
      <c r="C179" t="inlineStr">
        <is>
          <t>Divination</t>
        </is>
      </c>
      <c r="D179" t="inlineStr">
        <is>
          <t>PHB 2024</t>
        </is>
      </c>
      <c r="E179">
        <f>IF($L$1="","",IF(INDEX(Matrix!$D170:$AA170,1,$L$1)=1,"OWNED",IF(Spells!$E$170&lt;&gt;"","RESTRICTED",IF($A179&gt;$L$2,"TOO HIGH",IF(Matrix!$BA170=0,"NOBODY HAS IT","CAN COPY")))))</f>
        <v/>
      </c>
      <c r="F179">
        <f>Matrix!$AZ170</f>
        <v/>
      </c>
      <c r="G179">
        <f>$A179*50</f>
        <v/>
      </c>
      <c r="H179">
        <f>IF($A179&lt;=4,1,2)</f>
        <v/>
      </c>
      <c r="I179" s="12" t="n"/>
    </row>
    <row r="180">
      <c r="A180" t="n">
        <v>4</v>
      </c>
      <c r="B180" t="inlineStr">
        <is>
          <t>Elemental Bane</t>
        </is>
      </c>
      <c r="C180" t="inlineStr">
        <is>
          <t>Transmutation</t>
        </is>
      </c>
      <c r="D180" t="inlineStr">
        <is>
          <t>Xanathar's Guide</t>
        </is>
      </c>
      <c r="E180">
        <f>IF($L$1="","",IF(INDEX(Matrix!$D171:$AA171,1,$L$1)=1,"OWNED",IF(Spells!$E$171&lt;&gt;"","RESTRICTED",IF($A180&gt;$L$2,"TOO HIGH",IF(Matrix!$BA171=0,"NOBODY HAS IT","CAN COPY")))))</f>
        <v/>
      </c>
      <c r="F180">
        <f>Matrix!$AZ171</f>
        <v/>
      </c>
      <c r="G180">
        <f>$A180*50</f>
        <v/>
      </c>
      <c r="H180">
        <f>IF($A180&lt;=4,1,2)</f>
        <v/>
      </c>
      <c r="I180" s="12" t="n"/>
    </row>
    <row r="181">
      <c r="A181" t="n">
        <v>4</v>
      </c>
      <c r="B181" t="inlineStr">
        <is>
          <t>Evard's Black Tentacles</t>
        </is>
      </c>
      <c r="C181" t="inlineStr">
        <is>
          <t>Conjuration</t>
        </is>
      </c>
      <c r="D181" t="inlineStr">
        <is>
          <t>PHB 2024</t>
        </is>
      </c>
      <c r="E181">
        <f>IF($L$1="","",IF(INDEX(Matrix!$D172:$AA172,1,$L$1)=1,"OWNED",IF(Spells!$E$172&lt;&gt;"","RESTRICTED",IF($A181&gt;$L$2,"TOO HIGH",IF(Matrix!$BA172=0,"NOBODY HAS IT","CAN COPY")))))</f>
        <v/>
      </c>
      <c r="F181">
        <f>Matrix!$AZ172</f>
        <v/>
      </c>
      <c r="G181">
        <f>$A181*50</f>
        <v/>
      </c>
      <c r="H181">
        <f>IF($A181&lt;=4,1,2)</f>
        <v/>
      </c>
      <c r="I181" s="12" t="n"/>
    </row>
    <row r="182">
      <c r="A182" t="n">
        <v>4</v>
      </c>
      <c r="B182" t="inlineStr">
        <is>
          <t>Fabricate</t>
        </is>
      </c>
      <c r="C182" t="inlineStr">
        <is>
          <t>Transmutation</t>
        </is>
      </c>
      <c r="D182" t="inlineStr">
        <is>
          <t>PHB 2024</t>
        </is>
      </c>
      <c r="E182">
        <f>IF($L$1="","",IF(INDEX(Matrix!$D173:$AA173,1,$L$1)=1,"OWNED",IF(Spells!$E$173&lt;&gt;"","RESTRICTED",IF($A182&gt;$L$2,"TOO HIGH",IF(Matrix!$BA173=0,"NOBODY HAS IT","CAN COPY")))))</f>
        <v/>
      </c>
      <c r="F182">
        <f>Matrix!$AZ173</f>
        <v/>
      </c>
      <c r="G182">
        <f>$A182*50</f>
        <v/>
      </c>
      <c r="H182">
        <f>IF($A182&lt;=4,1,2)</f>
        <v/>
      </c>
      <c r="I182" s="12" t="n"/>
    </row>
    <row r="183">
      <c r="A183" t="n">
        <v>4</v>
      </c>
      <c r="B183" t="inlineStr">
        <is>
          <t>Festering Blast</t>
        </is>
      </c>
      <c r="C183" t="inlineStr">
        <is>
          <t>Necromancy</t>
        </is>
      </c>
      <c r="D183" t="inlineStr">
        <is>
          <t>Arcana Unleashed</t>
        </is>
      </c>
      <c r="E183">
        <f>IF($L$1="","",IF(INDEX(Matrix!$D174:$AA174,1,$L$1)=1,"OWNED",IF(Spells!$E$174&lt;&gt;"","RESTRICTED",IF($A183&gt;$L$2,"TOO HIGH",IF(Matrix!$BA174=0,"NOBODY HAS IT","CAN COPY")))))</f>
        <v/>
      </c>
      <c r="F183">
        <f>Matrix!$AZ174</f>
        <v/>
      </c>
      <c r="G183">
        <f>$A183*50</f>
        <v/>
      </c>
      <c r="H183">
        <f>IF($A183&lt;=4,1,2)</f>
        <v/>
      </c>
      <c r="I183" s="12" t="n"/>
    </row>
    <row r="184">
      <c r="A184" t="n">
        <v>4</v>
      </c>
      <c r="B184" t="inlineStr">
        <is>
          <t>Fire Shield</t>
        </is>
      </c>
      <c r="C184" t="inlineStr">
        <is>
          <t>Evocation</t>
        </is>
      </c>
      <c r="D184" t="inlineStr">
        <is>
          <t>PHB 2024</t>
        </is>
      </c>
      <c r="E184">
        <f>IF($L$1="","",IF(INDEX(Matrix!$D175:$AA175,1,$L$1)=1,"OWNED",IF(Spells!$E$175&lt;&gt;"","RESTRICTED",IF($A184&gt;$L$2,"TOO HIGH",IF(Matrix!$BA175=0,"NOBODY HAS IT","CAN COPY")))))</f>
        <v/>
      </c>
      <c r="F184">
        <f>Matrix!$AZ175</f>
        <v/>
      </c>
      <c r="G184">
        <f>$A184*50</f>
        <v/>
      </c>
      <c r="H184">
        <f>IF($A184&lt;=4,1,2)</f>
        <v/>
      </c>
      <c r="I184" s="12" t="n"/>
    </row>
    <row r="185">
      <c r="A185" t="n">
        <v>4</v>
      </c>
      <c r="B185" t="inlineStr">
        <is>
          <t>Galder's Speedy Courier</t>
        </is>
      </c>
      <c r="C185" t="inlineStr">
        <is>
          <t>Conjuration</t>
        </is>
      </c>
      <c r="D185" t="inlineStr">
        <is>
          <t>Kwalish</t>
        </is>
      </c>
      <c r="E185">
        <f>IF($L$1="","",IF(INDEX(Matrix!$D176:$AA176,1,$L$1)=1,"OWNED",IF(Spells!$E$176&lt;&gt;"","RESTRICTED",IF($A185&gt;$L$2,"TOO HIGH",IF(Matrix!$BA176=0,"NOBODY HAS IT","CAN COPY")))))</f>
        <v/>
      </c>
      <c r="F185">
        <f>Matrix!$AZ176</f>
        <v/>
      </c>
      <c r="G185">
        <f>$A185*50</f>
        <v/>
      </c>
      <c r="H185">
        <f>IF($A185&lt;=4,1,2)</f>
        <v/>
      </c>
      <c r="I185" s="12" t="n"/>
    </row>
    <row r="186">
      <c r="A186" t="n">
        <v>4</v>
      </c>
      <c r="B186" t="inlineStr">
        <is>
          <t>Gate Seal</t>
        </is>
      </c>
      <c r="C186" t="inlineStr">
        <is>
          <t>Abjuration</t>
        </is>
      </c>
      <c r="D186" t="inlineStr">
        <is>
          <t>Planescape</t>
        </is>
      </c>
      <c r="E186">
        <f>IF($L$1="","",IF(INDEX(Matrix!$D177:$AA177,1,$L$1)=1,"OWNED",IF(Spells!$E$177&lt;&gt;"","RESTRICTED",IF($A186&gt;$L$2,"TOO HIGH",IF(Matrix!$BA177=0,"NOBODY HAS IT","CAN COPY")))))</f>
        <v/>
      </c>
      <c r="F186">
        <f>Matrix!$AZ177</f>
        <v/>
      </c>
      <c r="G186">
        <f>$A186*50</f>
        <v/>
      </c>
      <c r="H186">
        <f>IF($A186&lt;=4,1,2)</f>
        <v/>
      </c>
      <c r="I186" s="12" t="n"/>
    </row>
    <row r="187">
      <c r="A187" t="n">
        <v>4</v>
      </c>
      <c r="B187" t="inlineStr">
        <is>
          <t>Greater Invisibility</t>
        </is>
      </c>
      <c r="C187" t="inlineStr">
        <is>
          <t>Illusion</t>
        </is>
      </c>
      <c r="D187" t="inlineStr">
        <is>
          <t>PHB 2024</t>
        </is>
      </c>
      <c r="E187">
        <f>IF($L$1="","",IF(INDEX(Matrix!$D178:$AA178,1,$L$1)=1,"OWNED",IF(Spells!$E$178&lt;&gt;"","RESTRICTED",IF($A187&gt;$L$2,"TOO HIGH",IF(Matrix!$BA178=0,"NOBODY HAS IT","CAN COPY")))))</f>
        <v/>
      </c>
      <c r="F187">
        <f>Matrix!$AZ178</f>
        <v/>
      </c>
      <c r="G187">
        <f>$A187*50</f>
        <v/>
      </c>
      <c r="H187">
        <f>IF($A187&lt;=4,1,2)</f>
        <v/>
      </c>
      <c r="I187" s="12" t="n"/>
    </row>
    <row r="188">
      <c r="A188" t="n">
        <v>4</v>
      </c>
      <c r="B188" t="inlineStr">
        <is>
          <t>Hallucinatory Terrain</t>
        </is>
      </c>
      <c r="C188" t="inlineStr">
        <is>
          <t>Illusion</t>
        </is>
      </c>
      <c r="D188" t="inlineStr">
        <is>
          <t>PHB 2024</t>
        </is>
      </c>
      <c r="E188">
        <f>IF($L$1="","",IF(INDEX(Matrix!$D179:$AA179,1,$L$1)=1,"OWNED",IF(Spells!$E$179&lt;&gt;"","RESTRICTED",IF($A188&gt;$L$2,"TOO HIGH",IF(Matrix!$BA179=0,"NOBODY HAS IT","CAN COPY")))))</f>
        <v/>
      </c>
      <c r="F188">
        <f>Matrix!$AZ179</f>
        <v/>
      </c>
      <c r="G188">
        <f>$A188*50</f>
        <v/>
      </c>
      <c r="H188">
        <f>IF($A188&lt;=4,1,2)</f>
        <v/>
      </c>
      <c r="I188" s="12" t="n"/>
    </row>
    <row r="189">
      <c r="A189" t="n">
        <v>4</v>
      </c>
      <c r="B189" t="inlineStr">
        <is>
          <t>Ice Storm</t>
        </is>
      </c>
      <c r="C189" t="inlineStr">
        <is>
          <t>Evocation</t>
        </is>
      </c>
      <c r="D189" t="inlineStr">
        <is>
          <t>PHB 2024</t>
        </is>
      </c>
      <c r="E189">
        <f>IF($L$1="","",IF(INDEX(Matrix!$D180:$AA180,1,$L$1)=1,"OWNED",IF(Spells!$E$180&lt;&gt;"","RESTRICTED",IF($A189&gt;$L$2,"TOO HIGH",IF(Matrix!$BA180=0,"NOBODY HAS IT","CAN COPY")))))</f>
        <v/>
      </c>
      <c r="F189">
        <f>Matrix!$AZ180</f>
        <v/>
      </c>
      <c r="G189">
        <f>$A189*50</f>
        <v/>
      </c>
      <c r="H189">
        <f>IF($A189&lt;=4,1,2)</f>
        <v/>
      </c>
      <c r="I189" s="12" t="n"/>
    </row>
    <row r="190">
      <c r="A190" t="n">
        <v>4</v>
      </c>
      <c r="B190" t="inlineStr">
        <is>
          <t>Leomund's Secret Chest</t>
        </is>
      </c>
      <c r="C190" t="inlineStr">
        <is>
          <t>Conjuration</t>
        </is>
      </c>
      <c r="D190" t="inlineStr">
        <is>
          <t>PHB 2024</t>
        </is>
      </c>
      <c r="E190">
        <f>IF($L$1="","",IF(INDEX(Matrix!$D181:$AA181,1,$L$1)=1,"OWNED",IF(Spells!$E$181&lt;&gt;"","RESTRICTED",IF($A190&gt;$L$2,"TOO HIGH",IF(Matrix!$BA181=0,"NOBODY HAS IT","CAN COPY")))))</f>
        <v/>
      </c>
      <c r="F190">
        <f>Matrix!$AZ181</f>
        <v/>
      </c>
      <c r="G190">
        <f>$A190*50</f>
        <v/>
      </c>
      <c r="H190">
        <f>IF($A190&lt;=4,1,2)</f>
        <v/>
      </c>
      <c r="I190" s="12" t="n"/>
    </row>
    <row r="191">
      <c r="A191" t="n">
        <v>4</v>
      </c>
      <c r="B191" t="inlineStr">
        <is>
          <t>Locate Creature</t>
        </is>
      </c>
      <c r="C191" t="inlineStr">
        <is>
          <t>Divination</t>
        </is>
      </c>
      <c r="D191" t="inlineStr">
        <is>
          <t>PHB 2024</t>
        </is>
      </c>
      <c r="E191">
        <f>IF($L$1="","",IF(INDEX(Matrix!$D182:$AA182,1,$L$1)=1,"OWNED",IF(Spells!$E$182&lt;&gt;"","RESTRICTED",IF($A191&gt;$L$2,"TOO HIGH",IF(Matrix!$BA182=0,"NOBODY HAS IT","CAN COPY")))))</f>
        <v/>
      </c>
      <c r="F191">
        <f>Matrix!$AZ182</f>
        <v/>
      </c>
      <c r="G191">
        <f>$A191*50</f>
        <v/>
      </c>
      <c r="H191">
        <f>IF($A191&lt;=4,1,2)</f>
        <v/>
      </c>
      <c r="I191" s="12" t="n"/>
    </row>
    <row r="192">
      <c r="A192" t="n">
        <v>4</v>
      </c>
      <c r="B192" t="inlineStr">
        <is>
          <t>Mordenkainen's Faithful Hound</t>
        </is>
      </c>
      <c r="C192" t="inlineStr">
        <is>
          <t>Conjuration</t>
        </is>
      </c>
      <c r="D192" t="inlineStr">
        <is>
          <t>PHB 2024</t>
        </is>
      </c>
      <c r="E192">
        <f>IF($L$1="","",IF(INDEX(Matrix!$D183:$AA183,1,$L$1)=1,"OWNED",IF(Spells!$E$183&lt;&gt;"","RESTRICTED",IF($A192&gt;$L$2,"TOO HIGH",IF(Matrix!$BA183=0,"NOBODY HAS IT","CAN COPY")))))</f>
        <v/>
      </c>
      <c r="F192">
        <f>Matrix!$AZ183</f>
        <v/>
      </c>
      <c r="G192">
        <f>$A192*50</f>
        <v/>
      </c>
      <c r="H192">
        <f>IF($A192&lt;=4,1,2)</f>
        <v/>
      </c>
      <c r="I192" s="12" t="n"/>
    </row>
    <row r="193">
      <c r="A193" t="n">
        <v>4</v>
      </c>
      <c r="B193" t="inlineStr">
        <is>
          <t>Mordenkainen's Private Sanctum</t>
        </is>
      </c>
      <c r="C193" t="inlineStr">
        <is>
          <t>Abjuration</t>
        </is>
      </c>
      <c r="D193" t="inlineStr">
        <is>
          <t>PHB 2024</t>
        </is>
      </c>
      <c r="E193">
        <f>IF($L$1="","",IF(INDEX(Matrix!$D184:$AA184,1,$L$1)=1,"OWNED",IF(Spells!$E$184&lt;&gt;"","RESTRICTED",IF($A193&gt;$L$2,"TOO HIGH",IF(Matrix!$BA184=0,"NOBODY HAS IT","CAN COPY")))))</f>
        <v/>
      </c>
      <c r="F193">
        <f>Matrix!$AZ184</f>
        <v/>
      </c>
      <c r="G193">
        <f>$A193*50</f>
        <v/>
      </c>
      <c r="H193">
        <f>IF($A193&lt;=4,1,2)</f>
        <v/>
      </c>
      <c r="I193" s="12" t="n"/>
    </row>
    <row r="194">
      <c r="A194" t="n">
        <v>4</v>
      </c>
      <c r="B194" t="inlineStr">
        <is>
          <t>Otiluke's Resilient Sphere</t>
        </is>
      </c>
      <c r="C194" t="inlineStr">
        <is>
          <t>Abjuration</t>
        </is>
      </c>
      <c r="D194" t="inlineStr">
        <is>
          <t>PHB 2024</t>
        </is>
      </c>
      <c r="E194">
        <f>IF($L$1="","",IF(INDEX(Matrix!$D185:$AA185,1,$L$1)=1,"OWNED",IF(Spells!$E$185&lt;&gt;"","RESTRICTED",IF($A194&gt;$L$2,"TOO HIGH",IF(Matrix!$BA185=0,"NOBODY HAS IT","CAN COPY")))))</f>
        <v/>
      </c>
      <c r="F194">
        <f>Matrix!$AZ185</f>
        <v/>
      </c>
      <c r="G194">
        <f>$A194*50</f>
        <v/>
      </c>
      <c r="H194">
        <f>IF($A194&lt;=4,1,2)</f>
        <v/>
      </c>
      <c r="I194" s="12" t="n"/>
    </row>
    <row r="195">
      <c r="A195" t="n">
        <v>4</v>
      </c>
      <c r="B195" t="inlineStr">
        <is>
          <t>Phantasmal Killer</t>
        </is>
      </c>
      <c r="C195" t="inlineStr">
        <is>
          <t>Illusion</t>
        </is>
      </c>
      <c r="D195" t="inlineStr">
        <is>
          <t>PHB 2024</t>
        </is>
      </c>
      <c r="E195">
        <f>IF($L$1="","",IF(INDEX(Matrix!$D186:$AA186,1,$L$1)=1,"OWNED",IF(Spells!$E$186&lt;&gt;"","RESTRICTED",IF($A195&gt;$L$2,"TOO HIGH",IF(Matrix!$BA186=0,"NOBODY HAS IT","CAN COPY")))))</f>
        <v/>
      </c>
      <c r="F195">
        <f>Matrix!$AZ186</f>
        <v/>
      </c>
      <c r="G195">
        <f>$A195*50</f>
        <v/>
      </c>
      <c r="H195">
        <f>IF($A195&lt;=4,1,2)</f>
        <v/>
      </c>
      <c r="I195" s="12" t="n"/>
    </row>
    <row r="196">
      <c r="A196" t="n">
        <v>4</v>
      </c>
      <c r="B196" t="inlineStr">
        <is>
          <t>Polymorph</t>
        </is>
      </c>
      <c r="C196" t="inlineStr">
        <is>
          <t>Transmutation</t>
        </is>
      </c>
      <c r="D196" t="inlineStr">
        <is>
          <t>PHB 2024</t>
        </is>
      </c>
      <c r="E196">
        <f>IF($L$1="","",IF(INDEX(Matrix!$D187:$AA187,1,$L$1)=1,"OWNED",IF(Spells!$E$187&lt;&gt;"","RESTRICTED",IF($A196&gt;$L$2,"TOO HIGH",IF(Matrix!$BA187=0,"NOBODY HAS IT","CAN COPY")))))</f>
        <v/>
      </c>
      <c r="F196">
        <f>Matrix!$AZ187</f>
        <v/>
      </c>
      <c r="G196">
        <f>$A196*50</f>
        <v/>
      </c>
      <c r="H196">
        <f>IF($A196&lt;=4,1,2)</f>
        <v/>
      </c>
      <c r="I196" s="12" t="n"/>
    </row>
    <row r="197">
      <c r="A197" t="n">
        <v>4</v>
      </c>
      <c r="B197" t="inlineStr">
        <is>
          <t>Raulothim's Psychic Lance</t>
        </is>
      </c>
      <c r="C197" t="inlineStr">
        <is>
          <t>Enchantment</t>
        </is>
      </c>
      <c r="D197" t="inlineStr">
        <is>
          <t>Fizban's</t>
        </is>
      </c>
      <c r="E197">
        <f>IF($L$1="","",IF(INDEX(Matrix!$D188:$AA188,1,$L$1)=1,"OWNED",IF(Spells!$E$188&lt;&gt;"","RESTRICTED",IF($A197&gt;$L$2,"TOO HIGH",IF(Matrix!$BA188=0,"NOBODY HAS IT","CAN COPY")))))</f>
        <v/>
      </c>
      <c r="F197">
        <f>Matrix!$AZ188</f>
        <v/>
      </c>
      <c r="G197">
        <f>$A197*50</f>
        <v/>
      </c>
      <c r="H197">
        <f>IF($A197&lt;=4,1,2)</f>
        <v/>
      </c>
      <c r="I197" s="12" t="n"/>
    </row>
    <row r="198">
      <c r="A198" t="n">
        <v>4</v>
      </c>
      <c r="B198" t="inlineStr">
        <is>
          <t>Sickening Radiance</t>
        </is>
      </c>
      <c r="C198" t="inlineStr">
        <is>
          <t>Evocation</t>
        </is>
      </c>
      <c r="D198" t="inlineStr">
        <is>
          <t>Xanathar's Guide</t>
        </is>
      </c>
      <c r="E198">
        <f>IF($L$1="","",IF(INDEX(Matrix!$D189:$AA189,1,$L$1)=1,"OWNED",IF(Spells!$E$189&lt;&gt;"","RESTRICTED",IF($A198&gt;$L$2,"TOO HIGH",IF(Matrix!$BA189=0,"NOBODY HAS IT","CAN COPY")))))</f>
        <v/>
      </c>
      <c r="F198">
        <f>Matrix!$AZ189</f>
        <v/>
      </c>
      <c r="G198">
        <f>$A198*50</f>
        <v/>
      </c>
      <c r="H198">
        <f>IF($A198&lt;=4,1,2)</f>
        <v/>
      </c>
      <c r="I198" s="12" t="n"/>
    </row>
    <row r="199">
      <c r="A199" t="n">
        <v>4</v>
      </c>
      <c r="B199" t="inlineStr">
        <is>
          <t>Spellfire Storm</t>
        </is>
      </c>
      <c r="C199" t="inlineStr">
        <is>
          <t>Evocation</t>
        </is>
      </c>
      <c r="D199" t="inlineStr">
        <is>
          <t>Heroes of Faerun</t>
        </is>
      </c>
      <c r="E199">
        <f>IF($L$1="","",IF(INDEX(Matrix!$D190:$AA190,1,$L$1)=1,"OWNED",IF(Spells!$E$190&lt;&gt;"","RESTRICTED",IF($A199&gt;$L$2,"TOO HIGH",IF(Matrix!$BA190=0,"NOBODY HAS IT","CAN COPY")))))</f>
        <v/>
      </c>
      <c r="F199">
        <f>Matrix!$AZ190</f>
        <v/>
      </c>
      <c r="G199">
        <f>$A199*50</f>
        <v/>
      </c>
      <c r="H199">
        <f>IF($A199&lt;=4,1,2)</f>
        <v/>
      </c>
      <c r="I199" s="12" t="n"/>
    </row>
    <row r="200">
      <c r="A200" t="n">
        <v>4</v>
      </c>
      <c r="B200" t="inlineStr">
        <is>
          <t>Spirit of Death</t>
        </is>
      </c>
      <c r="C200" t="inlineStr">
        <is>
          <t>Necromancy</t>
        </is>
      </c>
      <c r="D200" t="inlineStr">
        <is>
          <t>Book of Many Things</t>
        </is>
      </c>
      <c r="E200">
        <f>IF($L$1="","",IF(INDEX(Matrix!$D191:$AA191,1,$L$1)=1,"OWNED",IF(Spells!$E$191&lt;&gt;"","RESTRICTED",IF($A200&gt;$L$2,"TOO HIGH",IF(Matrix!$BA191=0,"NOBODY HAS IT","CAN COPY")))))</f>
        <v/>
      </c>
      <c r="F200">
        <f>Matrix!$AZ191</f>
        <v/>
      </c>
      <c r="G200">
        <f>$A200*50</f>
        <v/>
      </c>
      <c r="H200">
        <f>IF($A200&lt;=4,1,2)</f>
        <v/>
      </c>
      <c r="I200" s="12" t="n"/>
    </row>
    <row r="201">
      <c r="A201" t="n">
        <v>4</v>
      </c>
      <c r="B201" t="inlineStr">
        <is>
          <t>Stone Shape</t>
        </is>
      </c>
      <c r="C201" t="inlineStr">
        <is>
          <t>Transmutation</t>
        </is>
      </c>
      <c r="D201" t="inlineStr">
        <is>
          <t>PHB 2024</t>
        </is>
      </c>
      <c r="E201">
        <f>IF($L$1="","",IF(INDEX(Matrix!$D192:$AA192,1,$L$1)=1,"OWNED",IF(Spells!$E$192&lt;&gt;"","RESTRICTED",IF($A201&gt;$L$2,"TOO HIGH",IF(Matrix!$BA192=0,"NOBODY HAS IT","CAN COPY")))))</f>
        <v/>
      </c>
      <c r="F201">
        <f>Matrix!$AZ192</f>
        <v/>
      </c>
      <c r="G201">
        <f>$A201*50</f>
        <v/>
      </c>
      <c r="H201">
        <f>IF($A201&lt;=4,1,2)</f>
        <v/>
      </c>
      <c r="I201" s="12" t="n"/>
    </row>
    <row r="202">
      <c r="A202" t="n">
        <v>4</v>
      </c>
      <c r="B202" t="inlineStr">
        <is>
          <t>Stoneskin</t>
        </is>
      </c>
      <c r="C202" t="inlineStr">
        <is>
          <t>Transmutation</t>
        </is>
      </c>
      <c r="D202" t="inlineStr">
        <is>
          <t>PHB 2024</t>
        </is>
      </c>
      <c r="E202">
        <f>IF($L$1="","",IF(INDEX(Matrix!$D193:$AA193,1,$L$1)=1,"OWNED",IF(Spells!$E$193&lt;&gt;"","RESTRICTED",IF($A202&gt;$L$2,"TOO HIGH",IF(Matrix!$BA193=0,"NOBODY HAS IT","CAN COPY")))))</f>
        <v/>
      </c>
      <c r="F202">
        <f>Matrix!$AZ193</f>
        <v/>
      </c>
      <c r="G202">
        <f>$A202*50</f>
        <v/>
      </c>
      <c r="H202">
        <f>IF($A202&lt;=4,1,2)</f>
        <v/>
      </c>
      <c r="I202" s="12" t="n"/>
    </row>
    <row r="203">
      <c r="A203" t="n">
        <v>4</v>
      </c>
      <c r="B203" t="inlineStr">
        <is>
          <t>Storm Sphere</t>
        </is>
      </c>
      <c r="C203" t="inlineStr">
        <is>
          <t>Evocation</t>
        </is>
      </c>
      <c r="D203" t="inlineStr">
        <is>
          <t>Xanathar's Guide</t>
        </is>
      </c>
      <c r="E203">
        <f>IF($L$1="","",IF(INDEX(Matrix!$D194:$AA194,1,$L$1)=1,"OWNED",IF(Spells!$E$194&lt;&gt;"","RESTRICTED",IF($A203&gt;$L$2,"TOO HIGH",IF(Matrix!$BA194=0,"NOBODY HAS IT","CAN COPY")))))</f>
        <v/>
      </c>
      <c r="F203">
        <f>Matrix!$AZ194</f>
        <v/>
      </c>
      <c r="G203">
        <f>$A203*50</f>
        <v/>
      </c>
      <c r="H203">
        <f>IF($A203&lt;=4,1,2)</f>
        <v/>
      </c>
      <c r="I203" s="12" t="n"/>
    </row>
    <row r="204">
      <c r="A204" t="n">
        <v>4</v>
      </c>
      <c r="B204" t="inlineStr">
        <is>
          <t>Summon Aberration</t>
        </is>
      </c>
      <c r="C204" t="inlineStr">
        <is>
          <t>Conjuration</t>
        </is>
      </c>
      <c r="D204" t="inlineStr">
        <is>
          <t>PHB 2024</t>
        </is>
      </c>
      <c r="E204">
        <f>IF($L$1="","",IF(INDEX(Matrix!$D195:$AA195,1,$L$1)=1,"OWNED",IF(Spells!$E$195&lt;&gt;"","RESTRICTED",IF($A204&gt;$L$2,"TOO HIGH",IF(Matrix!$BA195=0,"NOBODY HAS IT","CAN COPY")))))</f>
        <v/>
      </c>
      <c r="F204">
        <f>Matrix!$AZ195</f>
        <v/>
      </c>
      <c r="G204">
        <f>$A204*50</f>
        <v/>
      </c>
      <c r="H204">
        <f>IF($A204&lt;=4,1,2)</f>
        <v/>
      </c>
      <c r="I204" s="12" t="n"/>
    </row>
    <row r="205">
      <c r="A205" t="n">
        <v>4</v>
      </c>
      <c r="B205" t="inlineStr">
        <is>
          <t>Summon Construct</t>
        </is>
      </c>
      <c r="C205" t="inlineStr">
        <is>
          <t>Conjuration</t>
        </is>
      </c>
      <c r="D205" t="inlineStr">
        <is>
          <t>PHB 2024</t>
        </is>
      </c>
      <c r="E205">
        <f>IF($L$1="","",IF(INDEX(Matrix!$D196:$AA196,1,$L$1)=1,"OWNED",IF(Spells!$E$196&lt;&gt;"","RESTRICTED",IF($A205&gt;$L$2,"TOO HIGH",IF(Matrix!$BA196=0,"NOBODY HAS IT","CAN COPY")))))</f>
        <v/>
      </c>
      <c r="F205">
        <f>Matrix!$AZ196</f>
        <v/>
      </c>
      <c r="G205">
        <f>$A205*50</f>
        <v/>
      </c>
      <c r="H205">
        <f>IF($A205&lt;=4,1,2)</f>
        <v/>
      </c>
      <c r="I205" s="12" t="n"/>
    </row>
    <row r="206">
      <c r="A206" t="n">
        <v>4</v>
      </c>
      <c r="B206" t="inlineStr">
        <is>
          <t>Summon Elemental</t>
        </is>
      </c>
      <c r="C206" t="inlineStr">
        <is>
          <t>Conjuration</t>
        </is>
      </c>
      <c r="D206" t="inlineStr">
        <is>
          <t>PHB 2024</t>
        </is>
      </c>
      <c r="E206">
        <f>IF($L$1="","",IF(INDEX(Matrix!$D197:$AA197,1,$L$1)=1,"OWNED",IF(Spells!$E$197&lt;&gt;"","RESTRICTED",IF($A206&gt;$L$2,"TOO HIGH",IF(Matrix!$BA197=0,"NOBODY HAS IT","CAN COPY")))))</f>
        <v/>
      </c>
      <c r="F206">
        <f>Matrix!$AZ197</f>
        <v/>
      </c>
      <c r="G206">
        <f>$A206*50</f>
        <v/>
      </c>
      <c r="H206">
        <f>IF($A206&lt;=4,1,2)</f>
        <v/>
      </c>
      <c r="I206" s="12" t="n"/>
    </row>
    <row r="207">
      <c r="A207" t="n">
        <v>4</v>
      </c>
      <c r="B207" t="inlineStr">
        <is>
          <t>Summon Greater Demon</t>
        </is>
      </c>
      <c r="C207" t="inlineStr">
        <is>
          <t>Conjuration</t>
        </is>
      </c>
      <c r="D207" t="inlineStr">
        <is>
          <t>Xanathar's Guide</t>
        </is>
      </c>
      <c r="E207">
        <f>IF($L$1="","",IF(INDEX(Matrix!$D198:$AA198,1,$L$1)=1,"OWNED",IF(Spells!$E$198&lt;&gt;"","RESTRICTED",IF($A207&gt;$L$2,"TOO HIGH",IF(Matrix!$BA198=0,"NOBODY HAS IT","CAN COPY")))))</f>
        <v/>
      </c>
      <c r="F207">
        <f>Matrix!$AZ198</f>
        <v/>
      </c>
      <c r="G207">
        <f>$A207*50</f>
        <v/>
      </c>
      <c r="H207">
        <f>IF($A207&lt;=4,1,2)</f>
        <v/>
      </c>
      <c r="I207" s="12" t="n"/>
    </row>
    <row r="208">
      <c r="A208" t="n">
        <v>4</v>
      </c>
      <c r="B208" t="inlineStr">
        <is>
          <t>Vitriolic Sphere</t>
        </is>
      </c>
      <c r="C208" t="inlineStr">
        <is>
          <t>Evocation</t>
        </is>
      </c>
      <c r="D208" t="inlineStr">
        <is>
          <t>PHB 2024</t>
        </is>
      </c>
      <c r="E208">
        <f>IF($L$1="","",IF(INDEX(Matrix!$D199:$AA199,1,$L$1)=1,"OWNED",IF(Spells!$E$199&lt;&gt;"","RESTRICTED",IF($A208&gt;$L$2,"TOO HIGH",IF(Matrix!$BA199=0,"NOBODY HAS IT","CAN COPY")))))</f>
        <v/>
      </c>
      <c r="F208">
        <f>Matrix!$AZ199</f>
        <v/>
      </c>
      <c r="G208">
        <f>$A208*50</f>
        <v/>
      </c>
      <c r="H208">
        <f>IF($A208&lt;=4,1,2)</f>
        <v/>
      </c>
      <c r="I208" s="12" t="n"/>
    </row>
    <row r="209">
      <c r="A209" t="n">
        <v>4</v>
      </c>
      <c r="B209" t="inlineStr">
        <is>
          <t>Wall of Fire</t>
        </is>
      </c>
      <c r="C209" t="inlineStr">
        <is>
          <t>Evocation</t>
        </is>
      </c>
      <c r="D209" t="inlineStr">
        <is>
          <t>PHB 2024</t>
        </is>
      </c>
      <c r="E209">
        <f>IF($L$1="","",IF(INDEX(Matrix!$D200:$AA200,1,$L$1)=1,"OWNED",IF(Spells!$E$200&lt;&gt;"","RESTRICTED",IF($A209&gt;$L$2,"TOO HIGH",IF(Matrix!$BA200=0,"NOBODY HAS IT","CAN COPY")))))</f>
        <v/>
      </c>
      <c r="F209">
        <f>Matrix!$AZ200</f>
        <v/>
      </c>
      <c r="G209">
        <f>$A209*50</f>
        <v/>
      </c>
      <c r="H209">
        <f>IF($A209&lt;=4,1,2)</f>
        <v/>
      </c>
      <c r="I209" s="12" t="n"/>
    </row>
    <row r="210">
      <c r="A210" t="n">
        <v>4</v>
      </c>
      <c r="B210" t="inlineStr">
        <is>
          <t>Watery Sphere</t>
        </is>
      </c>
      <c r="C210" t="inlineStr">
        <is>
          <t>Conjuration</t>
        </is>
      </c>
      <c r="D210" t="inlineStr">
        <is>
          <t>Xanathar's Guide</t>
        </is>
      </c>
      <c r="E210">
        <f>IF($L$1="","",IF(INDEX(Matrix!$D201:$AA201,1,$L$1)=1,"OWNED",IF(Spells!$E$201&lt;&gt;"","RESTRICTED",IF($A210&gt;$L$2,"TOO HIGH",IF(Matrix!$BA201=0,"NOBODY HAS IT","CAN COPY")))))</f>
        <v/>
      </c>
      <c r="F210">
        <f>Matrix!$AZ201</f>
        <v/>
      </c>
      <c r="G210">
        <f>$A210*50</f>
        <v/>
      </c>
      <c r="H210">
        <f>IF($A210&lt;=4,1,2)</f>
        <v/>
      </c>
      <c r="I210" s="12" t="n"/>
    </row>
    <row r="211">
      <c r="A211" t="n">
        <v>5</v>
      </c>
      <c r="B211" t="inlineStr">
        <is>
          <t>Alustriel's Mooncloak</t>
        </is>
      </c>
      <c r="C211" t="inlineStr">
        <is>
          <t>Abjuration</t>
        </is>
      </c>
      <c r="D211" t="inlineStr">
        <is>
          <t>Heroes of Faerun</t>
        </is>
      </c>
      <c r="E211">
        <f>IF($L$1="","",IF(INDEX(Matrix!$D202:$AA202,1,$L$1)=1,"OWNED",IF(Spells!$E$202&lt;&gt;"","RESTRICTED",IF($A211&gt;$L$2,"TOO HIGH",IF(Matrix!$BA202=0,"NOBODY HAS IT","CAN COPY")))))</f>
        <v/>
      </c>
      <c r="F211">
        <f>Matrix!$AZ202</f>
        <v/>
      </c>
      <c r="G211">
        <f>$A211*50</f>
        <v/>
      </c>
      <c r="H211">
        <f>IF($A211&lt;=4,1,2)</f>
        <v/>
      </c>
      <c r="I211" s="12" t="n"/>
    </row>
    <row r="212">
      <c r="A212" t="n">
        <v>5</v>
      </c>
      <c r="B212" t="inlineStr">
        <is>
          <t>Animate Objects</t>
        </is>
      </c>
      <c r="C212" t="inlineStr">
        <is>
          <t>Transmutation</t>
        </is>
      </c>
      <c r="D212" t="inlineStr">
        <is>
          <t>PHB 2024</t>
        </is>
      </c>
      <c r="E212">
        <f>IF($L$1="","",IF(INDEX(Matrix!$D203:$AA203,1,$L$1)=1,"OWNED",IF(Spells!$E$203&lt;&gt;"","RESTRICTED",IF($A212&gt;$L$2,"TOO HIGH",IF(Matrix!$BA203=0,"NOBODY HAS IT","CAN COPY")))))</f>
        <v/>
      </c>
      <c r="F212">
        <f>Matrix!$AZ203</f>
        <v/>
      </c>
      <c r="G212">
        <f>$A212*50</f>
        <v/>
      </c>
      <c r="H212">
        <f>IF($A212&lt;=4,1,2)</f>
        <v/>
      </c>
      <c r="I212" s="12" t="n"/>
    </row>
    <row r="213">
      <c r="A213" t="n">
        <v>5</v>
      </c>
      <c r="B213" t="inlineStr">
        <is>
          <t>Bigby's Hand</t>
        </is>
      </c>
      <c r="C213" t="inlineStr">
        <is>
          <t>Evocation</t>
        </is>
      </c>
      <c r="D213" t="inlineStr">
        <is>
          <t>PHB 2024</t>
        </is>
      </c>
      <c r="E213">
        <f>IF($L$1="","",IF(INDEX(Matrix!$D204:$AA204,1,$L$1)=1,"OWNED",IF(Spells!$E$204&lt;&gt;"","RESTRICTED",IF($A213&gt;$L$2,"TOO HIGH",IF(Matrix!$BA204=0,"NOBODY HAS IT","CAN COPY")))))</f>
        <v/>
      </c>
      <c r="F213">
        <f>Matrix!$AZ204</f>
        <v/>
      </c>
      <c r="G213">
        <f>$A213*50</f>
        <v/>
      </c>
      <c r="H213">
        <f>IF($A213&lt;=4,1,2)</f>
        <v/>
      </c>
      <c r="I213" s="12" t="n"/>
    </row>
    <row r="214">
      <c r="A214" t="n">
        <v>5</v>
      </c>
      <c r="B214" t="inlineStr">
        <is>
          <t>Circle of Power</t>
        </is>
      </c>
      <c r="C214" t="inlineStr">
        <is>
          <t>Abjuration</t>
        </is>
      </c>
      <c r="D214" t="inlineStr">
        <is>
          <t>PHB 2024</t>
        </is>
      </c>
      <c r="E214">
        <f>IF($L$1="","",IF(INDEX(Matrix!$D205:$AA205,1,$L$1)=1,"OWNED",IF(Spells!$E$205&lt;&gt;"","RESTRICTED",IF($A214&gt;$L$2,"TOO HIGH",IF(Matrix!$BA205=0,"NOBODY HAS IT","CAN COPY")))))</f>
        <v/>
      </c>
      <c r="F214">
        <f>Matrix!$AZ205</f>
        <v/>
      </c>
      <c r="G214">
        <f>$A214*50</f>
        <v/>
      </c>
      <c r="H214">
        <f>IF($A214&lt;=4,1,2)</f>
        <v/>
      </c>
      <c r="I214" s="12" t="n"/>
    </row>
    <row r="215">
      <c r="A215" t="n">
        <v>5</v>
      </c>
      <c r="B215" t="inlineStr">
        <is>
          <t>Cloudkill</t>
        </is>
      </c>
      <c r="C215" t="inlineStr">
        <is>
          <t>Conjuration</t>
        </is>
      </c>
      <c r="D215" t="inlineStr">
        <is>
          <t>PHB 2024</t>
        </is>
      </c>
      <c r="E215">
        <f>IF($L$1="","",IF(INDEX(Matrix!$D206:$AA206,1,$L$1)=1,"OWNED",IF(Spells!$E$206&lt;&gt;"","RESTRICTED",IF($A215&gt;$L$2,"TOO HIGH",IF(Matrix!$BA206=0,"NOBODY HAS IT","CAN COPY")))))</f>
        <v/>
      </c>
      <c r="F215">
        <f>Matrix!$AZ206</f>
        <v/>
      </c>
      <c r="G215">
        <f>$A215*50</f>
        <v/>
      </c>
      <c r="H215">
        <f>IF($A215&lt;=4,1,2)</f>
        <v/>
      </c>
      <c r="I215" s="12" t="n"/>
    </row>
    <row r="216">
      <c r="A216" t="n">
        <v>5</v>
      </c>
      <c r="B216" t="inlineStr">
        <is>
          <t>Cone of Cold</t>
        </is>
      </c>
      <c r="C216" t="inlineStr">
        <is>
          <t>Evocation</t>
        </is>
      </c>
      <c r="D216" t="inlineStr">
        <is>
          <t>PHB 2024</t>
        </is>
      </c>
      <c r="E216">
        <f>IF($L$1="","",IF(INDEX(Matrix!$D207:$AA207,1,$L$1)=1,"OWNED",IF(Spells!$E$207&lt;&gt;"","RESTRICTED",IF($A216&gt;$L$2,"TOO HIGH",IF(Matrix!$BA207=0,"NOBODY HAS IT","CAN COPY")))))</f>
        <v/>
      </c>
      <c r="F216">
        <f>Matrix!$AZ207</f>
        <v/>
      </c>
      <c r="G216">
        <f>$A216*50</f>
        <v/>
      </c>
      <c r="H216">
        <f>IF($A216&lt;=4,1,2)</f>
        <v/>
      </c>
      <c r="I216" s="12" t="n"/>
    </row>
    <row r="217">
      <c r="A217" t="n">
        <v>5</v>
      </c>
      <c r="B217" t="inlineStr">
        <is>
          <t>Conjure Elemental</t>
        </is>
      </c>
      <c r="C217" t="inlineStr">
        <is>
          <t>Conjuration</t>
        </is>
      </c>
      <c r="D217" t="inlineStr">
        <is>
          <t>PHB 2024</t>
        </is>
      </c>
      <c r="E217">
        <f>IF($L$1="","",IF(INDEX(Matrix!$D208:$AA208,1,$L$1)=1,"OWNED",IF(Spells!$E$208&lt;&gt;"","RESTRICTED",IF($A217&gt;$L$2,"TOO HIGH",IF(Matrix!$BA208=0,"NOBODY HAS IT","CAN COPY")))))</f>
        <v/>
      </c>
      <c r="F217">
        <f>Matrix!$AZ208</f>
        <v/>
      </c>
      <c r="G217">
        <f>$A217*50</f>
        <v/>
      </c>
      <c r="H217">
        <f>IF($A217&lt;=4,1,2)</f>
        <v/>
      </c>
      <c r="I217" s="12" t="n"/>
    </row>
    <row r="218">
      <c r="A218" t="n">
        <v>5</v>
      </c>
      <c r="B218" t="inlineStr">
        <is>
          <t>Contact Other Plane</t>
        </is>
      </c>
      <c r="C218" t="inlineStr">
        <is>
          <t>Divination</t>
        </is>
      </c>
      <c r="D218" t="inlineStr">
        <is>
          <t>PHB 2024</t>
        </is>
      </c>
      <c r="E218">
        <f>IF($L$1="","",IF(INDEX(Matrix!$D209:$AA209,1,$L$1)=1,"OWNED",IF(Spells!$E$209&lt;&gt;"","RESTRICTED",IF($A218&gt;$L$2,"TOO HIGH",IF(Matrix!$BA209=0,"NOBODY HAS IT","CAN COPY")))))</f>
        <v/>
      </c>
      <c r="F218">
        <f>Matrix!$AZ209</f>
        <v/>
      </c>
      <c r="G218">
        <f>$A218*50</f>
        <v/>
      </c>
      <c r="H218">
        <f>IF($A218&lt;=4,1,2)</f>
        <v/>
      </c>
      <c r="I218" s="12" t="n"/>
    </row>
    <row r="219">
      <c r="A219" t="n">
        <v>5</v>
      </c>
      <c r="B219" t="inlineStr">
        <is>
          <t>Control Winds</t>
        </is>
      </c>
      <c r="C219" t="inlineStr">
        <is>
          <t>Transmutation</t>
        </is>
      </c>
      <c r="D219" t="inlineStr">
        <is>
          <t>Xanathar's Guide</t>
        </is>
      </c>
      <c r="E219">
        <f>IF($L$1="","",IF(INDEX(Matrix!$D210:$AA210,1,$L$1)=1,"OWNED",IF(Spells!$E$210&lt;&gt;"","RESTRICTED",IF($A219&gt;$L$2,"TOO HIGH",IF(Matrix!$BA210=0,"NOBODY HAS IT","CAN COPY")))))</f>
        <v/>
      </c>
      <c r="F219">
        <f>Matrix!$AZ210</f>
        <v/>
      </c>
      <c r="G219">
        <f>$A219*50</f>
        <v/>
      </c>
      <c r="H219">
        <f>IF($A219&lt;=4,1,2)</f>
        <v/>
      </c>
      <c r="I219" s="12" t="n"/>
    </row>
    <row r="220">
      <c r="A220" t="n">
        <v>5</v>
      </c>
      <c r="B220" t="inlineStr">
        <is>
          <t>Create Spelljamming Helm</t>
        </is>
      </c>
      <c r="C220" t="inlineStr">
        <is>
          <t>Transmutation</t>
        </is>
      </c>
      <c r="D220" t="inlineStr">
        <is>
          <t>Spelljammer</t>
        </is>
      </c>
      <c r="E220">
        <f>IF($L$1="","",IF(INDEX(Matrix!$D211:$AA211,1,$L$1)=1,"OWNED",IF(Spells!$E$211&lt;&gt;"","RESTRICTED",IF($A220&gt;$L$2,"TOO HIGH",IF(Matrix!$BA211=0,"NOBODY HAS IT","CAN COPY")))))</f>
        <v/>
      </c>
      <c r="F220">
        <f>Matrix!$AZ211</f>
        <v/>
      </c>
      <c r="G220">
        <f>$A220*50</f>
        <v/>
      </c>
      <c r="H220">
        <f>IF($A220&lt;=4,1,2)</f>
        <v/>
      </c>
      <c r="I220" s="12" t="n"/>
    </row>
    <row r="221">
      <c r="A221" t="n">
        <v>5</v>
      </c>
      <c r="B221" t="inlineStr">
        <is>
          <t>Creation</t>
        </is>
      </c>
      <c r="C221" t="inlineStr">
        <is>
          <t>Illusion</t>
        </is>
      </c>
      <c r="D221" t="inlineStr">
        <is>
          <t>PHB 2024</t>
        </is>
      </c>
      <c r="E221">
        <f>IF($L$1="","",IF(INDEX(Matrix!$D212:$AA212,1,$L$1)=1,"OWNED",IF(Spells!$E$212&lt;&gt;"","RESTRICTED",IF($A221&gt;$L$2,"TOO HIGH",IF(Matrix!$BA212=0,"NOBODY HAS IT","CAN COPY")))))</f>
        <v/>
      </c>
      <c r="F221">
        <f>Matrix!$AZ212</f>
        <v/>
      </c>
      <c r="G221">
        <f>$A221*50</f>
        <v/>
      </c>
      <c r="H221">
        <f>IF($A221&lt;=4,1,2)</f>
        <v/>
      </c>
      <c r="I221" s="12" t="n"/>
    </row>
    <row r="222">
      <c r="A222" t="n">
        <v>5</v>
      </c>
      <c r="B222" t="inlineStr">
        <is>
          <t>Danse Macabre</t>
        </is>
      </c>
      <c r="C222" t="inlineStr">
        <is>
          <t>Necromancy</t>
        </is>
      </c>
      <c r="D222" t="inlineStr">
        <is>
          <t>Xanathar's Guide</t>
        </is>
      </c>
      <c r="E222">
        <f>IF($L$1="","",IF(INDEX(Matrix!$D213:$AA213,1,$L$1)=1,"OWNED",IF(Spells!$E$213&lt;&gt;"","RESTRICTED",IF($A222&gt;$L$2,"TOO HIGH",IF(Matrix!$BA213=0,"NOBODY HAS IT","CAN COPY")))))</f>
        <v/>
      </c>
      <c r="F222">
        <f>Matrix!$AZ213</f>
        <v/>
      </c>
      <c r="G222">
        <f>$A222*50</f>
        <v/>
      </c>
      <c r="H222">
        <f>IF($A222&lt;=4,1,2)</f>
        <v/>
      </c>
      <c r="I222" s="12" t="n"/>
    </row>
    <row r="223">
      <c r="A223" t="n">
        <v>5</v>
      </c>
      <c r="B223" t="inlineStr">
        <is>
          <t>Dawn</t>
        </is>
      </c>
      <c r="C223" t="inlineStr">
        <is>
          <t>Evocation</t>
        </is>
      </c>
      <c r="D223" t="inlineStr">
        <is>
          <t>Xanathar's Guide</t>
        </is>
      </c>
      <c r="E223">
        <f>IF($L$1="","",IF(INDEX(Matrix!$D214:$AA214,1,$L$1)=1,"OWNED",IF(Spells!$E$214&lt;&gt;"","RESTRICTED",IF($A223&gt;$L$2,"TOO HIGH",IF(Matrix!$BA214=0,"NOBODY HAS IT","CAN COPY")))))</f>
        <v/>
      </c>
      <c r="F223">
        <f>Matrix!$AZ214</f>
        <v/>
      </c>
      <c r="G223">
        <f>$A223*50</f>
        <v/>
      </c>
      <c r="H223">
        <f>IF($A223&lt;=4,1,2)</f>
        <v/>
      </c>
      <c r="I223" s="12" t="n"/>
    </row>
    <row r="224">
      <c r="A224" t="n">
        <v>5</v>
      </c>
      <c r="B224" t="inlineStr">
        <is>
          <t>Dominate Person</t>
        </is>
      </c>
      <c r="C224" t="inlineStr">
        <is>
          <t>Enchantment</t>
        </is>
      </c>
      <c r="D224" t="inlineStr">
        <is>
          <t>PHB 2024</t>
        </is>
      </c>
      <c r="E224">
        <f>IF($L$1="","",IF(INDEX(Matrix!$D215:$AA215,1,$L$1)=1,"OWNED",IF(Spells!$E$215&lt;&gt;"","RESTRICTED",IF($A224&gt;$L$2,"TOO HIGH",IF(Matrix!$BA215=0,"NOBODY HAS IT","CAN COPY")))))</f>
        <v/>
      </c>
      <c r="F224">
        <f>Matrix!$AZ215</f>
        <v/>
      </c>
      <c r="G224">
        <f>$A224*50</f>
        <v/>
      </c>
      <c r="H224">
        <f>IF($A224&lt;=4,1,2)</f>
        <v/>
      </c>
      <c r="I224" s="12" t="n"/>
    </row>
    <row r="225">
      <c r="A225" t="n">
        <v>5</v>
      </c>
      <c r="B225" t="inlineStr">
        <is>
          <t>Dream</t>
        </is>
      </c>
      <c r="C225" t="inlineStr">
        <is>
          <t>Illusion</t>
        </is>
      </c>
      <c r="D225" t="inlineStr">
        <is>
          <t>PHB 2024</t>
        </is>
      </c>
      <c r="E225">
        <f>IF($L$1="","",IF(INDEX(Matrix!$D216:$AA216,1,$L$1)=1,"OWNED",IF(Spells!$E$216&lt;&gt;"","RESTRICTED",IF($A225&gt;$L$2,"TOO HIGH",IF(Matrix!$BA216=0,"NOBODY HAS IT","CAN COPY")))))</f>
        <v/>
      </c>
      <c r="F225">
        <f>Matrix!$AZ216</f>
        <v/>
      </c>
      <c r="G225">
        <f>$A225*50</f>
        <v/>
      </c>
      <c r="H225">
        <f>IF($A225&lt;=4,1,2)</f>
        <v/>
      </c>
      <c r="I225" s="12" t="n"/>
    </row>
    <row r="226">
      <c r="A226" t="n">
        <v>5</v>
      </c>
      <c r="B226" t="inlineStr">
        <is>
          <t>Enervation</t>
        </is>
      </c>
      <c r="C226" t="inlineStr">
        <is>
          <t>Necromancy</t>
        </is>
      </c>
      <c r="D226" t="inlineStr">
        <is>
          <t>Arcana Unleashed</t>
        </is>
      </c>
      <c r="E226">
        <f>IF($L$1="","",IF(INDEX(Matrix!$D217:$AA217,1,$L$1)=1,"OWNED",IF(Spells!$E$217&lt;&gt;"","RESTRICTED",IF($A226&gt;$L$2,"TOO HIGH",IF(Matrix!$BA217=0,"NOBODY HAS IT","CAN COPY")))))</f>
        <v/>
      </c>
      <c r="F226">
        <f>Matrix!$AZ217</f>
        <v/>
      </c>
      <c r="G226">
        <f>$A226*50</f>
        <v/>
      </c>
      <c r="H226">
        <f>IF($A226&lt;=4,1,2)</f>
        <v/>
      </c>
      <c r="I226" s="12" t="n"/>
    </row>
    <row r="227">
      <c r="A227" t="n">
        <v>5</v>
      </c>
      <c r="B227" t="inlineStr">
        <is>
          <t>Far Step</t>
        </is>
      </c>
      <c r="C227" t="inlineStr">
        <is>
          <t>Conjuration</t>
        </is>
      </c>
      <c r="D227" t="inlineStr">
        <is>
          <t>Xanathar's Guide</t>
        </is>
      </c>
      <c r="E227">
        <f>IF($L$1="","",IF(INDEX(Matrix!$D218:$AA218,1,$L$1)=1,"OWNED",IF(Spells!$E$218&lt;&gt;"","RESTRICTED",IF($A227&gt;$L$2,"TOO HIGH",IF(Matrix!$BA218=0,"NOBODY HAS IT","CAN COPY")))))</f>
        <v/>
      </c>
      <c r="F227">
        <f>Matrix!$AZ218</f>
        <v/>
      </c>
      <c r="G227">
        <f>$A227*50</f>
        <v/>
      </c>
      <c r="H227">
        <f>IF($A227&lt;=4,1,2)</f>
        <v/>
      </c>
      <c r="I227" s="12" t="n"/>
    </row>
    <row r="228">
      <c r="A228" t="n">
        <v>5</v>
      </c>
      <c r="B228" t="inlineStr">
        <is>
          <t>Geas</t>
        </is>
      </c>
      <c r="C228" t="inlineStr">
        <is>
          <t>Enchantment</t>
        </is>
      </c>
      <c r="D228" t="inlineStr">
        <is>
          <t>PHB 2024</t>
        </is>
      </c>
      <c r="E228">
        <f>IF($L$1="","",IF(INDEX(Matrix!$D219:$AA219,1,$L$1)=1,"OWNED",IF(Spells!$E$219&lt;&gt;"","RESTRICTED",IF($A228&gt;$L$2,"TOO HIGH",IF(Matrix!$BA219=0,"NOBODY HAS IT","CAN COPY")))))</f>
        <v/>
      </c>
      <c r="F228">
        <f>Matrix!$AZ219</f>
        <v/>
      </c>
      <c r="G228">
        <f>$A228*50</f>
        <v/>
      </c>
      <c r="H228">
        <f>IF($A228&lt;=4,1,2)</f>
        <v/>
      </c>
      <c r="I228" s="12" t="n"/>
    </row>
    <row r="229">
      <c r="A229" t="n">
        <v>5</v>
      </c>
      <c r="B229" t="inlineStr">
        <is>
          <t>Grave Ground</t>
        </is>
      </c>
      <c r="C229" t="inlineStr">
        <is>
          <t>Necromancy</t>
        </is>
      </c>
      <c r="D229" t="inlineStr">
        <is>
          <t>Arcana Unleashed</t>
        </is>
      </c>
      <c r="E229">
        <f>IF($L$1="","",IF(INDEX(Matrix!$D220:$AA220,1,$L$1)=1,"OWNED",IF(Spells!$E$220&lt;&gt;"","RESTRICTED",IF($A229&gt;$L$2,"TOO HIGH",IF(Matrix!$BA220=0,"NOBODY HAS IT","CAN COPY")))))</f>
        <v/>
      </c>
      <c r="F229">
        <f>Matrix!$AZ220</f>
        <v/>
      </c>
      <c r="G229">
        <f>$A229*50</f>
        <v/>
      </c>
      <c r="H229">
        <f>IF($A229&lt;=4,1,2)</f>
        <v/>
      </c>
      <c r="I229" s="12" t="n"/>
    </row>
    <row r="230">
      <c r="A230" t="n">
        <v>5</v>
      </c>
      <c r="B230" t="inlineStr">
        <is>
          <t>Hold Monster</t>
        </is>
      </c>
      <c r="C230" t="inlineStr">
        <is>
          <t>Enchantment</t>
        </is>
      </c>
      <c r="D230" t="inlineStr">
        <is>
          <t>PHB 2024</t>
        </is>
      </c>
      <c r="E230">
        <f>IF($L$1="","",IF(INDEX(Matrix!$D221:$AA221,1,$L$1)=1,"OWNED",IF(Spells!$E$221&lt;&gt;"","RESTRICTED",IF($A230&gt;$L$2,"TOO HIGH",IF(Matrix!$BA221=0,"NOBODY HAS IT","CAN COPY")))))</f>
        <v/>
      </c>
      <c r="F230">
        <f>Matrix!$AZ221</f>
        <v/>
      </c>
      <c r="G230">
        <f>$A230*50</f>
        <v/>
      </c>
      <c r="H230">
        <f>IF($A230&lt;=4,1,2)</f>
        <v/>
      </c>
      <c r="I230" s="12" t="n"/>
    </row>
    <row r="231">
      <c r="A231" t="n">
        <v>5</v>
      </c>
      <c r="B231" t="inlineStr">
        <is>
          <t>Immolation</t>
        </is>
      </c>
      <c r="C231" t="inlineStr">
        <is>
          <t>Evocation</t>
        </is>
      </c>
      <c r="D231" t="inlineStr">
        <is>
          <t>Xanathar's Guide</t>
        </is>
      </c>
      <c r="E231">
        <f>IF($L$1="","",IF(INDEX(Matrix!$D222:$AA222,1,$L$1)=1,"OWNED",IF(Spells!$E$222&lt;&gt;"","RESTRICTED",IF($A231&gt;$L$2,"TOO HIGH",IF(Matrix!$BA222=0,"NOBODY HAS IT","CAN COPY")))))</f>
        <v/>
      </c>
      <c r="F231">
        <f>Matrix!$AZ222</f>
        <v/>
      </c>
      <c r="G231">
        <f>$A231*50</f>
        <v/>
      </c>
      <c r="H231">
        <f>IF($A231&lt;=4,1,2)</f>
        <v/>
      </c>
      <c r="I231" s="12" t="n"/>
    </row>
    <row r="232">
      <c r="A232" t="n">
        <v>5</v>
      </c>
      <c r="B232" t="inlineStr">
        <is>
          <t>Infernal Calling</t>
        </is>
      </c>
      <c r="C232" t="inlineStr">
        <is>
          <t>Conjuration</t>
        </is>
      </c>
      <c r="D232" t="inlineStr">
        <is>
          <t>Xanathar's Guide</t>
        </is>
      </c>
      <c r="E232">
        <f>IF($L$1="","",IF(INDEX(Matrix!$D223:$AA223,1,$L$1)=1,"OWNED",IF(Spells!$E$223&lt;&gt;"","RESTRICTED",IF($A232&gt;$L$2,"TOO HIGH",IF(Matrix!$BA223=0,"NOBODY HAS IT","CAN COPY")))))</f>
        <v/>
      </c>
      <c r="F232">
        <f>Matrix!$AZ223</f>
        <v/>
      </c>
      <c r="G232">
        <f>$A232*50</f>
        <v/>
      </c>
      <c r="H232">
        <f>IF($A232&lt;=4,1,2)</f>
        <v/>
      </c>
      <c r="I232" s="12" t="n"/>
    </row>
    <row r="233">
      <c r="A233" t="n">
        <v>5</v>
      </c>
      <c r="B233" t="inlineStr">
        <is>
          <t>Jallarzi's Storm of Radiance</t>
        </is>
      </c>
      <c r="C233" t="inlineStr">
        <is>
          <t>Evocation</t>
        </is>
      </c>
      <c r="D233" t="inlineStr">
        <is>
          <t>PHB 2024</t>
        </is>
      </c>
      <c r="E233">
        <f>IF($L$1="","",IF(INDEX(Matrix!$D224:$AA224,1,$L$1)=1,"OWNED",IF(Spells!$E$224&lt;&gt;"","RESTRICTED",IF($A233&gt;$L$2,"TOO HIGH",IF(Matrix!$BA224=0,"NOBODY HAS IT","CAN COPY")))))</f>
        <v/>
      </c>
      <c r="F233">
        <f>Matrix!$AZ224</f>
        <v/>
      </c>
      <c r="G233">
        <f>$A233*50</f>
        <v/>
      </c>
      <c r="H233">
        <f>IF($A233&lt;=4,1,2)</f>
        <v/>
      </c>
      <c r="I233" s="12" t="n"/>
    </row>
    <row r="234">
      <c r="A234" t="n">
        <v>5</v>
      </c>
      <c r="B234" t="inlineStr">
        <is>
          <t>Legend Lore</t>
        </is>
      </c>
      <c r="C234" t="inlineStr">
        <is>
          <t>Divination</t>
        </is>
      </c>
      <c r="D234" t="inlineStr">
        <is>
          <t>PHB 2024</t>
        </is>
      </c>
      <c r="E234">
        <f>IF($L$1="","",IF(INDEX(Matrix!$D225:$AA225,1,$L$1)=1,"OWNED",IF(Spells!$E$225&lt;&gt;"","RESTRICTED",IF($A234&gt;$L$2,"TOO HIGH",IF(Matrix!$BA225=0,"NOBODY HAS IT","CAN COPY")))))</f>
        <v/>
      </c>
      <c r="F234">
        <f>Matrix!$AZ225</f>
        <v/>
      </c>
      <c r="G234">
        <f>$A234*50</f>
        <v/>
      </c>
      <c r="H234">
        <f>IF($A234&lt;=4,1,2)</f>
        <v/>
      </c>
      <c r="I234" s="12" t="n"/>
    </row>
    <row r="235">
      <c r="A235" t="n">
        <v>5</v>
      </c>
      <c r="B235" t="inlineStr">
        <is>
          <t>Mislead</t>
        </is>
      </c>
      <c r="C235" t="inlineStr">
        <is>
          <t>Illusion</t>
        </is>
      </c>
      <c r="D235" t="inlineStr">
        <is>
          <t>PHB 2024</t>
        </is>
      </c>
      <c r="E235">
        <f>IF($L$1="","",IF(INDEX(Matrix!$D226:$AA226,1,$L$1)=1,"OWNED",IF(Spells!$E$226&lt;&gt;"","RESTRICTED",IF($A235&gt;$L$2,"TOO HIGH",IF(Matrix!$BA226=0,"NOBODY HAS IT","CAN COPY")))))</f>
        <v/>
      </c>
      <c r="F235">
        <f>Matrix!$AZ226</f>
        <v/>
      </c>
      <c r="G235">
        <f>$A235*50</f>
        <v/>
      </c>
      <c r="H235">
        <f>IF($A235&lt;=4,1,2)</f>
        <v/>
      </c>
      <c r="I235" s="12" t="n"/>
    </row>
    <row r="236">
      <c r="A236" t="n">
        <v>5</v>
      </c>
      <c r="B236" t="inlineStr">
        <is>
          <t>Modify Memory</t>
        </is>
      </c>
      <c r="C236" t="inlineStr">
        <is>
          <t>Enchantment</t>
        </is>
      </c>
      <c r="D236" t="inlineStr">
        <is>
          <t>PHB 2024</t>
        </is>
      </c>
      <c r="E236">
        <f>IF($L$1="","",IF(INDEX(Matrix!$D227:$AA227,1,$L$1)=1,"OWNED",IF(Spells!$E$227&lt;&gt;"","RESTRICTED",IF($A236&gt;$L$2,"TOO HIGH",IF(Matrix!$BA227=0,"NOBODY HAS IT","CAN COPY")))))</f>
        <v/>
      </c>
      <c r="F236">
        <f>Matrix!$AZ227</f>
        <v/>
      </c>
      <c r="G236">
        <f>$A236*50</f>
        <v/>
      </c>
      <c r="H236">
        <f>IF($A236&lt;=4,1,2)</f>
        <v/>
      </c>
      <c r="I236" s="12" t="n"/>
    </row>
    <row r="237">
      <c r="A237" t="n">
        <v>5</v>
      </c>
      <c r="B237" t="inlineStr">
        <is>
          <t>Mordenkainen’s Lucubration</t>
        </is>
      </c>
      <c r="C237" t="inlineStr">
        <is>
          <t>Divination</t>
        </is>
      </c>
      <c r="D237" t="inlineStr">
        <is>
          <t>Arcana Unleashed</t>
        </is>
      </c>
      <c r="E237">
        <f>IF($L$1="","",IF(INDEX(Matrix!$D228:$AA228,1,$L$1)=1,"OWNED",IF(Spells!$E$228&lt;&gt;"","RESTRICTED",IF($A237&gt;$L$2,"TOO HIGH",IF(Matrix!$BA228=0,"NOBODY HAS IT","CAN COPY")))))</f>
        <v/>
      </c>
      <c r="F237">
        <f>Matrix!$AZ228</f>
        <v/>
      </c>
      <c r="G237">
        <f>$A237*50</f>
        <v/>
      </c>
      <c r="H237">
        <f>IF($A237&lt;=4,1,2)</f>
        <v/>
      </c>
      <c r="I237" s="12" t="n"/>
    </row>
    <row r="238">
      <c r="A238" t="n">
        <v>5</v>
      </c>
      <c r="B238" t="inlineStr">
        <is>
          <t>Negative Energy Flood</t>
        </is>
      </c>
      <c r="C238" t="inlineStr">
        <is>
          <t>Necromancy</t>
        </is>
      </c>
      <c r="D238" t="inlineStr">
        <is>
          <t>Arcana Unleashed</t>
        </is>
      </c>
      <c r="E238">
        <f>IF($L$1="","",IF(INDEX(Matrix!$D229:$AA229,1,$L$1)=1,"OWNED",IF(Spells!$E$229&lt;&gt;"","RESTRICTED",IF($A238&gt;$L$2,"TOO HIGH",IF(Matrix!$BA229=0,"NOBODY HAS IT","CAN COPY")))))</f>
        <v/>
      </c>
      <c r="F238">
        <f>Matrix!$AZ229</f>
        <v/>
      </c>
      <c r="G238">
        <f>$A238*50</f>
        <v/>
      </c>
      <c r="H238">
        <f>IF($A238&lt;=4,1,2)</f>
        <v/>
      </c>
      <c r="I238" s="12" t="n"/>
    </row>
    <row r="239">
      <c r="A239" t="n">
        <v>5</v>
      </c>
      <c r="B239" t="inlineStr">
        <is>
          <t>Passwall</t>
        </is>
      </c>
      <c r="C239" t="inlineStr">
        <is>
          <t>Transmutation</t>
        </is>
      </c>
      <c r="D239" t="inlineStr">
        <is>
          <t>PHB 2024</t>
        </is>
      </c>
      <c r="E239">
        <f>IF($L$1="","",IF(INDEX(Matrix!$D230:$AA230,1,$L$1)=1,"OWNED",IF(Spells!$E$230&lt;&gt;"","RESTRICTED",IF($A239&gt;$L$2,"TOO HIGH",IF(Matrix!$BA230=0,"NOBODY HAS IT","CAN COPY")))))</f>
        <v/>
      </c>
      <c r="F239">
        <f>Matrix!$AZ230</f>
        <v/>
      </c>
      <c r="G239">
        <f>$A239*50</f>
        <v/>
      </c>
      <c r="H239">
        <f>IF($A239&lt;=4,1,2)</f>
        <v/>
      </c>
      <c r="I239" s="12" t="n"/>
    </row>
    <row r="240">
      <c r="A240" t="n">
        <v>5</v>
      </c>
      <c r="B240" t="inlineStr">
        <is>
          <t>Planar Binding</t>
        </is>
      </c>
      <c r="C240" t="inlineStr">
        <is>
          <t>Abjuration</t>
        </is>
      </c>
      <c r="D240" t="inlineStr">
        <is>
          <t>PHB 2024</t>
        </is>
      </c>
      <c r="E240">
        <f>IF($L$1="","",IF(INDEX(Matrix!$D231:$AA231,1,$L$1)=1,"OWNED",IF(Spells!$E$231&lt;&gt;"","RESTRICTED",IF($A240&gt;$L$2,"TOO HIGH",IF(Matrix!$BA231=0,"NOBODY HAS IT","CAN COPY")))))</f>
        <v/>
      </c>
      <c r="F240">
        <f>Matrix!$AZ231</f>
        <v/>
      </c>
      <c r="G240">
        <f>$A240*50</f>
        <v/>
      </c>
      <c r="H240">
        <f>IF($A240&lt;=4,1,2)</f>
        <v/>
      </c>
      <c r="I240" s="12" t="n"/>
    </row>
    <row r="241">
      <c r="A241" t="n">
        <v>5</v>
      </c>
      <c r="B241" t="inlineStr">
        <is>
          <t>Rary's Telepathic Bond</t>
        </is>
      </c>
      <c r="C241" t="inlineStr">
        <is>
          <t>Divination</t>
        </is>
      </c>
      <c r="D241" t="inlineStr">
        <is>
          <t>PHB 2024</t>
        </is>
      </c>
      <c r="E241">
        <f>IF($L$1="","",IF(INDEX(Matrix!$D232:$AA232,1,$L$1)=1,"OWNED",IF(Spells!$E$232&lt;&gt;"","RESTRICTED",IF($A241&gt;$L$2,"TOO HIGH",IF(Matrix!$BA232=0,"NOBODY HAS IT","CAN COPY")))))</f>
        <v/>
      </c>
      <c r="F241">
        <f>Matrix!$AZ232</f>
        <v/>
      </c>
      <c r="G241">
        <f>$A241*50</f>
        <v/>
      </c>
      <c r="H241">
        <f>IF($A241&lt;=4,1,2)</f>
        <v/>
      </c>
      <c r="I241" s="12" t="n"/>
    </row>
    <row r="242">
      <c r="A242" t="n">
        <v>5</v>
      </c>
      <c r="B242" t="inlineStr">
        <is>
          <t>Scrying</t>
        </is>
      </c>
      <c r="C242" t="inlineStr">
        <is>
          <t>Divination</t>
        </is>
      </c>
      <c r="D242" t="inlineStr">
        <is>
          <t>PHB 2024</t>
        </is>
      </c>
      <c r="E242">
        <f>IF($L$1="","",IF(INDEX(Matrix!$D233:$AA233,1,$L$1)=1,"OWNED",IF(Spells!$E$233&lt;&gt;"","RESTRICTED",IF($A242&gt;$L$2,"TOO HIGH",IF(Matrix!$BA233=0,"NOBODY HAS IT","CAN COPY")))))</f>
        <v/>
      </c>
      <c r="F242">
        <f>Matrix!$AZ233</f>
        <v/>
      </c>
      <c r="G242">
        <f>$A242*50</f>
        <v/>
      </c>
      <c r="H242">
        <f>IF($A242&lt;=4,1,2)</f>
        <v/>
      </c>
      <c r="I242" s="12" t="n"/>
    </row>
    <row r="243">
      <c r="A243" t="n">
        <v>5</v>
      </c>
      <c r="B243" t="inlineStr">
        <is>
          <t>Seeming</t>
        </is>
      </c>
      <c r="C243" t="inlineStr">
        <is>
          <t>Illusion</t>
        </is>
      </c>
      <c r="D243" t="inlineStr">
        <is>
          <t>PHB 2024</t>
        </is>
      </c>
      <c r="E243">
        <f>IF($L$1="","",IF(INDEX(Matrix!$D234:$AA234,1,$L$1)=1,"OWNED",IF(Spells!$E$234&lt;&gt;"","RESTRICTED",IF($A243&gt;$L$2,"TOO HIGH",IF(Matrix!$BA234=0,"NOBODY HAS IT","CAN COPY")))))</f>
        <v/>
      </c>
      <c r="F243">
        <f>Matrix!$AZ234</f>
        <v/>
      </c>
      <c r="G243">
        <f>$A243*50</f>
        <v/>
      </c>
      <c r="H243">
        <f>IF($A243&lt;=4,1,2)</f>
        <v/>
      </c>
      <c r="I243" s="12" t="n"/>
    </row>
    <row r="244">
      <c r="A244" t="n">
        <v>5</v>
      </c>
      <c r="B244" t="inlineStr">
        <is>
          <t>Skill Empowerment</t>
        </is>
      </c>
      <c r="C244" t="inlineStr">
        <is>
          <t>Transmutation</t>
        </is>
      </c>
      <c r="D244" t="inlineStr">
        <is>
          <t>Xanathar's Guide</t>
        </is>
      </c>
      <c r="E244">
        <f>IF($L$1="","",IF(INDEX(Matrix!$D235:$AA235,1,$L$1)=1,"OWNED",IF(Spells!$E$235&lt;&gt;"","RESTRICTED",IF($A244&gt;$L$2,"TOO HIGH",IF(Matrix!$BA235=0,"NOBODY HAS IT","CAN COPY")))))</f>
        <v/>
      </c>
      <c r="F244">
        <f>Matrix!$AZ235</f>
        <v/>
      </c>
      <c r="G244">
        <f>$A244*50</f>
        <v/>
      </c>
      <c r="H244">
        <f>IF($A244&lt;=4,1,2)</f>
        <v/>
      </c>
      <c r="I244" s="12" t="n"/>
    </row>
    <row r="245">
      <c r="A245" t="n">
        <v>5</v>
      </c>
      <c r="B245" t="inlineStr">
        <is>
          <t>Songal's Elemental Suffusion</t>
        </is>
      </c>
      <c r="C245" t="inlineStr">
        <is>
          <t>Transmutation</t>
        </is>
      </c>
      <c r="D245" t="inlineStr">
        <is>
          <t>Heroes of Faerun</t>
        </is>
      </c>
      <c r="E245">
        <f>IF($L$1="","",IF(INDEX(Matrix!$D236:$AA236,1,$L$1)=1,"OWNED",IF(Spells!$E$236&lt;&gt;"","RESTRICTED",IF($A245&gt;$L$2,"TOO HIGH",IF(Matrix!$BA236=0,"NOBODY HAS IT","CAN COPY")))))</f>
        <v/>
      </c>
      <c r="F245">
        <f>Matrix!$AZ236</f>
        <v/>
      </c>
      <c r="G245">
        <f>$A245*50</f>
        <v/>
      </c>
      <c r="H245">
        <f>IF($A245&lt;=4,1,2)</f>
        <v/>
      </c>
      <c r="I245" s="12" t="n"/>
    </row>
    <row r="246">
      <c r="A246" t="n">
        <v>5</v>
      </c>
      <c r="B246" t="inlineStr">
        <is>
          <t>Spirit Lantern</t>
        </is>
      </c>
      <c r="C246" t="inlineStr">
        <is>
          <t>Necromancy</t>
        </is>
      </c>
      <c r="D246" t="inlineStr">
        <is>
          <t>Arcana Unleashed</t>
        </is>
      </c>
      <c r="E246">
        <f>IF($L$1="","",IF(INDEX(Matrix!$D237:$AA237,1,$L$1)=1,"OWNED",IF(Spells!$E$237&lt;&gt;"","RESTRICTED",IF($A246&gt;$L$2,"TOO HIGH",IF(Matrix!$BA237=0,"NOBODY HAS IT","CAN COPY")))))</f>
        <v/>
      </c>
      <c r="F246">
        <f>Matrix!$AZ237</f>
        <v/>
      </c>
      <c r="G246">
        <f>$A246*50</f>
        <v/>
      </c>
      <c r="H246">
        <f>IF($A246&lt;=4,1,2)</f>
        <v/>
      </c>
      <c r="I246" s="12" t="n"/>
    </row>
    <row r="247">
      <c r="A247" t="n">
        <v>5</v>
      </c>
      <c r="B247" t="inlineStr">
        <is>
          <t>Steel Wind Strike</t>
        </is>
      </c>
      <c r="C247" t="inlineStr">
        <is>
          <t>Conjuration</t>
        </is>
      </c>
      <c r="D247" t="inlineStr">
        <is>
          <t>PHB 2024</t>
        </is>
      </c>
      <c r="E247">
        <f>IF($L$1="","",IF(INDEX(Matrix!$D238:$AA238,1,$L$1)=1,"OWNED",IF(Spells!$E$238&lt;&gt;"","RESTRICTED",IF($A247&gt;$L$2,"TOO HIGH",IF(Matrix!$BA238=0,"NOBODY HAS IT","CAN COPY")))))</f>
        <v/>
      </c>
      <c r="F247">
        <f>Matrix!$AZ238</f>
        <v/>
      </c>
      <c r="G247">
        <f>$A247*50</f>
        <v/>
      </c>
      <c r="H247">
        <f>IF($A247&lt;=4,1,2)</f>
        <v/>
      </c>
      <c r="I247" s="12" t="n"/>
    </row>
    <row r="248">
      <c r="A248" t="n">
        <v>5</v>
      </c>
      <c r="B248" t="inlineStr">
        <is>
          <t>Summon Draconic Spirit</t>
        </is>
      </c>
      <c r="C248" t="inlineStr">
        <is>
          <t>Conjuration</t>
        </is>
      </c>
      <c r="D248" t="inlineStr">
        <is>
          <t>Fizban's</t>
        </is>
      </c>
      <c r="E248">
        <f>IF($L$1="","",IF(INDEX(Matrix!$D239:$AA239,1,$L$1)=1,"OWNED",IF(Spells!$E$239&lt;&gt;"","RESTRICTED",IF($A248&gt;$L$2,"TOO HIGH",IF(Matrix!$BA239=0,"NOBODY HAS IT","CAN COPY")))))</f>
        <v/>
      </c>
      <c r="F248">
        <f>Matrix!$AZ239</f>
        <v/>
      </c>
      <c r="G248">
        <f>$A248*50</f>
        <v/>
      </c>
      <c r="H248">
        <f>IF($A248&lt;=4,1,2)</f>
        <v/>
      </c>
      <c r="I248" s="12" t="n"/>
    </row>
    <row r="249">
      <c r="A249" t="n">
        <v>5</v>
      </c>
      <c r="B249" t="inlineStr">
        <is>
          <t>Summon Dragon</t>
        </is>
      </c>
      <c r="C249" t="inlineStr">
        <is>
          <t>Conjuration</t>
        </is>
      </c>
      <c r="D249" t="inlineStr">
        <is>
          <t>PHB 2024</t>
        </is>
      </c>
      <c r="E249">
        <f>IF($L$1="","",IF(INDEX(Matrix!$D240:$AA240,1,$L$1)=1,"OWNED",IF(Spells!$E$240&lt;&gt;"","RESTRICTED",IF($A249&gt;$L$2,"TOO HIGH",IF(Matrix!$BA240=0,"NOBODY HAS IT","CAN COPY")))))</f>
        <v/>
      </c>
      <c r="F249">
        <f>Matrix!$AZ240</f>
        <v/>
      </c>
      <c r="G249">
        <f>$A249*50</f>
        <v/>
      </c>
      <c r="H249">
        <f>IF($A249&lt;=4,1,2)</f>
        <v/>
      </c>
      <c r="I249" s="12" t="n"/>
    </row>
    <row r="250">
      <c r="A250" t="n">
        <v>5</v>
      </c>
      <c r="B250" t="inlineStr">
        <is>
          <t>Synaptic Static</t>
        </is>
      </c>
      <c r="C250" t="inlineStr">
        <is>
          <t>Enchantment</t>
        </is>
      </c>
      <c r="D250" t="inlineStr">
        <is>
          <t>PHB 2024</t>
        </is>
      </c>
      <c r="E250">
        <f>IF($L$1="","",IF(INDEX(Matrix!$D241:$AA241,1,$L$1)=1,"OWNED",IF(Spells!$E$241&lt;&gt;"","RESTRICTED",IF($A250&gt;$L$2,"TOO HIGH",IF(Matrix!$BA241=0,"NOBODY HAS IT","CAN COPY")))))</f>
        <v/>
      </c>
      <c r="F250">
        <f>Matrix!$AZ241</f>
        <v/>
      </c>
      <c r="G250">
        <f>$A250*50</f>
        <v/>
      </c>
      <c r="H250">
        <f>IF($A250&lt;=4,1,2)</f>
        <v/>
      </c>
      <c r="I250" s="12" t="n"/>
    </row>
    <row r="251">
      <c r="A251" t="n">
        <v>5</v>
      </c>
      <c r="B251" t="inlineStr">
        <is>
          <t>Telekinesis</t>
        </is>
      </c>
      <c r="C251" t="inlineStr">
        <is>
          <t>Transmutation</t>
        </is>
      </c>
      <c r="D251" t="inlineStr">
        <is>
          <t>PHB 2024</t>
        </is>
      </c>
      <c r="E251">
        <f>IF($L$1="","",IF(INDEX(Matrix!$D242:$AA242,1,$L$1)=1,"OWNED",IF(Spells!$E$242&lt;&gt;"","RESTRICTED",IF($A251&gt;$L$2,"TOO HIGH",IF(Matrix!$BA242=0,"NOBODY HAS IT","CAN COPY")))))</f>
        <v/>
      </c>
      <c r="F251">
        <f>Matrix!$AZ242</f>
        <v/>
      </c>
      <c r="G251">
        <f>$A251*50</f>
        <v/>
      </c>
      <c r="H251">
        <f>IF($A251&lt;=4,1,2)</f>
        <v/>
      </c>
      <c r="I251" s="12" t="n"/>
    </row>
    <row r="252">
      <c r="A252" t="n">
        <v>5</v>
      </c>
      <c r="B252" t="inlineStr">
        <is>
          <t>Teleportation Circle</t>
        </is>
      </c>
      <c r="C252" t="inlineStr">
        <is>
          <t>Conjuration</t>
        </is>
      </c>
      <c r="D252" t="inlineStr">
        <is>
          <t>PHB 2024</t>
        </is>
      </c>
      <c r="E252">
        <f>IF($L$1="","",IF(INDEX(Matrix!$D243:$AA243,1,$L$1)=1,"OWNED",IF(Spells!$E$243&lt;&gt;"","RESTRICTED",IF($A252&gt;$L$2,"TOO HIGH",IF(Matrix!$BA243=0,"NOBODY HAS IT","CAN COPY")))))</f>
        <v/>
      </c>
      <c r="F252">
        <f>Matrix!$AZ243</f>
        <v/>
      </c>
      <c r="G252">
        <f>$A252*50</f>
        <v/>
      </c>
      <c r="H252">
        <f>IF($A252&lt;=4,1,2)</f>
        <v/>
      </c>
      <c r="I252" s="12" t="n"/>
    </row>
    <row r="253">
      <c r="A253" t="n">
        <v>5</v>
      </c>
      <c r="B253" t="inlineStr">
        <is>
          <t>Transmute Rock</t>
        </is>
      </c>
      <c r="C253" t="inlineStr">
        <is>
          <t>Transmutation</t>
        </is>
      </c>
      <c r="D253" t="inlineStr">
        <is>
          <t>Xanathar's Guide</t>
        </is>
      </c>
      <c r="E253">
        <f>IF($L$1="","",IF(INDEX(Matrix!$D244:$AA244,1,$L$1)=1,"OWNED",IF(Spells!$E$244&lt;&gt;"","RESTRICTED",IF($A253&gt;$L$2,"TOO HIGH",IF(Matrix!$BA244=0,"NOBODY HAS IT","CAN COPY")))))</f>
        <v/>
      </c>
      <c r="F253">
        <f>Matrix!$AZ244</f>
        <v/>
      </c>
      <c r="G253">
        <f>$A253*50</f>
        <v/>
      </c>
      <c r="H253">
        <f>IF($A253&lt;=4,1,2)</f>
        <v/>
      </c>
      <c r="I253" s="12" t="n"/>
    </row>
    <row r="254">
      <c r="A254" t="n">
        <v>5</v>
      </c>
      <c r="B254" t="inlineStr">
        <is>
          <t>Wall of Force</t>
        </is>
      </c>
      <c r="C254" t="inlineStr">
        <is>
          <t>Evocation</t>
        </is>
      </c>
      <c r="D254" t="inlineStr">
        <is>
          <t>PHB 2024</t>
        </is>
      </c>
      <c r="E254">
        <f>IF($L$1="","",IF(INDEX(Matrix!$D245:$AA245,1,$L$1)=1,"OWNED",IF(Spells!$E$245&lt;&gt;"","RESTRICTED",IF($A254&gt;$L$2,"TOO HIGH",IF(Matrix!$BA245=0,"NOBODY HAS IT","CAN COPY")))))</f>
        <v/>
      </c>
      <c r="F254">
        <f>Matrix!$AZ245</f>
        <v/>
      </c>
      <c r="G254">
        <f>$A254*50</f>
        <v/>
      </c>
      <c r="H254">
        <f>IF($A254&lt;=4,1,2)</f>
        <v/>
      </c>
      <c r="I254" s="12" t="n"/>
    </row>
    <row r="255">
      <c r="A255" t="n">
        <v>5</v>
      </c>
      <c r="B255" t="inlineStr">
        <is>
          <t>Wall of Light</t>
        </is>
      </c>
      <c r="C255" t="inlineStr">
        <is>
          <t>Evocation</t>
        </is>
      </c>
      <c r="D255" t="inlineStr">
        <is>
          <t>Xanathar's Guide</t>
        </is>
      </c>
      <c r="E255">
        <f>IF($L$1="","",IF(INDEX(Matrix!$D246:$AA246,1,$L$1)=1,"OWNED",IF(Spells!$E$246&lt;&gt;"","RESTRICTED",IF($A255&gt;$L$2,"TOO HIGH",IF(Matrix!$BA246=0,"NOBODY HAS IT","CAN COPY")))))</f>
        <v/>
      </c>
      <c r="F255">
        <f>Matrix!$AZ246</f>
        <v/>
      </c>
      <c r="G255">
        <f>$A255*50</f>
        <v/>
      </c>
      <c r="H255">
        <f>IF($A255&lt;=4,1,2)</f>
        <v/>
      </c>
      <c r="I255" s="12" t="n"/>
    </row>
    <row r="256">
      <c r="A256" t="n">
        <v>5</v>
      </c>
      <c r="B256" t="inlineStr">
        <is>
          <t>Wall of Stone</t>
        </is>
      </c>
      <c r="C256" t="inlineStr">
        <is>
          <t>Evocation</t>
        </is>
      </c>
      <c r="D256" t="inlineStr">
        <is>
          <t>PHB 2024</t>
        </is>
      </c>
      <c r="E256">
        <f>IF($L$1="","",IF(INDEX(Matrix!$D247:$AA247,1,$L$1)=1,"OWNED",IF(Spells!$E$247&lt;&gt;"","RESTRICTED",IF($A256&gt;$L$2,"TOO HIGH",IF(Matrix!$BA247=0,"NOBODY HAS IT","CAN COPY")))))</f>
        <v/>
      </c>
      <c r="F256">
        <f>Matrix!$AZ247</f>
        <v/>
      </c>
      <c r="G256">
        <f>$A256*50</f>
        <v/>
      </c>
      <c r="H256">
        <f>IF($A256&lt;=4,1,2)</f>
        <v/>
      </c>
      <c r="I256" s="12" t="n"/>
    </row>
    <row r="257">
      <c r="A257" t="n">
        <v>5</v>
      </c>
      <c r="B257" t="inlineStr">
        <is>
          <t>Waves of Exhaustion</t>
        </is>
      </c>
      <c r="C257" t="inlineStr">
        <is>
          <t>Necromancy</t>
        </is>
      </c>
      <c r="D257" t="inlineStr">
        <is>
          <t>Arcana Unleashed</t>
        </is>
      </c>
      <c r="E257">
        <f>IF($L$1="","",IF(INDEX(Matrix!$D248:$AA248,1,$L$1)=1,"OWNED",IF(Spells!$E$248&lt;&gt;"","RESTRICTED",IF($A257&gt;$L$2,"TOO HIGH",IF(Matrix!$BA248=0,"NOBODY HAS IT","CAN COPY")))))</f>
        <v/>
      </c>
      <c r="F257">
        <f>Matrix!$AZ248</f>
        <v/>
      </c>
      <c r="G257">
        <f>$A257*50</f>
        <v/>
      </c>
      <c r="H257">
        <f>IF($A257&lt;=4,1,2)</f>
        <v/>
      </c>
      <c r="I257" s="12" t="n"/>
    </row>
    <row r="258">
      <c r="A258" t="n">
        <v>5</v>
      </c>
      <c r="B258" t="inlineStr">
        <is>
          <t>Yolande's Regal Presence</t>
        </is>
      </c>
      <c r="C258" t="inlineStr">
        <is>
          <t>Enchantment</t>
        </is>
      </c>
      <c r="D258" t="inlineStr">
        <is>
          <t>PHB 2024</t>
        </is>
      </c>
      <c r="E258">
        <f>IF($L$1="","",IF(INDEX(Matrix!$D249:$AA249,1,$L$1)=1,"OWNED",IF(Spells!$E$249&lt;&gt;"","RESTRICTED",IF($A258&gt;$L$2,"TOO HIGH",IF(Matrix!$BA249=0,"NOBODY HAS IT","CAN COPY")))))</f>
        <v/>
      </c>
      <c r="F258">
        <f>Matrix!$AZ249</f>
        <v/>
      </c>
      <c r="G258">
        <f>$A258*50</f>
        <v/>
      </c>
      <c r="H258">
        <f>IF($A258&lt;=4,1,2)</f>
        <v/>
      </c>
      <c r="I258" s="12" t="n"/>
    </row>
    <row r="259">
      <c r="A259" t="n">
        <v>6</v>
      </c>
      <c r="B259" t="inlineStr">
        <is>
          <t>Arcane Gate</t>
        </is>
      </c>
      <c r="C259" t="inlineStr">
        <is>
          <t>Conjuration</t>
        </is>
      </c>
      <c r="D259" t="inlineStr">
        <is>
          <t>PHB 2024</t>
        </is>
      </c>
      <c r="E259">
        <f>IF($L$1="","",IF(INDEX(Matrix!$D250:$AA250,1,$L$1)=1,"OWNED",IF(Spells!$E$250&lt;&gt;"","RESTRICTED",IF($A259&gt;$L$2,"TOO HIGH",IF(Matrix!$BA250=0,"NOBODY HAS IT","CAN COPY")))))</f>
        <v/>
      </c>
      <c r="F259">
        <f>Matrix!$AZ250</f>
        <v/>
      </c>
      <c r="G259">
        <f>$A259*50</f>
        <v/>
      </c>
      <c r="H259">
        <f>IF($A259&lt;=4,1,2)</f>
        <v/>
      </c>
      <c r="I259" s="12" t="n"/>
    </row>
    <row r="260">
      <c r="A260" t="n">
        <v>6</v>
      </c>
      <c r="B260" t="inlineStr">
        <is>
          <t>Chain Lightning</t>
        </is>
      </c>
      <c r="C260" t="inlineStr">
        <is>
          <t>Evocation</t>
        </is>
      </c>
      <c r="D260" t="inlineStr">
        <is>
          <t>PHB 2024</t>
        </is>
      </c>
      <c r="E260">
        <f>IF($L$1="","",IF(INDEX(Matrix!$D251:$AA251,1,$L$1)=1,"OWNED",IF(Spells!$E$251&lt;&gt;"","RESTRICTED",IF($A260&gt;$L$2,"TOO HIGH",IF(Matrix!$BA251=0,"NOBODY HAS IT","CAN COPY")))))</f>
        <v/>
      </c>
      <c r="F260">
        <f>Matrix!$AZ251</f>
        <v/>
      </c>
      <c r="G260">
        <f>$A260*50</f>
        <v/>
      </c>
      <c r="H260">
        <f>IF($A260&lt;=4,1,2)</f>
        <v/>
      </c>
      <c r="I260" s="12" t="n"/>
    </row>
    <row r="261">
      <c r="A261" t="n">
        <v>6</v>
      </c>
      <c r="B261" t="inlineStr">
        <is>
          <t>Circle of Death</t>
        </is>
      </c>
      <c r="C261" t="inlineStr">
        <is>
          <t>Necromancy</t>
        </is>
      </c>
      <c r="D261" t="inlineStr">
        <is>
          <t>PHB 2024</t>
        </is>
      </c>
      <c r="E261">
        <f>IF($L$1="","",IF(INDEX(Matrix!$D252:$AA252,1,$L$1)=1,"OWNED",IF(Spells!$E$252&lt;&gt;"","RESTRICTED",IF($A261&gt;$L$2,"TOO HIGH",IF(Matrix!$BA252=0,"NOBODY HAS IT","CAN COPY")))))</f>
        <v/>
      </c>
      <c r="F261">
        <f>Matrix!$AZ252</f>
        <v/>
      </c>
      <c r="G261">
        <f>$A261*50</f>
        <v/>
      </c>
      <c r="H261">
        <f>IF($A261&lt;=4,1,2)</f>
        <v/>
      </c>
      <c r="I261" s="12" t="n"/>
    </row>
    <row r="262">
      <c r="A262" t="n">
        <v>6</v>
      </c>
      <c r="B262" t="inlineStr">
        <is>
          <t>Contingency</t>
        </is>
      </c>
      <c r="C262" t="inlineStr">
        <is>
          <t>Abjuration</t>
        </is>
      </c>
      <c r="D262" t="inlineStr">
        <is>
          <t>PHB 2024</t>
        </is>
      </c>
      <c r="E262">
        <f>IF($L$1="","",IF(INDEX(Matrix!$D253:$AA253,1,$L$1)=1,"OWNED",IF(Spells!$E$253&lt;&gt;"","RESTRICTED",IF($A262&gt;$L$2,"TOO HIGH",IF(Matrix!$BA253=0,"NOBODY HAS IT","CAN COPY")))))</f>
        <v/>
      </c>
      <c r="F262">
        <f>Matrix!$AZ253</f>
        <v/>
      </c>
      <c r="G262">
        <f>$A262*50</f>
        <v/>
      </c>
      <c r="H262">
        <f>IF($A262&lt;=4,1,2)</f>
        <v/>
      </c>
      <c r="I262" s="12" t="n"/>
    </row>
    <row r="263">
      <c r="A263" t="n">
        <v>6</v>
      </c>
      <c r="B263" t="inlineStr">
        <is>
          <t>Create Homunculus</t>
        </is>
      </c>
      <c r="C263" t="inlineStr">
        <is>
          <t>Transmutation</t>
        </is>
      </c>
      <c r="D263" t="inlineStr">
        <is>
          <t>Xanathar's Guide</t>
        </is>
      </c>
      <c r="E263">
        <f>IF($L$1="","",IF(INDEX(Matrix!$D254:$AA254,1,$L$1)=1,"OWNED",IF(Spells!$E$254&lt;&gt;"","RESTRICTED",IF($A263&gt;$L$2,"TOO HIGH",IF(Matrix!$BA254=0,"NOBODY HAS IT","CAN COPY")))))</f>
        <v/>
      </c>
      <c r="F263">
        <f>Matrix!$AZ254</f>
        <v/>
      </c>
      <c r="G263">
        <f>$A263*50</f>
        <v/>
      </c>
      <c r="H263">
        <f>IF($A263&lt;=4,1,2)</f>
        <v/>
      </c>
      <c r="I263" s="12" t="n"/>
    </row>
    <row r="264">
      <c r="A264" t="n">
        <v>6</v>
      </c>
      <c r="B264" t="inlineStr">
        <is>
          <t>Create Undead</t>
        </is>
      </c>
      <c r="C264" t="inlineStr">
        <is>
          <t>Necromancy</t>
        </is>
      </c>
      <c r="D264" t="inlineStr">
        <is>
          <t>PHB 2024</t>
        </is>
      </c>
      <c r="E264">
        <f>IF($L$1="","",IF(INDEX(Matrix!$D255:$AA255,1,$L$1)=1,"OWNED",IF(Spells!$E$255&lt;&gt;"","RESTRICTED",IF($A264&gt;$L$2,"TOO HIGH",IF(Matrix!$BA255=0,"NOBODY HAS IT","CAN COPY")))))</f>
        <v/>
      </c>
      <c r="F264">
        <f>Matrix!$AZ255</f>
        <v/>
      </c>
      <c r="G264">
        <f>$A264*50</f>
        <v/>
      </c>
      <c r="H264">
        <f>IF($A264&lt;=4,1,2)</f>
        <v/>
      </c>
      <c r="I264" s="12" t="n"/>
    </row>
    <row r="265">
      <c r="A265" t="n">
        <v>6</v>
      </c>
      <c r="B265" t="inlineStr">
        <is>
          <t>Disintegrate</t>
        </is>
      </c>
      <c r="C265" t="inlineStr">
        <is>
          <t>Transmutation</t>
        </is>
      </c>
      <c r="D265" t="inlineStr">
        <is>
          <t>PHB 2024</t>
        </is>
      </c>
      <c r="E265">
        <f>IF($L$1="","",IF(INDEX(Matrix!$D256:$AA256,1,$L$1)=1,"OWNED",IF(Spells!$E$256&lt;&gt;"","RESTRICTED",IF($A265&gt;$L$2,"TOO HIGH",IF(Matrix!$BA256=0,"NOBODY HAS IT","CAN COPY")))))</f>
        <v/>
      </c>
      <c r="F265">
        <f>Matrix!$AZ256</f>
        <v/>
      </c>
      <c r="G265">
        <f>$A265*50</f>
        <v/>
      </c>
      <c r="H265">
        <f>IF($A265&lt;=4,1,2)</f>
        <v/>
      </c>
      <c r="I265" s="12" t="n"/>
    </row>
    <row r="266">
      <c r="A266" t="n">
        <v>6</v>
      </c>
      <c r="B266" t="inlineStr">
        <is>
          <t>Drawmij's Instant Summons</t>
        </is>
      </c>
      <c r="C266" t="inlineStr">
        <is>
          <t>Conjuration</t>
        </is>
      </c>
      <c r="D266" t="inlineStr">
        <is>
          <t>PHB 2024</t>
        </is>
      </c>
      <c r="E266">
        <f>IF($L$1="","",IF(INDEX(Matrix!$D257:$AA257,1,$L$1)=1,"OWNED",IF(Spells!$E$257&lt;&gt;"","RESTRICTED",IF($A266&gt;$L$2,"TOO HIGH",IF(Matrix!$BA257=0,"NOBODY HAS IT","CAN COPY")))))</f>
        <v/>
      </c>
      <c r="F266">
        <f>Matrix!$AZ257</f>
        <v/>
      </c>
      <c r="G266">
        <f>$A266*50</f>
        <v/>
      </c>
      <c r="H266">
        <f>IF($A266&lt;=4,1,2)</f>
        <v/>
      </c>
      <c r="I266" s="12" t="n"/>
    </row>
    <row r="267">
      <c r="A267" t="n">
        <v>6</v>
      </c>
      <c r="B267" t="inlineStr">
        <is>
          <t>Elminster's Effulgent Spheres</t>
        </is>
      </c>
      <c r="C267" t="inlineStr">
        <is>
          <t>Evocation</t>
        </is>
      </c>
      <c r="D267" t="inlineStr">
        <is>
          <t>Heroes of Faerun</t>
        </is>
      </c>
      <c r="E267">
        <f>IF($L$1="","",IF(INDEX(Matrix!$D258:$AA258,1,$L$1)=1,"OWNED",IF(Spells!$E$258&lt;&gt;"","RESTRICTED",IF($A267&gt;$L$2,"TOO HIGH",IF(Matrix!$BA258=0,"NOBODY HAS IT","CAN COPY")))))</f>
        <v/>
      </c>
      <c r="F267">
        <f>Matrix!$AZ258</f>
        <v/>
      </c>
      <c r="G267">
        <f>$A267*50</f>
        <v/>
      </c>
      <c r="H267">
        <f>IF($A267&lt;=4,1,2)</f>
        <v/>
      </c>
      <c r="I267" s="12" t="n"/>
    </row>
    <row r="268">
      <c r="A268" t="n">
        <v>6</v>
      </c>
      <c r="B268" t="inlineStr">
        <is>
          <t>Eyebite</t>
        </is>
      </c>
      <c r="C268" t="inlineStr">
        <is>
          <t>Necromancy</t>
        </is>
      </c>
      <c r="D268" t="inlineStr">
        <is>
          <t>PHB 2024</t>
        </is>
      </c>
      <c r="E268">
        <f>IF($L$1="","",IF(INDEX(Matrix!$D259:$AA259,1,$L$1)=1,"OWNED",IF(Spells!$E$259&lt;&gt;"","RESTRICTED",IF($A268&gt;$L$2,"TOO HIGH",IF(Matrix!$BA259=0,"NOBODY HAS IT","CAN COPY")))))</f>
        <v/>
      </c>
      <c r="F268">
        <f>Matrix!$AZ259</f>
        <v/>
      </c>
      <c r="G268">
        <f>$A268*50</f>
        <v/>
      </c>
      <c r="H268">
        <f>IF($A268&lt;=4,1,2)</f>
        <v/>
      </c>
      <c r="I268" s="12" t="n"/>
    </row>
    <row r="269">
      <c r="A269" t="n">
        <v>6</v>
      </c>
      <c r="B269" t="inlineStr">
        <is>
          <t>Fizban's Platinum Shield</t>
        </is>
      </c>
      <c r="C269" t="inlineStr">
        <is>
          <t>Abjuration</t>
        </is>
      </c>
      <c r="D269" t="inlineStr">
        <is>
          <t>Fizban's</t>
        </is>
      </c>
      <c r="E269">
        <f>IF($L$1="","",IF(INDEX(Matrix!$D260:$AA260,1,$L$1)=1,"OWNED",IF(Spells!$E$260&lt;&gt;"","RESTRICTED",IF($A269&gt;$L$2,"TOO HIGH",IF(Matrix!$BA260=0,"NOBODY HAS IT","CAN COPY")))))</f>
        <v/>
      </c>
      <c r="F269">
        <f>Matrix!$AZ260</f>
        <v/>
      </c>
      <c r="G269">
        <f>$A269*50</f>
        <v/>
      </c>
      <c r="H269">
        <f>IF($A269&lt;=4,1,2)</f>
        <v/>
      </c>
      <c r="I269" s="12" t="n"/>
    </row>
    <row r="270">
      <c r="A270" t="n">
        <v>6</v>
      </c>
      <c r="B270" t="inlineStr">
        <is>
          <t>Flesh to Stone</t>
        </is>
      </c>
      <c r="C270" t="inlineStr">
        <is>
          <t>Transmutation</t>
        </is>
      </c>
      <c r="D270" t="inlineStr">
        <is>
          <t>PHB 2024</t>
        </is>
      </c>
      <c r="E270">
        <f>IF($L$1="","",IF(INDEX(Matrix!$D261:$AA261,1,$L$1)=1,"OWNED",IF(Spells!$E$261&lt;&gt;"","RESTRICTED",IF($A270&gt;$L$2,"TOO HIGH",IF(Matrix!$BA261=0,"NOBODY HAS IT","CAN COPY")))))</f>
        <v/>
      </c>
      <c r="F270">
        <f>Matrix!$AZ261</f>
        <v/>
      </c>
      <c r="G270">
        <f>$A270*50</f>
        <v/>
      </c>
      <c r="H270">
        <f>IF($A270&lt;=4,1,2)</f>
        <v/>
      </c>
      <c r="I270" s="12" t="n"/>
    </row>
    <row r="271">
      <c r="A271" t="n">
        <v>6</v>
      </c>
      <c r="B271" t="inlineStr">
        <is>
          <t>Globe of Invulnerability</t>
        </is>
      </c>
      <c r="C271" t="inlineStr">
        <is>
          <t>Abjuration</t>
        </is>
      </c>
      <c r="D271" t="inlineStr">
        <is>
          <t>PHB 2024</t>
        </is>
      </c>
      <c r="E271">
        <f>IF($L$1="","",IF(INDEX(Matrix!$D262:$AA262,1,$L$1)=1,"OWNED",IF(Spells!$E$262&lt;&gt;"","RESTRICTED",IF($A271&gt;$L$2,"TOO HIGH",IF(Matrix!$BA262=0,"NOBODY HAS IT","CAN COPY")))))</f>
        <v/>
      </c>
      <c r="F271">
        <f>Matrix!$AZ262</f>
        <v/>
      </c>
      <c r="G271">
        <f>$A271*50</f>
        <v/>
      </c>
      <c r="H271">
        <f>IF($A271&lt;=4,1,2)</f>
        <v/>
      </c>
      <c r="I271" s="12" t="n"/>
    </row>
    <row r="272">
      <c r="A272" t="n">
        <v>6</v>
      </c>
      <c r="B272" t="inlineStr">
        <is>
          <t>Guards and Wards</t>
        </is>
      </c>
      <c r="C272" t="inlineStr">
        <is>
          <t>Abjuration</t>
        </is>
      </c>
      <c r="D272" t="inlineStr">
        <is>
          <t>PHB 2024</t>
        </is>
      </c>
      <c r="E272">
        <f>IF($L$1="","",IF(INDEX(Matrix!$D263:$AA263,1,$L$1)=1,"OWNED",IF(Spells!$E$263&lt;&gt;"","RESTRICTED",IF($A272&gt;$L$2,"TOO HIGH",IF(Matrix!$BA263=0,"NOBODY HAS IT","CAN COPY")))))</f>
        <v/>
      </c>
      <c r="F272">
        <f>Matrix!$AZ263</f>
        <v/>
      </c>
      <c r="G272">
        <f>$A272*50</f>
        <v/>
      </c>
      <c r="H272">
        <f>IF($A272&lt;=4,1,2)</f>
        <v/>
      </c>
      <c r="I272" s="12" t="n"/>
    </row>
    <row r="273">
      <c r="A273" t="n">
        <v>6</v>
      </c>
      <c r="B273" t="inlineStr">
        <is>
          <t>Investiture of Flame</t>
        </is>
      </c>
      <c r="C273" t="inlineStr">
        <is>
          <t>Transmutation</t>
        </is>
      </c>
      <c r="D273" t="inlineStr">
        <is>
          <t>Xanathar's Guide</t>
        </is>
      </c>
      <c r="E273">
        <f>IF($L$1="","",IF(INDEX(Matrix!$D264:$AA264,1,$L$1)=1,"OWNED",IF(Spells!$E$264&lt;&gt;"","RESTRICTED",IF($A273&gt;$L$2,"TOO HIGH",IF(Matrix!$BA264=0,"NOBODY HAS IT","CAN COPY")))))</f>
        <v/>
      </c>
      <c r="F273">
        <f>Matrix!$AZ264</f>
        <v/>
      </c>
      <c r="G273">
        <f>$A273*50</f>
        <v/>
      </c>
      <c r="H273">
        <f>IF($A273&lt;=4,1,2)</f>
        <v/>
      </c>
      <c r="I273" s="12" t="n"/>
    </row>
    <row r="274">
      <c r="A274" t="n">
        <v>6</v>
      </c>
      <c r="B274" t="inlineStr">
        <is>
          <t>Investiture of Ice</t>
        </is>
      </c>
      <c r="C274" t="inlineStr">
        <is>
          <t>Transmutation</t>
        </is>
      </c>
      <c r="D274" t="inlineStr">
        <is>
          <t>Xanathar's Guide</t>
        </is>
      </c>
      <c r="E274">
        <f>IF($L$1="","",IF(INDEX(Matrix!$D265:$AA265,1,$L$1)=1,"OWNED",IF(Spells!$E$265&lt;&gt;"","RESTRICTED",IF($A274&gt;$L$2,"TOO HIGH",IF(Matrix!$BA265=0,"NOBODY HAS IT","CAN COPY")))))</f>
        <v/>
      </c>
      <c r="F274">
        <f>Matrix!$AZ265</f>
        <v/>
      </c>
      <c r="G274">
        <f>$A274*50</f>
        <v/>
      </c>
      <c r="H274">
        <f>IF($A274&lt;=4,1,2)</f>
        <v/>
      </c>
      <c r="I274" s="12" t="n"/>
    </row>
    <row r="275">
      <c r="A275" t="n">
        <v>6</v>
      </c>
      <c r="B275" t="inlineStr">
        <is>
          <t>Investiture of Stone</t>
        </is>
      </c>
      <c r="C275" t="inlineStr">
        <is>
          <t>Transmutation</t>
        </is>
      </c>
      <c r="D275" t="inlineStr">
        <is>
          <t>Xanathar's Guide</t>
        </is>
      </c>
      <c r="E275">
        <f>IF($L$1="","",IF(INDEX(Matrix!$D266:$AA266,1,$L$1)=1,"OWNED",IF(Spells!$E$266&lt;&gt;"","RESTRICTED",IF($A275&gt;$L$2,"TOO HIGH",IF(Matrix!$BA266=0,"NOBODY HAS IT","CAN COPY")))))</f>
        <v/>
      </c>
      <c r="F275">
        <f>Matrix!$AZ266</f>
        <v/>
      </c>
      <c r="G275">
        <f>$A275*50</f>
        <v/>
      </c>
      <c r="H275">
        <f>IF($A275&lt;=4,1,2)</f>
        <v/>
      </c>
      <c r="I275" s="12" t="n"/>
    </row>
    <row r="276">
      <c r="A276" t="n">
        <v>6</v>
      </c>
      <c r="B276" t="inlineStr">
        <is>
          <t>Investiture of Wind</t>
        </is>
      </c>
      <c r="C276" t="inlineStr">
        <is>
          <t>Transmutation</t>
        </is>
      </c>
      <c r="D276" t="inlineStr">
        <is>
          <t>Xanathar's Guide</t>
        </is>
      </c>
      <c r="E276">
        <f>IF($L$1="","",IF(INDEX(Matrix!$D267:$AA267,1,$L$1)=1,"OWNED",IF(Spells!$E$267&lt;&gt;"","RESTRICTED",IF($A276&gt;$L$2,"TOO HIGH",IF(Matrix!$BA267=0,"NOBODY HAS IT","CAN COPY")))))</f>
        <v/>
      </c>
      <c r="F276">
        <f>Matrix!$AZ267</f>
        <v/>
      </c>
      <c r="G276">
        <f>$A276*50</f>
        <v/>
      </c>
      <c r="H276">
        <f>IF($A276&lt;=4,1,2)</f>
        <v/>
      </c>
      <c r="I276" s="12" t="n"/>
    </row>
    <row r="277">
      <c r="A277" t="n">
        <v>6</v>
      </c>
      <c r="B277" t="inlineStr">
        <is>
          <t>Magic Jar</t>
        </is>
      </c>
      <c r="C277" t="inlineStr">
        <is>
          <t>Necromancy</t>
        </is>
      </c>
      <c r="D277" t="inlineStr">
        <is>
          <t>PHB 2024</t>
        </is>
      </c>
      <c r="E277">
        <f>IF($L$1="","",IF(INDEX(Matrix!$D268:$AA268,1,$L$1)=1,"OWNED",IF(Spells!$E$268&lt;&gt;"","RESTRICTED",IF($A277&gt;$L$2,"TOO HIGH",IF(Matrix!$BA268=0,"NOBODY HAS IT","CAN COPY")))))</f>
        <v/>
      </c>
      <c r="F277">
        <f>Matrix!$AZ268</f>
        <v/>
      </c>
      <c r="G277">
        <f>$A277*50</f>
        <v/>
      </c>
      <c r="H277">
        <f>IF($A277&lt;=4,1,2)</f>
        <v/>
      </c>
      <c r="I277" s="12" t="n"/>
    </row>
    <row r="278">
      <c r="A278" t="n">
        <v>6</v>
      </c>
      <c r="B278" t="inlineStr">
        <is>
          <t>Mass Suggestion</t>
        </is>
      </c>
      <c r="C278" t="inlineStr">
        <is>
          <t>Enchantment</t>
        </is>
      </c>
      <c r="D278" t="inlineStr">
        <is>
          <t>PHB 2024</t>
        </is>
      </c>
      <c r="E278">
        <f>IF($L$1="","",IF(INDEX(Matrix!$D269:$AA269,1,$L$1)=1,"OWNED",IF(Spells!$E$269&lt;&gt;"","RESTRICTED",IF($A278&gt;$L$2,"TOO HIGH",IF(Matrix!$BA269=0,"NOBODY HAS IT","CAN COPY")))))</f>
        <v/>
      </c>
      <c r="F278">
        <f>Matrix!$AZ269</f>
        <v/>
      </c>
      <c r="G278">
        <f>$A278*50</f>
        <v/>
      </c>
      <c r="H278">
        <f>IF($A278&lt;=4,1,2)</f>
        <v/>
      </c>
      <c r="I278" s="12" t="n"/>
    </row>
    <row r="279">
      <c r="A279" t="n">
        <v>6</v>
      </c>
      <c r="B279" t="inlineStr">
        <is>
          <t>Mental Prison</t>
        </is>
      </c>
      <c r="C279" t="inlineStr">
        <is>
          <t>Illusion</t>
        </is>
      </c>
      <c r="D279" t="inlineStr">
        <is>
          <t>Xanathar's Guide</t>
        </is>
      </c>
      <c r="E279">
        <f>IF($L$1="","",IF(INDEX(Matrix!$D270:$AA270,1,$L$1)=1,"OWNED",IF(Spells!$E$270&lt;&gt;"","RESTRICTED",IF($A279&gt;$L$2,"TOO HIGH",IF(Matrix!$BA270=0,"NOBODY HAS IT","CAN COPY")))))</f>
        <v/>
      </c>
      <c r="F279">
        <f>Matrix!$AZ270</f>
        <v/>
      </c>
      <c r="G279">
        <f>$A279*50</f>
        <v/>
      </c>
      <c r="H279">
        <f>IF($A279&lt;=4,1,2)</f>
        <v/>
      </c>
      <c r="I279" s="12" t="n"/>
    </row>
    <row r="280">
      <c r="A280" t="n">
        <v>6</v>
      </c>
      <c r="B280" t="inlineStr">
        <is>
          <t>Move Earth</t>
        </is>
      </c>
      <c r="C280" t="inlineStr">
        <is>
          <t>Transmutation</t>
        </is>
      </c>
      <c r="D280" t="inlineStr">
        <is>
          <t>PHB 2024</t>
        </is>
      </c>
      <c r="E280">
        <f>IF($L$1="","",IF(INDEX(Matrix!$D271:$AA271,1,$L$1)=1,"OWNED",IF(Spells!$E$271&lt;&gt;"","RESTRICTED",IF($A280&gt;$L$2,"TOO HIGH",IF(Matrix!$BA271=0,"NOBODY HAS IT","CAN COPY")))))</f>
        <v/>
      </c>
      <c r="F280">
        <f>Matrix!$AZ271</f>
        <v/>
      </c>
      <c r="G280">
        <f>$A280*50</f>
        <v/>
      </c>
      <c r="H280">
        <f>IF($A280&lt;=4,1,2)</f>
        <v/>
      </c>
      <c r="I280" s="12" t="n"/>
    </row>
    <row r="281">
      <c r="A281" t="n">
        <v>6</v>
      </c>
      <c r="B281" t="inlineStr">
        <is>
          <t>Otiluke's Freezing Sphere</t>
        </is>
      </c>
      <c r="C281" t="inlineStr">
        <is>
          <t>Evocation</t>
        </is>
      </c>
      <c r="D281" t="inlineStr">
        <is>
          <t>PHB 2024</t>
        </is>
      </c>
      <c r="E281">
        <f>IF($L$1="","",IF(INDEX(Matrix!$D272:$AA272,1,$L$1)=1,"OWNED",IF(Spells!$E$272&lt;&gt;"","RESTRICTED",IF($A281&gt;$L$2,"TOO HIGH",IF(Matrix!$BA272=0,"NOBODY HAS IT","CAN COPY")))))</f>
        <v/>
      </c>
      <c r="F281">
        <f>Matrix!$AZ272</f>
        <v/>
      </c>
      <c r="G281">
        <f>$A281*50</f>
        <v/>
      </c>
      <c r="H281">
        <f>IF($A281&lt;=4,1,2)</f>
        <v/>
      </c>
      <c r="I281" s="12" t="n"/>
    </row>
    <row r="282">
      <c r="A282" t="n">
        <v>6</v>
      </c>
      <c r="B282" t="inlineStr">
        <is>
          <t>Otto's Irresistible Dance</t>
        </is>
      </c>
      <c r="C282" t="inlineStr">
        <is>
          <t>Enchantment</t>
        </is>
      </c>
      <c r="D282" t="inlineStr">
        <is>
          <t>PHB 2024</t>
        </is>
      </c>
      <c r="E282">
        <f>IF($L$1="","",IF(INDEX(Matrix!$D273:$AA273,1,$L$1)=1,"OWNED",IF(Spells!$E$273&lt;&gt;"","RESTRICTED",IF($A282&gt;$L$2,"TOO HIGH",IF(Matrix!$BA273=0,"NOBODY HAS IT","CAN COPY")))))</f>
        <v/>
      </c>
      <c r="F282">
        <f>Matrix!$AZ273</f>
        <v/>
      </c>
      <c r="G282">
        <f>$A282*50</f>
        <v/>
      </c>
      <c r="H282">
        <f>IF($A282&lt;=4,1,2)</f>
        <v/>
      </c>
      <c r="I282" s="12" t="n"/>
    </row>
    <row r="283">
      <c r="A283" t="n">
        <v>6</v>
      </c>
      <c r="B283" t="inlineStr">
        <is>
          <t>Programmed Illusion</t>
        </is>
      </c>
      <c r="C283" t="inlineStr">
        <is>
          <t>Illusion</t>
        </is>
      </c>
      <c r="D283" t="inlineStr">
        <is>
          <t>PHB 2024</t>
        </is>
      </c>
      <c r="E283">
        <f>IF($L$1="","",IF(INDEX(Matrix!$D274:$AA274,1,$L$1)=1,"OWNED",IF(Spells!$E$274&lt;&gt;"","RESTRICTED",IF($A283&gt;$L$2,"TOO HIGH",IF(Matrix!$BA274=0,"NOBODY HAS IT","CAN COPY")))))</f>
        <v/>
      </c>
      <c r="F283">
        <f>Matrix!$AZ274</f>
        <v/>
      </c>
      <c r="G283">
        <f>$A283*50</f>
        <v/>
      </c>
      <c r="H283">
        <f>IF($A283&lt;=4,1,2)</f>
        <v/>
      </c>
      <c r="I283" s="12" t="n"/>
    </row>
    <row r="284">
      <c r="A284" t="n">
        <v>6</v>
      </c>
      <c r="B284" t="inlineStr">
        <is>
          <t>Scatter</t>
        </is>
      </c>
      <c r="C284" t="inlineStr">
        <is>
          <t>Conjuration</t>
        </is>
      </c>
      <c r="D284" t="inlineStr">
        <is>
          <t>Xanathar's Guide</t>
        </is>
      </c>
      <c r="E284">
        <f>IF($L$1="","",IF(INDEX(Matrix!$D275:$AA275,1,$L$1)=1,"OWNED",IF(Spells!$E$275&lt;&gt;"","RESTRICTED",IF($A284&gt;$L$2,"TOO HIGH",IF(Matrix!$BA275=0,"NOBODY HAS IT","CAN COPY")))))</f>
        <v/>
      </c>
      <c r="F284">
        <f>Matrix!$AZ275</f>
        <v/>
      </c>
      <c r="G284">
        <f>$A284*50</f>
        <v/>
      </c>
      <c r="H284">
        <f>IF($A284&lt;=4,1,2)</f>
        <v/>
      </c>
      <c r="I284" s="12" t="n"/>
    </row>
    <row r="285">
      <c r="A285" t="n">
        <v>6</v>
      </c>
      <c r="B285" t="inlineStr">
        <is>
          <t>Soul Cage</t>
        </is>
      </c>
      <c r="C285" t="inlineStr">
        <is>
          <t>Necromancy</t>
        </is>
      </c>
      <c r="D285" t="inlineStr">
        <is>
          <t>Xanathar's Guide</t>
        </is>
      </c>
      <c r="E285">
        <f>IF($L$1="","",IF(INDEX(Matrix!$D276:$AA276,1,$L$1)=1,"OWNED",IF(Spells!$E$276&lt;&gt;"","RESTRICTED",IF($A285&gt;$L$2,"TOO HIGH",IF(Matrix!$BA276=0,"NOBODY HAS IT","CAN COPY")))))</f>
        <v/>
      </c>
      <c r="F285">
        <f>Matrix!$AZ276</f>
        <v/>
      </c>
      <c r="G285">
        <f>$A285*50</f>
        <v/>
      </c>
      <c r="H285">
        <f>IF($A285&lt;=4,1,2)</f>
        <v/>
      </c>
      <c r="I285" s="12" t="n"/>
    </row>
    <row r="286">
      <c r="A286" t="n">
        <v>6</v>
      </c>
      <c r="B286" t="inlineStr">
        <is>
          <t>Summon Fiend</t>
        </is>
      </c>
      <c r="C286" t="inlineStr">
        <is>
          <t>Conjuration</t>
        </is>
      </c>
      <c r="D286" t="inlineStr">
        <is>
          <t>PHB 2024</t>
        </is>
      </c>
      <c r="E286">
        <f>IF($L$1="","",IF(INDEX(Matrix!$D277:$AA277,1,$L$1)=1,"OWNED",IF(Spells!$E$277&lt;&gt;"","RESTRICTED",IF($A286&gt;$L$2,"TOO HIGH",IF(Matrix!$BA277=0,"NOBODY HAS IT","CAN COPY")))))</f>
        <v/>
      </c>
      <c r="F286">
        <f>Matrix!$AZ277</f>
        <v/>
      </c>
      <c r="G286">
        <f>$A286*50</f>
        <v/>
      </c>
      <c r="H286">
        <f>IF($A286&lt;=4,1,2)</f>
        <v/>
      </c>
      <c r="I286" s="12" t="n"/>
    </row>
    <row r="287">
      <c r="A287" t="n">
        <v>6</v>
      </c>
      <c r="B287" t="inlineStr">
        <is>
          <t>Sunbeam</t>
        </is>
      </c>
      <c r="C287" t="inlineStr">
        <is>
          <t>Evocation</t>
        </is>
      </c>
      <c r="D287" t="inlineStr">
        <is>
          <t>PHB 2024</t>
        </is>
      </c>
      <c r="E287">
        <f>IF($L$1="","",IF(INDEX(Matrix!$D278:$AA278,1,$L$1)=1,"OWNED",IF(Spells!$E$278&lt;&gt;"","RESTRICTED",IF($A287&gt;$L$2,"TOO HIGH",IF(Matrix!$BA278=0,"NOBODY HAS IT","CAN COPY")))))</f>
        <v/>
      </c>
      <c r="F287">
        <f>Matrix!$AZ278</f>
        <v/>
      </c>
      <c r="G287">
        <f>$A287*50</f>
        <v/>
      </c>
      <c r="H287">
        <f>IF($A287&lt;=4,1,2)</f>
        <v/>
      </c>
      <c r="I287" s="12" t="n"/>
    </row>
    <row r="288">
      <c r="A288" t="n">
        <v>6</v>
      </c>
      <c r="B288" t="inlineStr">
        <is>
          <t>Tasha's Bubbling Cauldron</t>
        </is>
      </c>
      <c r="C288" t="inlineStr">
        <is>
          <t>Conjuration</t>
        </is>
      </c>
      <c r="D288" t="inlineStr">
        <is>
          <t>PHB 2024</t>
        </is>
      </c>
      <c r="E288">
        <f>IF($L$1="","",IF(INDEX(Matrix!$D279:$AA279,1,$L$1)=1,"OWNED",IF(Spells!$E$279&lt;&gt;"","RESTRICTED",IF($A288&gt;$L$2,"TOO HIGH",IF(Matrix!$BA279=0,"NOBODY HAS IT","CAN COPY")))))</f>
        <v/>
      </c>
      <c r="F288">
        <f>Matrix!$AZ279</f>
        <v/>
      </c>
      <c r="G288">
        <f>$A288*50</f>
        <v/>
      </c>
      <c r="H288">
        <f>IF($A288&lt;=4,1,2)</f>
        <v/>
      </c>
      <c r="I288" s="12" t="n"/>
    </row>
    <row r="289">
      <c r="A289" t="n">
        <v>6</v>
      </c>
      <c r="B289" t="inlineStr">
        <is>
          <t>Tasha's Otherworldly Guise</t>
        </is>
      </c>
      <c r="C289" t="inlineStr">
        <is>
          <t>Transmutation</t>
        </is>
      </c>
      <c r="D289" t="inlineStr">
        <is>
          <t>Tasha's Cauldron</t>
        </is>
      </c>
      <c r="E289">
        <f>IF($L$1="","",IF(INDEX(Matrix!$D280:$AA280,1,$L$1)=1,"OWNED",IF(Spells!$E$280&lt;&gt;"","RESTRICTED",IF($A289&gt;$L$2,"TOO HIGH",IF(Matrix!$BA280=0,"NOBODY HAS IT","CAN COPY")))))</f>
        <v/>
      </c>
      <c r="F289">
        <f>Matrix!$AZ280</f>
        <v/>
      </c>
      <c r="G289">
        <f>$A289*50</f>
        <v/>
      </c>
      <c r="H289">
        <f>IF($A289&lt;=4,1,2)</f>
        <v/>
      </c>
      <c r="I289" s="12" t="n"/>
    </row>
    <row r="290">
      <c r="A290" t="n">
        <v>6</v>
      </c>
      <c r="B290" t="inlineStr">
        <is>
          <t>Tenser's Transformation</t>
        </is>
      </c>
      <c r="C290" t="inlineStr">
        <is>
          <t>Transmutation</t>
        </is>
      </c>
      <c r="D290" t="inlineStr">
        <is>
          <t>Xanathar's Guide</t>
        </is>
      </c>
      <c r="E290">
        <f>IF($L$1="","",IF(INDEX(Matrix!$D281:$AA281,1,$L$1)=1,"OWNED",IF(Spells!$E$281&lt;&gt;"","RESTRICTED",IF($A290&gt;$L$2,"TOO HIGH",IF(Matrix!$BA281=0,"NOBODY HAS IT","CAN COPY")))))</f>
        <v/>
      </c>
      <c r="F290">
        <f>Matrix!$AZ281</f>
        <v/>
      </c>
      <c r="G290">
        <f>$A290*50</f>
        <v/>
      </c>
      <c r="H290">
        <f>IF($A290&lt;=4,1,2)</f>
        <v/>
      </c>
      <c r="I290" s="12" t="n"/>
    </row>
    <row r="291">
      <c r="A291" t="n">
        <v>6</v>
      </c>
      <c r="B291" t="inlineStr">
        <is>
          <t>True Seeing</t>
        </is>
      </c>
      <c r="C291" t="inlineStr">
        <is>
          <t>Divination</t>
        </is>
      </c>
      <c r="D291" t="inlineStr">
        <is>
          <t>PHB 2024</t>
        </is>
      </c>
      <c r="E291">
        <f>IF($L$1="","",IF(INDEX(Matrix!$D282:$AA282,1,$L$1)=1,"OWNED",IF(Spells!$E$282&lt;&gt;"","RESTRICTED",IF($A291&gt;$L$2,"TOO HIGH",IF(Matrix!$BA282=0,"NOBODY HAS IT","CAN COPY")))))</f>
        <v/>
      </c>
      <c r="F291">
        <f>Matrix!$AZ282</f>
        <v/>
      </c>
      <c r="G291">
        <f>$A291*50</f>
        <v/>
      </c>
      <c r="H291">
        <f>IF($A291&lt;=4,1,2)</f>
        <v/>
      </c>
      <c r="I291" s="12" t="n"/>
    </row>
    <row r="292">
      <c r="A292" t="n">
        <v>6</v>
      </c>
      <c r="B292" t="inlineStr">
        <is>
          <t>Wall of Ice</t>
        </is>
      </c>
      <c r="C292" t="inlineStr">
        <is>
          <t>Evocation</t>
        </is>
      </c>
      <c r="D292" t="inlineStr">
        <is>
          <t>PHB 2024</t>
        </is>
      </c>
      <c r="E292">
        <f>IF($L$1="","",IF(INDEX(Matrix!$D283:$AA283,1,$L$1)=1,"OWNED",IF(Spells!$E$283&lt;&gt;"","RESTRICTED",IF($A292&gt;$L$2,"TOO HIGH",IF(Matrix!$BA283=0,"NOBODY HAS IT","CAN COPY")))))</f>
        <v/>
      </c>
      <c r="F292">
        <f>Matrix!$AZ283</f>
        <v/>
      </c>
      <c r="G292">
        <f>$A292*50</f>
        <v/>
      </c>
      <c r="H292">
        <f>IF($A292&lt;=4,1,2)</f>
        <v/>
      </c>
      <c r="I292" s="12" t="n"/>
    </row>
    <row r="293">
      <c r="A293" t="n">
        <v>7</v>
      </c>
      <c r="B293" t="inlineStr">
        <is>
          <t>Aura of Evasion</t>
        </is>
      </c>
      <c r="C293" t="inlineStr">
        <is>
          <t>Abjuration</t>
        </is>
      </c>
      <c r="D293" t="inlineStr">
        <is>
          <t>Arcana Unleashed</t>
        </is>
      </c>
      <c r="E293">
        <f>IF($L$1="","",IF(INDEX(Matrix!$D284:$AA284,1,$L$1)=1,"OWNED",IF(Spells!$E$284&lt;&gt;"","RESTRICTED",IF($A293&gt;$L$2,"TOO HIGH",IF(Matrix!$BA284=0,"NOBODY HAS IT","CAN COPY")))))</f>
        <v/>
      </c>
      <c r="F293">
        <f>Matrix!$AZ284</f>
        <v/>
      </c>
      <c r="G293">
        <f>$A293*50</f>
        <v/>
      </c>
      <c r="H293">
        <f>IF($A293&lt;=4,1,2)</f>
        <v/>
      </c>
      <c r="I293" s="12" t="n"/>
    </row>
    <row r="294">
      <c r="A294" t="n">
        <v>7</v>
      </c>
      <c r="B294" t="inlineStr">
        <is>
          <t>Create Magen</t>
        </is>
      </c>
      <c r="C294" t="inlineStr">
        <is>
          <t>Transmutation</t>
        </is>
      </c>
      <c r="D294" t="inlineStr">
        <is>
          <t>Icewind Dale</t>
        </is>
      </c>
      <c r="E294">
        <f>IF($L$1="","",IF(INDEX(Matrix!$D285:$AA285,1,$L$1)=1,"OWNED",IF(Spells!$E$285&lt;&gt;"","RESTRICTED",IF($A294&gt;$L$2,"TOO HIGH",IF(Matrix!$BA285=0,"NOBODY HAS IT","CAN COPY")))))</f>
        <v/>
      </c>
      <c r="F294">
        <f>Matrix!$AZ285</f>
        <v/>
      </c>
      <c r="G294">
        <f>$A294*50</f>
        <v/>
      </c>
      <c r="H294">
        <f>IF($A294&lt;=4,1,2)</f>
        <v/>
      </c>
      <c r="I294" s="12" t="n"/>
    </row>
    <row r="295">
      <c r="A295" t="n">
        <v>7</v>
      </c>
      <c r="B295" t="inlineStr">
        <is>
          <t>Crown of Stars</t>
        </is>
      </c>
      <c r="C295" t="inlineStr">
        <is>
          <t>Evocation</t>
        </is>
      </c>
      <c r="D295" t="inlineStr">
        <is>
          <t>Xanathar's Guide</t>
        </is>
      </c>
      <c r="E295">
        <f>IF($L$1="","",IF(INDEX(Matrix!$D286:$AA286,1,$L$1)=1,"OWNED",IF(Spells!$E$286&lt;&gt;"","RESTRICTED",IF($A295&gt;$L$2,"TOO HIGH",IF(Matrix!$BA286=0,"NOBODY HAS IT","CAN COPY")))))</f>
        <v/>
      </c>
      <c r="F295">
        <f>Matrix!$AZ286</f>
        <v/>
      </c>
      <c r="G295">
        <f>$A295*50</f>
        <v/>
      </c>
      <c r="H295">
        <f>IF($A295&lt;=4,1,2)</f>
        <v/>
      </c>
      <c r="I295" s="12" t="n"/>
    </row>
    <row r="296">
      <c r="A296" t="n">
        <v>7</v>
      </c>
      <c r="B296" t="inlineStr">
        <is>
          <t>Delayed Blast Fireball</t>
        </is>
      </c>
      <c r="C296" t="inlineStr">
        <is>
          <t>Evocation</t>
        </is>
      </c>
      <c r="D296" t="inlineStr">
        <is>
          <t>PHB 2024</t>
        </is>
      </c>
      <c r="E296">
        <f>IF($L$1="","",IF(INDEX(Matrix!$D287:$AA287,1,$L$1)=1,"OWNED",IF(Spells!$E$287&lt;&gt;"","RESTRICTED",IF($A296&gt;$L$2,"TOO HIGH",IF(Matrix!$BA287=0,"NOBODY HAS IT","CAN COPY")))))</f>
        <v/>
      </c>
      <c r="F296">
        <f>Matrix!$AZ287</f>
        <v/>
      </c>
      <c r="G296">
        <f>$A296*50</f>
        <v/>
      </c>
      <c r="H296">
        <f>IF($A296&lt;=4,1,2)</f>
        <v/>
      </c>
      <c r="I296" s="12" t="n"/>
    </row>
    <row r="297">
      <c r="A297" t="n">
        <v>7</v>
      </c>
      <c r="B297" t="inlineStr">
        <is>
          <t>Draconic Transformation</t>
        </is>
      </c>
      <c r="C297" t="inlineStr">
        <is>
          <t>Transmutation</t>
        </is>
      </c>
      <c r="D297" t="inlineStr">
        <is>
          <t>Fizban's</t>
        </is>
      </c>
      <c r="E297">
        <f>IF($L$1="","",IF(INDEX(Matrix!$D288:$AA288,1,$L$1)=1,"OWNED",IF(Spells!$E$288&lt;&gt;"","RESTRICTED",IF($A297&gt;$L$2,"TOO HIGH",IF(Matrix!$BA288=0,"NOBODY HAS IT","CAN COPY")))))</f>
        <v/>
      </c>
      <c r="F297">
        <f>Matrix!$AZ288</f>
        <v/>
      </c>
      <c r="G297">
        <f>$A297*50</f>
        <v/>
      </c>
      <c r="H297">
        <f>IF($A297&lt;=4,1,2)</f>
        <v/>
      </c>
      <c r="I297" s="12" t="n"/>
    </row>
    <row r="298">
      <c r="A298" t="n">
        <v>7</v>
      </c>
      <c r="B298" t="inlineStr">
        <is>
          <t>Dream of the Blue Veil</t>
        </is>
      </c>
      <c r="C298" t="inlineStr">
        <is>
          <t>Conjuration</t>
        </is>
      </c>
      <c r="D298" t="inlineStr">
        <is>
          <t>Tasha's Cauldron</t>
        </is>
      </c>
      <c r="E298">
        <f>IF($L$1="","",IF(INDEX(Matrix!$D289:$AA289,1,$L$1)=1,"OWNED",IF(Spells!$E$289&lt;&gt;"","RESTRICTED",IF($A298&gt;$L$2,"TOO HIGH",IF(Matrix!$BA289=0,"NOBODY HAS IT","CAN COPY")))))</f>
        <v/>
      </c>
      <c r="F298">
        <f>Matrix!$AZ289</f>
        <v/>
      </c>
      <c r="G298">
        <f>$A298*50</f>
        <v/>
      </c>
      <c r="H298">
        <f>IF($A298&lt;=4,1,2)</f>
        <v/>
      </c>
      <c r="I298" s="12" t="n"/>
    </row>
    <row r="299">
      <c r="A299" t="n">
        <v>7</v>
      </c>
      <c r="B299" t="inlineStr">
        <is>
          <t>Etherealness</t>
        </is>
      </c>
      <c r="C299" t="inlineStr">
        <is>
          <t>Conjuration</t>
        </is>
      </c>
      <c r="D299" t="inlineStr">
        <is>
          <t>PHB 2024</t>
        </is>
      </c>
      <c r="E299">
        <f>IF($L$1="","",IF(INDEX(Matrix!$D290:$AA290,1,$L$1)=1,"OWNED",IF(Spells!$E$290&lt;&gt;"","RESTRICTED",IF($A299&gt;$L$2,"TOO HIGH",IF(Matrix!$BA290=0,"NOBODY HAS IT","CAN COPY")))))</f>
        <v/>
      </c>
      <c r="F299">
        <f>Matrix!$AZ290</f>
        <v/>
      </c>
      <c r="G299">
        <f>$A299*50</f>
        <v/>
      </c>
      <c r="H299">
        <f>IF($A299&lt;=4,1,2)</f>
        <v/>
      </c>
      <c r="I299" s="12" t="n"/>
    </row>
    <row r="300">
      <c r="A300" t="n">
        <v>7</v>
      </c>
      <c r="B300" t="inlineStr">
        <is>
          <t>Finger of Death</t>
        </is>
      </c>
      <c r="C300" t="inlineStr">
        <is>
          <t>Necromancy</t>
        </is>
      </c>
      <c r="D300" t="inlineStr">
        <is>
          <t>PHB 2024</t>
        </is>
      </c>
      <c r="E300">
        <f>IF($L$1="","",IF(INDEX(Matrix!$D291:$AA291,1,$L$1)=1,"OWNED",IF(Spells!$E$291&lt;&gt;"","RESTRICTED",IF($A300&gt;$L$2,"TOO HIGH",IF(Matrix!$BA291=0,"NOBODY HAS IT","CAN COPY")))))</f>
        <v/>
      </c>
      <c r="F300">
        <f>Matrix!$AZ291</f>
        <v/>
      </c>
      <c r="G300">
        <f>$A300*50</f>
        <v/>
      </c>
      <c r="H300">
        <f>IF($A300&lt;=4,1,2)</f>
        <v/>
      </c>
      <c r="I300" s="12" t="n"/>
    </row>
    <row r="301">
      <c r="A301" t="n">
        <v>7</v>
      </c>
      <c r="B301" t="inlineStr">
        <is>
          <t>Forcecage</t>
        </is>
      </c>
      <c r="C301" t="inlineStr">
        <is>
          <t>Evocation</t>
        </is>
      </c>
      <c r="D301" t="inlineStr">
        <is>
          <t>PHB 2024</t>
        </is>
      </c>
      <c r="E301">
        <f>IF($L$1="","",IF(INDEX(Matrix!$D292:$AA292,1,$L$1)=1,"OWNED",IF(Spells!$E$292&lt;&gt;"","RESTRICTED",IF($A301&gt;$L$2,"TOO HIGH",IF(Matrix!$BA292=0,"NOBODY HAS IT","CAN COPY")))))</f>
        <v/>
      </c>
      <c r="F301">
        <f>Matrix!$AZ292</f>
        <v/>
      </c>
      <c r="G301">
        <f>$A301*50</f>
        <v/>
      </c>
      <c r="H301">
        <f>IF($A301&lt;=4,1,2)</f>
        <v/>
      </c>
      <c r="I301" s="12" t="n"/>
    </row>
    <row r="302">
      <c r="A302" t="n">
        <v>7</v>
      </c>
      <c r="B302" t="inlineStr">
        <is>
          <t>Fractured Awareness</t>
        </is>
      </c>
      <c r="C302" t="inlineStr">
        <is>
          <t>Divination</t>
        </is>
      </c>
      <c r="D302" t="inlineStr">
        <is>
          <t>Arcana Unleashed</t>
        </is>
      </c>
      <c r="E302">
        <f>IF($L$1="","",IF(INDEX(Matrix!$D293:$AA293,1,$L$1)=1,"OWNED",IF(Spells!$E$293&lt;&gt;"","RESTRICTED",IF($A302&gt;$L$2,"TOO HIGH",IF(Matrix!$BA293=0,"NOBODY HAS IT","CAN COPY")))))</f>
        <v/>
      </c>
      <c r="F302">
        <f>Matrix!$AZ293</f>
        <v/>
      </c>
      <c r="G302">
        <f>$A302*50</f>
        <v/>
      </c>
      <c r="H302">
        <f>IF($A302&lt;=4,1,2)</f>
        <v/>
      </c>
      <c r="I302" s="12" t="n"/>
    </row>
    <row r="303">
      <c r="A303" t="n">
        <v>7</v>
      </c>
      <c r="B303" t="inlineStr">
        <is>
          <t>Mirage Arcane</t>
        </is>
      </c>
      <c r="C303" t="inlineStr">
        <is>
          <t>Illusion</t>
        </is>
      </c>
      <c r="D303" t="inlineStr">
        <is>
          <t>PHB 2024</t>
        </is>
      </c>
      <c r="E303">
        <f>IF($L$1="","",IF(INDEX(Matrix!$D294:$AA294,1,$L$1)=1,"OWNED",IF(Spells!$E$294&lt;&gt;"","RESTRICTED",IF($A303&gt;$L$2,"TOO HIGH",IF(Matrix!$BA294=0,"NOBODY HAS IT","CAN COPY")))))</f>
        <v/>
      </c>
      <c r="F303">
        <f>Matrix!$AZ294</f>
        <v/>
      </c>
      <c r="G303">
        <f>$A303*50</f>
        <v/>
      </c>
      <c r="H303">
        <f>IF($A303&lt;=4,1,2)</f>
        <v/>
      </c>
      <c r="I303" s="12" t="n"/>
    </row>
    <row r="304">
      <c r="A304" t="n">
        <v>7</v>
      </c>
      <c r="B304" t="inlineStr">
        <is>
          <t>Mordenkainen's Magnificent Mansion</t>
        </is>
      </c>
      <c r="C304" t="inlineStr">
        <is>
          <t>Conjuration</t>
        </is>
      </c>
      <c r="D304" t="inlineStr">
        <is>
          <t>PHB 2024</t>
        </is>
      </c>
      <c r="E304">
        <f>IF($L$1="","",IF(INDEX(Matrix!$D295:$AA295,1,$L$1)=1,"OWNED",IF(Spells!$E$295&lt;&gt;"","RESTRICTED",IF($A304&gt;$L$2,"TOO HIGH",IF(Matrix!$BA295=0,"NOBODY HAS IT","CAN COPY")))))</f>
        <v/>
      </c>
      <c r="F304">
        <f>Matrix!$AZ295</f>
        <v/>
      </c>
      <c r="G304">
        <f>$A304*50</f>
        <v/>
      </c>
      <c r="H304">
        <f>IF($A304&lt;=4,1,2)</f>
        <v/>
      </c>
      <c r="I304" s="12" t="n"/>
    </row>
    <row r="305">
      <c r="A305" t="n">
        <v>7</v>
      </c>
      <c r="B305" t="inlineStr">
        <is>
          <t>Mordenkainen's Sword</t>
        </is>
      </c>
      <c r="C305" t="inlineStr">
        <is>
          <t>Evocation</t>
        </is>
      </c>
      <c r="D305" t="inlineStr">
        <is>
          <t>PHB 2024</t>
        </is>
      </c>
      <c r="E305">
        <f>IF($L$1="","",IF(INDEX(Matrix!$D296:$AA296,1,$L$1)=1,"OWNED",IF(Spells!$E$296&lt;&gt;"","RESTRICTED",IF($A305&gt;$L$2,"TOO HIGH",IF(Matrix!$BA296=0,"NOBODY HAS IT","CAN COPY")))))</f>
        <v/>
      </c>
      <c r="F305">
        <f>Matrix!$AZ296</f>
        <v/>
      </c>
      <c r="G305">
        <f>$A305*50</f>
        <v/>
      </c>
      <c r="H305">
        <f>IF($A305&lt;=4,1,2)</f>
        <v/>
      </c>
      <c r="I305" s="12" t="n"/>
    </row>
    <row r="306">
      <c r="A306" t="n">
        <v>7</v>
      </c>
      <c r="B306" t="inlineStr">
        <is>
          <t>Plane Shift</t>
        </is>
      </c>
      <c r="C306" t="inlineStr">
        <is>
          <t>Conjuration</t>
        </is>
      </c>
      <c r="D306" t="inlineStr">
        <is>
          <t>PHB 2024</t>
        </is>
      </c>
      <c r="E306">
        <f>IF($L$1="","",IF(INDEX(Matrix!$D297:$AA297,1,$L$1)=1,"OWNED",IF(Spells!$E$297&lt;&gt;"","RESTRICTED",IF($A306&gt;$L$2,"TOO HIGH",IF(Matrix!$BA297=0,"NOBODY HAS IT","CAN COPY")))))</f>
        <v/>
      </c>
      <c r="F306">
        <f>Matrix!$AZ297</f>
        <v/>
      </c>
      <c r="G306">
        <f>$A306*50</f>
        <v/>
      </c>
      <c r="H306">
        <f>IF($A306&lt;=4,1,2)</f>
        <v/>
      </c>
      <c r="I306" s="12" t="n"/>
    </row>
    <row r="307">
      <c r="A307" t="n">
        <v>7</v>
      </c>
      <c r="B307" t="inlineStr">
        <is>
          <t>Power Word Pain</t>
        </is>
      </c>
      <c r="C307" t="inlineStr">
        <is>
          <t>Enchantment</t>
        </is>
      </c>
      <c r="D307" t="inlineStr">
        <is>
          <t>Arcana Unleashed</t>
        </is>
      </c>
      <c r="E307">
        <f>IF($L$1="","",IF(INDEX(Matrix!$D298:$AA298,1,$L$1)=1,"OWNED",IF(Spells!$E$298&lt;&gt;"","RESTRICTED",IF($A307&gt;$L$2,"TOO HIGH",IF(Matrix!$BA298=0,"NOBODY HAS IT","CAN COPY")))))</f>
        <v/>
      </c>
      <c r="F307">
        <f>Matrix!$AZ298</f>
        <v/>
      </c>
      <c r="G307">
        <f>$A307*50</f>
        <v/>
      </c>
      <c r="H307">
        <f>IF($A307&lt;=4,1,2)</f>
        <v/>
      </c>
      <c r="I307" s="12" t="n"/>
    </row>
    <row r="308">
      <c r="A308" t="n">
        <v>7</v>
      </c>
      <c r="B308" t="inlineStr">
        <is>
          <t>Prismatic Spray</t>
        </is>
      </c>
      <c r="C308" t="inlineStr">
        <is>
          <t>Evocation</t>
        </is>
      </c>
      <c r="D308" t="inlineStr">
        <is>
          <t>PHB 2024</t>
        </is>
      </c>
      <c r="E308">
        <f>IF($L$1="","",IF(INDEX(Matrix!$D299:$AA299,1,$L$1)=1,"OWNED",IF(Spells!$E$299&lt;&gt;"","RESTRICTED",IF($A308&gt;$L$2,"TOO HIGH",IF(Matrix!$BA299=0,"NOBODY HAS IT","CAN COPY")))))</f>
        <v/>
      </c>
      <c r="F308">
        <f>Matrix!$AZ299</f>
        <v/>
      </c>
      <c r="G308">
        <f>$A308*50</f>
        <v/>
      </c>
      <c r="H308">
        <f>IF($A308&lt;=4,1,2)</f>
        <v/>
      </c>
      <c r="I308" s="12" t="n"/>
    </row>
    <row r="309">
      <c r="A309" t="n">
        <v>7</v>
      </c>
      <c r="B309" t="inlineStr">
        <is>
          <t>Project Image</t>
        </is>
      </c>
      <c r="C309" t="inlineStr">
        <is>
          <t>Illusion</t>
        </is>
      </c>
      <c r="D309" t="inlineStr">
        <is>
          <t>PHB 2024</t>
        </is>
      </c>
      <c r="E309">
        <f>IF($L$1="","",IF(INDEX(Matrix!$D300:$AA300,1,$L$1)=1,"OWNED",IF(Spells!$E$300&lt;&gt;"","RESTRICTED",IF($A309&gt;$L$2,"TOO HIGH",IF(Matrix!$BA300=0,"NOBODY HAS IT","CAN COPY")))))</f>
        <v/>
      </c>
      <c r="F309">
        <f>Matrix!$AZ300</f>
        <v/>
      </c>
      <c r="G309">
        <f>$A309*50</f>
        <v/>
      </c>
      <c r="H309">
        <f>IF($A309&lt;=4,1,2)</f>
        <v/>
      </c>
      <c r="I309" s="12" t="n"/>
    </row>
    <row r="310">
      <c r="A310" t="n">
        <v>7</v>
      </c>
      <c r="B310" t="inlineStr">
        <is>
          <t>Reverse Gravity</t>
        </is>
      </c>
      <c r="C310" t="inlineStr">
        <is>
          <t>Transmutation</t>
        </is>
      </c>
      <c r="D310" t="inlineStr">
        <is>
          <t>PHB 2024</t>
        </is>
      </c>
      <c r="E310">
        <f>IF($L$1="","",IF(INDEX(Matrix!$D301:$AA301,1,$L$1)=1,"OWNED",IF(Spells!$E$301&lt;&gt;"","RESTRICTED",IF($A310&gt;$L$2,"TOO HIGH",IF(Matrix!$BA301=0,"NOBODY HAS IT","CAN COPY")))))</f>
        <v/>
      </c>
      <c r="F310">
        <f>Matrix!$AZ301</f>
        <v/>
      </c>
      <c r="G310">
        <f>$A310*50</f>
        <v/>
      </c>
      <c r="H310">
        <f>IF($A310&lt;=4,1,2)</f>
        <v/>
      </c>
      <c r="I310" s="12" t="n"/>
    </row>
    <row r="311">
      <c r="A311" t="n">
        <v>7</v>
      </c>
      <c r="B311" t="inlineStr">
        <is>
          <t>Reweave Fate</t>
        </is>
      </c>
      <c r="C311" t="inlineStr">
        <is>
          <t>Divination</t>
        </is>
      </c>
      <c r="D311" t="inlineStr">
        <is>
          <t>Arcana Unleashed</t>
        </is>
      </c>
      <c r="E311">
        <f>IF($L$1="","",IF(INDEX(Matrix!$D302:$AA302,1,$L$1)=1,"OWNED",IF(Spells!$E$302&lt;&gt;"","RESTRICTED",IF($A311&gt;$L$2,"TOO HIGH",IF(Matrix!$BA302=0,"NOBODY HAS IT","CAN COPY")))))</f>
        <v/>
      </c>
      <c r="F311">
        <f>Matrix!$AZ302</f>
        <v/>
      </c>
      <c r="G311">
        <f>$A311*50</f>
        <v/>
      </c>
      <c r="H311">
        <f>IF($A311&lt;=4,1,2)</f>
        <v/>
      </c>
      <c r="I311" s="12" t="n"/>
    </row>
    <row r="312">
      <c r="A312" t="n">
        <v>7</v>
      </c>
      <c r="B312" t="inlineStr">
        <is>
          <t>Sequester</t>
        </is>
      </c>
      <c r="C312" t="inlineStr">
        <is>
          <t>Transmutation</t>
        </is>
      </c>
      <c r="D312" t="inlineStr">
        <is>
          <t>PHB 2024</t>
        </is>
      </c>
      <c r="E312">
        <f>IF($L$1="","",IF(INDEX(Matrix!$D303:$AA303,1,$L$1)=1,"OWNED",IF(Spells!$E$303&lt;&gt;"","RESTRICTED",IF($A312&gt;$L$2,"TOO HIGH",IF(Matrix!$BA303=0,"NOBODY HAS IT","CAN COPY")))))</f>
        <v/>
      </c>
      <c r="F312">
        <f>Matrix!$AZ303</f>
        <v/>
      </c>
      <c r="G312">
        <f>$A312*50</f>
        <v/>
      </c>
      <c r="H312">
        <f>IF($A312&lt;=4,1,2)</f>
        <v/>
      </c>
      <c r="I312" s="12" t="n"/>
    </row>
    <row r="313">
      <c r="A313" t="n">
        <v>7</v>
      </c>
      <c r="B313" t="inlineStr">
        <is>
          <t>Simbul's Synostodweomer</t>
        </is>
      </c>
      <c r="C313" t="inlineStr">
        <is>
          <t>Transmutation</t>
        </is>
      </c>
      <c r="D313" t="inlineStr">
        <is>
          <t>Heroes of Faerun</t>
        </is>
      </c>
      <c r="E313">
        <f>IF($L$1="","",IF(INDEX(Matrix!$D304:$AA304,1,$L$1)=1,"OWNED",IF(Spells!$E$304&lt;&gt;"","RESTRICTED",IF($A313&gt;$L$2,"TOO HIGH",IF(Matrix!$BA304=0,"NOBODY HAS IT","CAN COPY")))))</f>
        <v/>
      </c>
      <c r="F313">
        <f>Matrix!$AZ304</f>
        <v/>
      </c>
      <c r="G313">
        <f>$A313*50</f>
        <v/>
      </c>
      <c r="H313">
        <f>IF($A313&lt;=4,1,2)</f>
        <v/>
      </c>
      <c r="I313" s="12" t="n"/>
    </row>
    <row r="314">
      <c r="A314" t="n">
        <v>7</v>
      </c>
      <c r="B314" t="inlineStr">
        <is>
          <t>Simulacrum</t>
        </is>
      </c>
      <c r="C314" t="inlineStr">
        <is>
          <t>Illusion</t>
        </is>
      </c>
      <c r="D314" t="inlineStr">
        <is>
          <t>PHB 2024</t>
        </is>
      </c>
      <c r="E314">
        <f>IF($L$1="","",IF(INDEX(Matrix!$D305:$AA305,1,$L$1)=1,"OWNED",IF(Spells!$E$305&lt;&gt;"","RESTRICTED",IF($A314&gt;$L$2,"TOO HIGH",IF(Matrix!$BA305=0,"NOBODY HAS IT","CAN COPY")))))</f>
        <v/>
      </c>
      <c r="F314">
        <f>Matrix!$AZ305</f>
        <v/>
      </c>
      <c r="G314">
        <f>$A314*50</f>
        <v/>
      </c>
      <c r="H314">
        <f>IF($A314&lt;=4,1,2)</f>
        <v/>
      </c>
      <c r="I314" s="12" t="n"/>
    </row>
    <row r="315">
      <c r="A315" t="n">
        <v>7</v>
      </c>
      <c r="B315" t="inlineStr">
        <is>
          <t>Symbol</t>
        </is>
      </c>
      <c r="C315" t="inlineStr">
        <is>
          <t>Abjuration</t>
        </is>
      </c>
      <c r="D315" t="inlineStr">
        <is>
          <t>PHB 2024</t>
        </is>
      </c>
      <c r="E315">
        <f>IF($L$1="","",IF(INDEX(Matrix!$D306:$AA306,1,$L$1)=1,"OWNED",IF(Spells!$E$306&lt;&gt;"","RESTRICTED",IF($A315&gt;$L$2,"TOO HIGH",IF(Matrix!$BA306=0,"NOBODY HAS IT","CAN COPY")))))</f>
        <v/>
      </c>
      <c r="F315">
        <f>Matrix!$AZ306</f>
        <v/>
      </c>
      <c r="G315">
        <f>$A315*50</f>
        <v/>
      </c>
      <c r="H315">
        <f>IF($A315&lt;=4,1,2)</f>
        <v/>
      </c>
      <c r="I315" s="12" t="n"/>
    </row>
    <row r="316">
      <c r="A316" t="n">
        <v>7</v>
      </c>
      <c r="B316" t="inlineStr">
        <is>
          <t>Teleport</t>
        </is>
      </c>
      <c r="C316" t="inlineStr">
        <is>
          <t>Conjuration</t>
        </is>
      </c>
      <c r="D316" t="inlineStr">
        <is>
          <t>PHB 2024</t>
        </is>
      </c>
      <c r="E316">
        <f>IF($L$1="","",IF(INDEX(Matrix!$D307:$AA307,1,$L$1)=1,"OWNED",IF(Spells!$E$307&lt;&gt;"","RESTRICTED",IF($A316&gt;$L$2,"TOO HIGH",IF(Matrix!$BA307=0,"NOBODY HAS IT","CAN COPY")))))</f>
        <v/>
      </c>
      <c r="F316">
        <f>Matrix!$AZ307</f>
        <v/>
      </c>
      <c r="G316">
        <f>$A316*50</f>
        <v/>
      </c>
      <c r="H316">
        <f>IF($A316&lt;=4,1,2)</f>
        <v/>
      </c>
      <c r="I316" s="12" t="n"/>
    </row>
    <row r="317">
      <c r="A317" t="n">
        <v>7</v>
      </c>
      <c r="B317" t="inlineStr">
        <is>
          <t>Transfix</t>
        </is>
      </c>
      <c r="C317" t="inlineStr">
        <is>
          <t>Enchantment</t>
        </is>
      </c>
      <c r="D317" t="inlineStr">
        <is>
          <t>Arcana Unleashed</t>
        </is>
      </c>
      <c r="E317">
        <f>IF($L$1="","",IF(INDEX(Matrix!$D308:$AA308,1,$L$1)=1,"OWNED",IF(Spells!$E$308&lt;&gt;"","RESTRICTED",IF($A317&gt;$L$2,"TOO HIGH",IF(Matrix!$BA308=0,"NOBODY HAS IT","CAN COPY")))))</f>
        <v/>
      </c>
      <c r="F317">
        <f>Matrix!$AZ308</f>
        <v/>
      </c>
      <c r="G317">
        <f>$A317*50</f>
        <v/>
      </c>
      <c r="H317">
        <f>IF($A317&lt;=4,1,2)</f>
        <v/>
      </c>
      <c r="I317" s="12" t="n"/>
    </row>
    <row r="318">
      <c r="A318" t="n">
        <v>7</v>
      </c>
      <c r="B318" t="inlineStr">
        <is>
          <t>Whirlwind</t>
        </is>
      </c>
      <c r="C318" t="inlineStr">
        <is>
          <t>Evocation</t>
        </is>
      </c>
      <c r="D318" t="inlineStr">
        <is>
          <t>Xanathar's Guide</t>
        </is>
      </c>
      <c r="E318">
        <f>IF($L$1="","",IF(INDEX(Matrix!$D309:$AA309,1,$L$1)=1,"OWNED",IF(Spells!$E$309&lt;&gt;"","RESTRICTED",IF($A318&gt;$L$2,"TOO HIGH",IF(Matrix!$BA309=0,"NOBODY HAS IT","CAN COPY")))))</f>
        <v/>
      </c>
      <c r="F318">
        <f>Matrix!$AZ309</f>
        <v/>
      </c>
      <c r="G318">
        <f>$A318*50</f>
        <v/>
      </c>
      <c r="H318">
        <f>IF($A318&lt;=4,1,2)</f>
        <v/>
      </c>
      <c r="I318" s="12" t="n"/>
    </row>
    <row r="319">
      <c r="A319" t="n">
        <v>8</v>
      </c>
      <c r="B319" t="inlineStr">
        <is>
          <t>Abi-Dalzim's Horrid Wilting</t>
        </is>
      </c>
      <c r="C319" t="inlineStr">
        <is>
          <t>Necromancy</t>
        </is>
      </c>
      <c r="D319" t="inlineStr">
        <is>
          <t>Xanathar's Guide</t>
        </is>
      </c>
      <c r="E319">
        <f>IF($L$1="","",IF(INDEX(Matrix!$D310:$AA310,1,$L$1)=1,"OWNED",IF(Spells!$E$310&lt;&gt;"","RESTRICTED",IF($A319&gt;$L$2,"TOO HIGH",IF(Matrix!$BA310=0,"NOBODY HAS IT","CAN COPY")))))</f>
        <v/>
      </c>
      <c r="F319">
        <f>Matrix!$AZ310</f>
        <v/>
      </c>
      <c r="G319">
        <f>$A319*50</f>
        <v/>
      </c>
      <c r="H319">
        <f>IF($A319&lt;=4,1,2)</f>
        <v/>
      </c>
      <c r="I319" s="12" t="n"/>
    </row>
    <row r="320">
      <c r="A320" t="n">
        <v>8</v>
      </c>
      <c r="B320" t="inlineStr">
        <is>
          <t>Antimagic Field</t>
        </is>
      </c>
      <c r="C320" t="inlineStr">
        <is>
          <t>Abjuration</t>
        </is>
      </c>
      <c r="D320" t="inlineStr">
        <is>
          <t>PHB 2024</t>
        </is>
      </c>
      <c r="E320">
        <f>IF($L$1="","",IF(INDEX(Matrix!$D311:$AA311,1,$L$1)=1,"OWNED",IF(Spells!$E$311&lt;&gt;"","RESTRICTED",IF($A320&gt;$L$2,"TOO HIGH",IF(Matrix!$BA311=0,"NOBODY HAS IT","CAN COPY")))))</f>
        <v/>
      </c>
      <c r="F320">
        <f>Matrix!$AZ311</f>
        <v/>
      </c>
      <c r="G320">
        <f>$A320*50</f>
        <v/>
      </c>
      <c r="H320">
        <f>IF($A320&lt;=4,1,2)</f>
        <v/>
      </c>
      <c r="I320" s="12" t="n"/>
    </row>
    <row r="321">
      <c r="A321" t="n">
        <v>8</v>
      </c>
      <c r="B321" t="inlineStr">
        <is>
          <t>Antipathy/Sympathy</t>
        </is>
      </c>
      <c r="C321" t="inlineStr">
        <is>
          <t>Enchantment</t>
        </is>
      </c>
      <c r="D321" t="inlineStr">
        <is>
          <t>PHB 2024</t>
        </is>
      </c>
      <c r="E321">
        <f>IF($L$1="","",IF(INDEX(Matrix!$D312:$AA312,1,$L$1)=1,"OWNED",IF(Spells!$E$312&lt;&gt;"","RESTRICTED",IF($A321&gt;$L$2,"TOO HIGH",IF(Matrix!$BA312=0,"NOBODY HAS IT","CAN COPY")))))</f>
        <v/>
      </c>
      <c r="F321">
        <f>Matrix!$AZ312</f>
        <v/>
      </c>
      <c r="G321">
        <f>$A321*50</f>
        <v/>
      </c>
      <c r="H321">
        <f>IF($A321&lt;=4,1,2)</f>
        <v/>
      </c>
      <c r="I321" s="12" t="n"/>
    </row>
    <row r="322">
      <c r="A322" t="n">
        <v>8</v>
      </c>
      <c r="B322" t="inlineStr">
        <is>
          <t>Befuddlement</t>
        </is>
      </c>
      <c r="C322" t="inlineStr">
        <is>
          <t>Enchantment</t>
        </is>
      </c>
      <c r="D322" t="inlineStr">
        <is>
          <t>PHB 2024</t>
        </is>
      </c>
      <c r="E322">
        <f>IF($L$1="","",IF(INDEX(Matrix!$D313:$AA313,1,$L$1)=1,"OWNED",IF(Spells!$E$313&lt;&gt;"","RESTRICTED",IF($A322&gt;$L$2,"TOO HIGH",IF(Matrix!$BA313=0,"NOBODY HAS IT","CAN COPY")))))</f>
        <v/>
      </c>
      <c r="F322">
        <f>Matrix!$AZ313</f>
        <v/>
      </c>
      <c r="G322">
        <f>$A322*50</f>
        <v/>
      </c>
      <c r="H322">
        <f>IF($A322&lt;=4,1,2)</f>
        <v/>
      </c>
      <c r="I322" s="12" t="n"/>
    </row>
    <row r="323">
      <c r="A323" t="n">
        <v>8</v>
      </c>
      <c r="B323" t="inlineStr">
        <is>
          <t>Clone</t>
        </is>
      </c>
      <c r="C323" t="inlineStr">
        <is>
          <t>Necromancy</t>
        </is>
      </c>
      <c r="D323" t="inlineStr">
        <is>
          <t>PHB 2024</t>
        </is>
      </c>
      <c r="E323">
        <f>IF($L$1="","",IF(INDEX(Matrix!$D314:$AA314,1,$L$1)=1,"OWNED",IF(Spells!$E$314&lt;&gt;"","RESTRICTED",IF($A323&gt;$L$2,"TOO HIGH",IF(Matrix!$BA314=0,"NOBODY HAS IT","CAN COPY")))))</f>
        <v/>
      </c>
      <c r="F323">
        <f>Matrix!$AZ314</f>
        <v/>
      </c>
      <c r="G323">
        <f>$A323*50</f>
        <v/>
      </c>
      <c r="H323">
        <f>IF($A323&lt;=4,1,2)</f>
        <v/>
      </c>
      <c r="I323" s="12" t="n"/>
    </row>
    <row r="324">
      <c r="A324" t="n">
        <v>8</v>
      </c>
      <c r="B324" t="inlineStr">
        <is>
          <t>Control Weather</t>
        </is>
      </c>
      <c r="C324" t="inlineStr">
        <is>
          <t>Transmutation</t>
        </is>
      </c>
      <c r="D324" t="inlineStr">
        <is>
          <t>PHB 2024</t>
        </is>
      </c>
      <c r="E324">
        <f>IF($L$1="","",IF(INDEX(Matrix!$D315:$AA315,1,$L$1)=1,"OWNED",IF(Spells!$E$315&lt;&gt;"","RESTRICTED",IF($A324&gt;$L$2,"TOO HIGH",IF(Matrix!$BA315=0,"NOBODY HAS IT","CAN COPY")))))</f>
        <v/>
      </c>
      <c r="F324">
        <f>Matrix!$AZ315</f>
        <v/>
      </c>
      <c r="G324">
        <f>$A324*50</f>
        <v/>
      </c>
      <c r="H324">
        <f>IF($A324&lt;=4,1,2)</f>
        <v/>
      </c>
      <c r="I324" s="12" t="n"/>
    </row>
    <row r="325">
      <c r="A325" t="n">
        <v>8</v>
      </c>
      <c r="B325" t="inlineStr">
        <is>
          <t>Demiplane</t>
        </is>
      </c>
      <c r="C325" t="inlineStr">
        <is>
          <t>Conjuration</t>
        </is>
      </c>
      <c r="D325" t="inlineStr">
        <is>
          <t>PHB 2024</t>
        </is>
      </c>
      <c r="E325">
        <f>IF($L$1="","",IF(INDEX(Matrix!$D316:$AA316,1,$L$1)=1,"OWNED",IF(Spells!$E$316&lt;&gt;"","RESTRICTED",IF($A325&gt;$L$2,"TOO HIGH",IF(Matrix!$BA316=0,"NOBODY HAS IT","CAN COPY")))))</f>
        <v/>
      </c>
      <c r="F325">
        <f>Matrix!$AZ316</f>
        <v/>
      </c>
      <c r="G325">
        <f>$A325*50</f>
        <v/>
      </c>
      <c r="H325">
        <f>IF($A325&lt;=4,1,2)</f>
        <v/>
      </c>
      <c r="I325" s="12" t="n"/>
    </row>
    <row r="326">
      <c r="A326" t="n">
        <v>8</v>
      </c>
      <c r="B326" t="inlineStr">
        <is>
          <t>Dominate Monster</t>
        </is>
      </c>
      <c r="C326" t="inlineStr">
        <is>
          <t>Enchantment</t>
        </is>
      </c>
      <c r="D326" t="inlineStr">
        <is>
          <t>PHB 2024</t>
        </is>
      </c>
      <c r="E326">
        <f>IF($L$1="","",IF(INDEX(Matrix!$D317:$AA317,1,$L$1)=1,"OWNED",IF(Spells!$E$317&lt;&gt;"","RESTRICTED",IF($A326&gt;$L$2,"TOO HIGH",IF(Matrix!$BA317=0,"NOBODY HAS IT","CAN COPY")))))</f>
        <v/>
      </c>
      <c r="F326">
        <f>Matrix!$AZ317</f>
        <v/>
      </c>
      <c r="G326">
        <f>$A326*50</f>
        <v/>
      </c>
      <c r="H326">
        <f>IF($A326&lt;=4,1,2)</f>
        <v/>
      </c>
      <c r="I326" s="12" t="n"/>
    </row>
    <row r="327">
      <c r="A327" t="n">
        <v>8</v>
      </c>
      <c r="B327" t="inlineStr">
        <is>
          <t>Entrancing Mirrors</t>
        </is>
      </c>
      <c r="C327" t="inlineStr">
        <is>
          <t>Illusion</t>
        </is>
      </c>
      <c r="D327" t="inlineStr">
        <is>
          <t>Arcana Unleashed</t>
        </is>
      </c>
      <c r="E327">
        <f>IF($L$1="","",IF(INDEX(Matrix!$D318:$AA318,1,$L$1)=1,"OWNED",IF(Spells!$E$318&lt;&gt;"","RESTRICTED",IF($A327&gt;$L$2,"TOO HIGH",IF(Matrix!$BA318=0,"NOBODY HAS IT","CAN COPY")))))</f>
        <v/>
      </c>
      <c r="F327">
        <f>Matrix!$AZ318</f>
        <v/>
      </c>
      <c r="G327">
        <f>$A327*50</f>
        <v/>
      </c>
      <c r="H327">
        <f>IF($A327&lt;=4,1,2)</f>
        <v/>
      </c>
      <c r="I327" s="12" t="n"/>
    </row>
    <row r="328">
      <c r="A328" t="n">
        <v>8</v>
      </c>
      <c r="B328" t="inlineStr">
        <is>
          <t>Holy Star of Mystra</t>
        </is>
      </c>
      <c r="C328" t="inlineStr">
        <is>
          <t>Evocation</t>
        </is>
      </c>
      <c r="D328" t="inlineStr">
        <is>
          <t>Heroes of Faerun</t>
        </is>
      </c>
      <c r="E328">
        <f>IF($L$1="","",IF(INDEX(Matrix!$D319:$AA319,1,$L$1)=1,"OWNED",IF(Spells!$E$319&lt;&gt;"","RESTRICTED",IF($A328&gt;$L$2,"TOO HIGH",IF(Matrix!$BA319=0,"NOBODY HAS IT","CAN COPY")))))</f>
        <v/>
      </c>
      <c r="F328">
        <f>Matrix!$AZ319</f>
        <v/>
      </c>
      <c r="G328">
        <f>$A328*50</f>
        <v/>
      </c>
      <c r="H328">
        <f>IF($A328&lt;=4,1,2)</f>
        <v/>
      </c>
      <c r="I328" s="12" t="n"/>
    </row>
    <row r="329">
      <c r="A329" t="n">
        <v>8</v>
      </c>
      <c r="B329" t="inlineStr">
        <is>
          <t>Illusory Dragon</t>
        </is>
      </c>
      <c r="C329" t="inlineStr">
        <is>
          <t>Illusion</t>
        </is>
      </c>
      <c r="D329" t="inlineStr">
        <is>
          <t>Arcana Unleashed</t>
        </is>
      </c>
      <c r="E329">
        <f>IF($L$1="","",IF(INDEX(Matrix!$D320:$AA320,1,$L$1)=1,"OWNED",IF(Spells!$E$320&lt;&gt;"","RESTRICTED",IF($A329&gt;$L$2,"TOO HIGH",IF(Matrix!$BA320=0,"NOBODY HAS IT","CAN COPY")))))</f>
        <v/>
      </c>
      <c r="F329">
        <f>Matrix!$AZ320</f>
        <v/>
      </c>
      <c r="G329">
        <f>$A329*50</f>
        <v/>
      </c>
      <c r="H329">
        <f>IF($A329&lt;=4,1,2)</f>
        <v/>
      </c>
      <c r="I329" s="12" t="n"/>
    </row>
    <row r="330">
      <c r="A330" t="n">
        <v>8</v>
      </c>
      <c r="B330" t="inlineStr">
        <is>
          <t>Incendiary Cloud</t>
        </is>
      </c>
      <c r="C330" t="inlineStr">
        <is>
          <t>Conjuration</t>
        </is>
      </c>
      <c r="D330" t="inlineStr">
        <is>
          <t>PHB 2024</t>
        </is>
      </c>
      <c r="E330">
        <f>IF($L$1="","",IF(INDEX(Matrix!$D321:$AA321,1,$L$1)=1,"OWNED",IF(Spells!$E$321&lt;&gt;"","RESTRICTED",IF($A330&gt;$L$2,"TOO HIGH",IF(Matrix!$BA321=0,"NOBODY HAS IT","CAN COPY")))))</f>
        <v/>
      </c>
      <c r="F330">
        <f>Matrix!$AZ321</f>
        <v/>
      </c>
      <c r="G330">
        <f>$A330*50</f>
        <v/>
      </c>
      <c r="H330">
        <f>IF($A330&lt;=4,1,2)</f>
        <v/>
      </c>
      <c r="I330" s="12" t="n"/>
    </row>
    <row r="331">
      <c r="A331" t="n">
        <v>8</v>
      </c>
      <c r="B331" t="inlineStr">
        <is>
          <t>Iron Body</t>
        </is>
      </c>
      <c r="C331" t="inlineStr">
        <is>
          <t>Transmutation</t>
        </is>
      </c>
      <c r="D331" t="inlineStr">
        <is>
          <t>Arcana Unleashed</t>
        </is>
      </c>
      <c r="E331">
        <f>IF($L$1="","",IF(INDEX(Matrix!$D322:$AA322,1,$L$1)=1,"OWNED",IF(Spells!$E$322&lt;&gt;"","RESTRICTED",IF($A331&gt;$L$2,"TOO HIGH",IF(Matrix!$BA322=0,"NOBODY HAS IT","CAN COPY")))))</f>
        <v/>
      </c>
      <c r="F331">
        <f>Matrix!$AZ322</f>
        <v/>
      </c>
      <c r="G331">
        <f>$A331*50</f>
        <v/>
      </c>
      <c r="H331">
        <f>IF($A331&lt;=4,1,2)</f>
        <v/>
      </c>
      <c r="I331" s="12" t="n"/>
    </row>
    <row r="332">
      <c r="A332" t="n">
        <v>8</v>
      </c>
      <c r="B332" t="inlineStr">
        <is>
          <t>Lightning Ring</t>
        </is>
      </c>
      <c r="C332" t="inlineStr">
        <is>
          <t>Evocation</t>
        </is>
      </c>
      <c r="D332" t="inlineStr">
        <is>
          <t>Arcana Unleashed</t>
        </is>
      </c>
      <c r="E332">
        <f>IF($L$1="","",IF(INDEX(Matrix!$D323:$AA323,1,$L$1)=1,"OWNED",IF(Spells!$E$323&lt;&gt;"","RESTRICTED",IF($A332&gt;$L$2,"TOO HIGH",IF(Matrix!$BA323=0,"NOBODY HAS IT","CAN COPY")))))</f>
        <v/>
      </c>
      <c r="F332">
        <f>Matrix!$AZ323</f>
        <v/>
      </c>
      <c r="G332">
        <f>$A332*50</f>
        <v/>
      </c>
      <c r="H332">
        <f>IF($A332&lt;=4,1,2)</f>
        <v/>
      </c>
      <c r="I332" s="12" t="n"/>
    </row>
    <row r="333">
      <c r="A333" t="n">
        <v>8</v>
      </c>
      <c r="B333" t="inlineStr">
        <is>
          <t>Maddening Darkness</t>
        </is>
      </c>
      <c r="C333" t="inlineStr">
        <is>
          <t>Evocation</t>
        </is>
      </c>
      <c r="D333" t="inlineStr">
        <is>
          <t>Xanathar's Guide</t>
        </is>
      </c>
      <c r="E333">
        <f>IF($L$1="","",IF(INDEX(Matrix!$D324:$AA324,1,$L$1)=1,"OWNED",IF(Spells!$E$324&lt;&gt;"","RESTRICTED",IF($A333&gt;$L$2,"TOO HIGH",IF(Matrix!$BA324=0,"NOBODY HAS IT","CAN COPY")))))</f>
        <v/>
      </c>
      <c r="F333">
        <f>Matrix!$AZ324</f>
        <v/>
      </c>
      <c r="G333">
        <f>$A333*50</f>
        <v/>
      </c>
      <c r="H333">
        <f>IF($A333&lt;=4,1,2)</f>
        <v/>
      </c>
      <c r="I333" s="12" t="n"/>
    </row>
    <row r="334">
      <c r="A334" t="n">
        <v>8</v>
      </c>
      <c r="B334" t="inlineStr">
        <is>
          <t>Maze</t>
        </is>
      </c>
      <c r="C334" t="inlineStr">
        <is>
          <t>Conjuration</t>
        </is>
      </c>
      <c r="D334" t="inlineStr">
        <is>
          <t>PHB 2024</t>
        </is>
      </c>
      <c r="E334">
        <f>IF($L$1="","",IF(INDEX(Matrix!$D325:$AA325,1,$L$1)=1,"OWNED",IF(Spells!$E$325&lt;&gt;"","RESTRICTED",IF($A334&gt;$L$2,"TOO HIGH",IF(Matrix!$BA325=0,"NOBODY HAS IT","CAN COPY")))))</f>
        <v/>
      </c>
      <c r="F334">
        <f>Matrix!$AZ325</f>
        <v/>
      </c>
      <c r="G334">
        <f>$A334*50</f>
        <v/>
      </c>
      <c r="H334">
        <f>IF($A334&lt;=4,1,2)</f>
        <v/>
      </c>
      <c r="I334" s="12" t="n"/>
    </row>
    <row r="335">
      <c r="A335" t="n">
        <v>8</v>
      </c>
      <c r="B335" t="inlineStr">
        <is>
          <t>Mighty Fortress</t>
        </is>
      </c>
      <c r="C335" t="inlineStr">
        <is>
          <t>Conjuration</t>
        </is>
      </c>
      <c r="D335" t="inlineStr">
        <is>
          <t>Xanathar's Guide</t>
        </is>
      </c>
      <c r="E335">
        <f>IF($L$1="","",IF(INDEX(Matrix!$D326:$AA326,1,$L$1)=1,"OWNED",IF(Spells!$E$326&lt;&gt;"","RESTRICTED",IF($A335&gt;$L$2,"TOO HIGH",IF(Matrix!$BA326=0,"NOBODY HAS IT","CAN COPY")))))</f>
        <v/>
      </c>
      <c r="F335">
        <f>Matrix!$AZ326</f>
        <v/>
      </c>
      <c r="G335">
        <f>$A335*50</f>
        <v/>
      </c>
      <c r="H335">
        <f>IF($A335&lt;=4,1,2)</f>
        <v/>
      </c>
      <c r="I335" s="12" t="n"/>
    </row>
    <row r="336">
      <c r="A336" t="n">
        <v>8</v>
      </c>
      <c r="B336" t="inlineStr">
        <is>
          <t>Mind Blank</t>
        </is>
      </c>
      <c r="C336" t="inlineStr">
        <is>
          <t>Abjuration</t>
        </is>
      </c>
      <c r="D336" t="inlineStr">
        <is>
          <t>PHB 2024</t>
        </is>
      </c>
      <c r="E336">
        <f>IF($L$1="","",IF(INDEX(Matrix!$D327:$AA327,1,$L$1)=1,"OWNED",IF(Spells!$E$327&lt;&gt;"","RESTRICTED",IF($A336&gt;$L$2,"TOO HIGH",IF(Matrix!$BA327=0,"NOBODY HAS IT","CAN COPY")))))</f>
        <v/>
      </c>
      <c r="F336">
        <f>Matrix!$AZ327</f>
        <v/>
      </c>
      <c r="G336">
        <f>$A336*50</f>
        <v/>
      </c>
      <c r="H336">
        <f>IF($A336&lt;=4,1,2)</f>
        <v/>
      </c>
      <c r="I336" s="12" t="n"/>
    </row>
    <row r="337">
      <c r="A337" t="n">
        <v>8</v>
      </c>
      <c r="B337" t="inlineStr">
        <is>
          <t>Moment of Prescience</t>
        </is>
      </c>
      <c r="C337" t="inlineStr">
        <is>
          <t>Divination</t>
        </is>
      </c>
      <c r="D337" t="inlineStr">
        <is>
          <t>Arcana Unleashed</t>
        </is>
      </c>
      <c r="E337">
        <f>IF($L$1="","",IF(INDEX(Matrix!$D328:$AA328,1,$L$1)=1,"OWNED",IF(Spells!$E$328&lt;&gt;"","RESTRICTED",IF($A337&gt;$L$2,"TOO HIGH",IF(Matrix!$BA328=0,"NOBODY HAS IT","CAN COPY")))))</f>
        <v/>
      </c>
      <c r="F337">
        <f>Matrix!$AZ328</f>
        <v/>
      </c>
      <c r="G337">
        <f>$A337*50</f>
        <v/>
      </c>
      <c r="H337">
        <f>IF($A337&lt;=4,1,2)</f>
        <v/>
      </c>
      <c r="I337" s="12" t="n"/>
    </row>
    <row r="338">
      <c r="A338" t="n">
        <v>8</v>
      </c>
      <c r="B338" t="inlineStr">
        <is>
          <t>Power Word Stun</t>
        </is>
      </c>
      <c r="C338" t="inlineStr">
        <is>
          <t>Enchantment</t>
        </is>
      </c>
      <c r="D338" t="inlineStr">
        <is>
          <t>PHB 2024</t>
        </is>
      </c>
      <c r="E338">
        <f>IF($L$1="","",IF(INDEX(Matrix!$D329:$AA329,1,$L$1)=1,"OWNED",IF(Spells!$E$329&lt;&gt;"","RESTRICTED",IF($A338&gt;$L$2,"TOO HIGH",IF(Matrix!$BA329=0,"NOBODY HAS IT","CAN COPY")))))</f>
        <v/>
      </c>
      <c r="F338">
        <f>Matrix!$AZ329</f>
        <v/>
      </c>
      <c r="G338">
        <f>$A338*50</f>
        <v/>
      </c>
      <c r="H338">
        <f>IF($A338&lt;=4,1,2)</f>
        <v/>
      </c>
      <c r="I338" s="12" t="n"/>
    </row>
    <row r="339">
      <c r="A339" t="n">
        <v>8</v>
      </c>
      <c r="B339" t="inlineStr">
        <is>
          <t>Sunburst</t>
        </is>
      </c>
      <c r="C339" t="inlineStr">
        <is>
          <t>Evocation</t>
        </is>
      </c>
      <c r="D339" t="inlineStr">
        <is>
          <t>PHB 2024</t>
        </is>
      </c>
      <c r="E339">
        <f>IF($L$1="","",IF(INDEX(Matrix!$D330:$AA330,1,$L$1)=1,"OWNED",IF(Spells!$E$330&lt;&gt;"","RESTRICTED",IF($A339&gt;$L$2,"TOO HIGH",IF(Matrix!$BA330=0,"NOBODY HAS IT","CAN COPY")))))</f>
        <v/>
      </c>
      <c r="F339">
        <f>Matrix!$AZ330</f>
        <v/>
      </c>
      <c r="G339">
        <f>$A339*50</f>
        <v/>
      </c>
      <c r="H339">
        <f>IF($A339&lt;=4,1,2)</f>
        <v/>
      </c>
      <c r="I339" s="12" t="n"/>
    </row>
    <row r="340">
      <c r="A340" t="n">
        <v>8</v>
      </c>
      <c r="B340" t="inlineStr">
        <is>
          <t>Telepathy</t>
        </is>
      </c>
      <c r="C340" t="inlineStr">
        <is>
          <t>Divination</t>
        </is>
      </c>
      <c r="D340" t="inlineStr">
        <is>
          <t>PHB 2024</t>
        </is>
      </c>
      <c r="E340">
        <f>IF($L$1="","",IF(INDEX(Matrix!$D331:$AA331,1,$L$1)=1,"OWNED",IF(Spells!$E$331&lt;&gt;"","RESTRICTED",IF($A340&gt;$L$2,"TOO HIGH",IF(Matrix!$BA331=0,"NOBODY HAS IT","CAN COPY")))))</f>
        <v/>
      </c>
      <c r="F340">
        <f>Matrix!$AZ331</f>
        <v/>
      </c>
      <c r="G340">
        <f>$A340*50</f>
        <v/>
      </c>
      <c r="H340">
        <f>IF($A340&lt;=4,1,2)</f>
        <v/>
      </c>
      <c r="I340" s="12" t="n"/>
    </row>
    <row r="341">
      <c r="A341" t="n">
        <v>9</v>
      </c>
      <c r="B341" t="inlineStr">
        <is>
          <t>Astral Projection</t>
        </is>
      </c>
      <c r="C341" t="inlineStr">
        <is>
          <t>Necromancy</t>
        </is>
      </c>
      <c r="D341" t="inlineStr">
        <is>
          <t>PHB 2024</t>
        </is>
      </c>
      <c r="E341">
        <f>IF($L$1="","",IF(INDEX(Matrix!$D332:$AA332,1,$L$1)=1,"OWNED",IF(Spells!$E$332&lt;&gt;"","RESTRICTED",IF($A341&gt;$L$2,"TOO HIGH",IF(Matrix!$BA332=0,"NOBODY HAS IT","CAN COPY")))))</f>
        <v/>
      </c>
      <c r="F341">
        <f>Matrix!$AZ332</f>
        <v/>
      </c>
      <c r="G341">
        <f>$A341*50</f>
        <v/>
      </c>
      <c r="H341">
        <f>IF($A341&lt;=4,1,2)</f>
        <v/>
      </c>
      <c r="I341" s="12" t="n"/>
    </row>
    <row r="342">
      <c r="A342" t="n">
        <v>9</v>
      </c>
      <c r="B342" t="inlineStr">
        <is>
          <t>Blade of Disaster</t>
        </is>
      </c>
      <c r="C342" t="inlineStr">
        <is>
          <t>Conjuration</t>
        </is>
      </c>
      <c r="D342" t="inlineStr">
        <is>
          <t>Heroes of Faerun</t>
        </is>
      </c>
      <c r="E342">
        <f>IF($L$1="","",IF(INDEX(Matrix!$D333:$AA333,1,$L$1)=1,"OWNED",IF(Spells!$E$333&lt;&gt;"","RESTRICTED",IF($A342&gt;$L$2,"TOO HIGH",IF(Matrix!$BA333=0,"NOBODY HAS IT","CAN COPY")))))</f>
        <v/>
      </c>
      <c r="F342">
        <f>Matrix!$AZ333</f>
        <v/>
      </c>
      <c r="G342">
        <f>$A342*50</f>
        <v/>
      </c>
      <c r="H342">
        <f>IF($A342&lt;=4,1,2)</f>
        <v/>
      </c>
      <c r="I342" s="12" t="n"/>
    </row>
    <row r="343">
      <c r="A343" t="n">
        <v>9</v>
      </c>
      <c r="B343" t="inlineStr">
        <is>
          <t>Detonate</t>
        </is>
      </c>
      <c r="C343" t="inlineStr">
        <is>
          <t>Evocation</t>
        </is>
      </c>
      <c r="D343" t="inlineStr">
        <is>
          <t>Arcana Unleashed</t>
        </is>
      </c>
      <c r="E343">
        <f>IF($L$1="","",IF(INDEX(Matrix!$D334:$AA334,1,$L$1)=1,"OWNED",IF(Spells!$E$334&lt;&gt;"","RESTRICTED",IF($A343&gt;$L$2,"TOO HIGH",IF(Matrix!$BA334=0,"NOBODY HAS IT","CAN COPY")))))</f>
        <v/>
      </c>
      <c r="F343">
        <f>Matrix!$AZ334</f>
        <v/>
      </c>
      <c r="G343">
        <f>$A343*50</f>
        <v/>
      </c>
      <c r="H343">
        <f>IF($A343&lt;=4,1,2)</f>
        <v/>
      </c>
      <c r="I343" s="12" t="n"/>
    </row>
    <row r="344">
      <c r="A344" t="n">
        <v>9</v>
      </c>
      <c r="B344" t="inlineStr">
        <is>
          <t>Foresight</t>
        </is>
      </c>
      <c r="C344" t="inlineStr">
        <is>
          <t>Divination</t>
        </is>
      </c>
      <c r="D344" t="inlineStr">
        <is>
          <t>PHB 2024</t>
        </is>
      </c>
      <c r="E344">
        <f>IF($L$1="","",IF(INDEX(Matrix!$D335:$AA335,1,$L$1)=1,"OWNED",IF(Spells!$E$335&lt;&gt;"","RESTRICTED",IF($A344&gt;$L$2,"TOO HIGH",IF(Matrix!$BA335=0,"NOBODY HAS IT","CAN COPY")))))</f>
        <v/>
      </c>
      <c r="F344">
        <f>Matrix!$AZ335</f>
        <v/>
      </c>
      <c r="G344">
        <f>$A344*50</f>
        <v/>
      </c>
      <c r="H344">
        <f>IF($A344&lt;=4,1,2)</f>
        <v/>
      </c>
      <c r="I344" s="12" t="n"/>
    </row>
    <row r="345">
      <c r="A345" t="n">
        <v>9</v>
      </c>
      <c r="B345" t="inlineStr">
        <is>
          <t>Gate</t>
        </is>
      </c>
      <c r="C345" t="inlineStr">
        <is>
          <t>Conjuration</t>
        </is>
      </c>
      <c r="D345" t="inlineStr">
        <is>
          <t>PHB 2024</t>
        </is>
      </c>
      <c r="E345">
        <f>IF($L$1="","",IF(INDEX(Matrix!$D336:$AA336,1,$L$1)=1,"OWNED",IF(Spells!$E$336&lt;&gt;"","RESTRICTED",IF($A345&gt;$L$2,"TOO HIGH",IF(Matrix!$BA336=0,"NOBODY HAS IT","CAN COPY")))))</f>
        <v/>
      </c>
      <c r="F345">
        <f>Matrix!$AZ336</f>
        <v/>
      </c>
      <c r="G345">
        <f>$A345*50</f>
        <v/>
      </c>
      <c r="H345">
        <f>IF($A345&lt;=4,1,2)</f>
        <v/>
      </c>
      <c r="I345" s="12" t="n"/>
    </row>
    <row r="346">
      <c r="A346" t="n">
        <v>9</v>
      </c>
      <c r="B346" t="inlineStr">
        <is>
          <t>Hindsight</t>
        </is>
      </c>
      <c r="C346" t="inlineStr">
        <is>
          <t>Divination</t>
        </is>
      </c>
      <c r="D346" t="inlineStr">
        <is>
          <t>Arcana Unleashed</t>
        </is>
      </c>
      <c r="E346">
        <f>IF($L$1="","",IF(INDEX(Matrix!$D337:$AA337,1,$L$1)=1,"OWNED",IF(Spells!$E$337&lt;&gt;"","RESTRICTED",IF($A346&gt;$L$2,"TOO HIGH",IF(Matrix!$BA337=0,"NOBODY HAS IT","CAN COPY")))))</f>
        <v/>
      </c>
      <c r="F346">
        <f>Matrix!$AZ337</f>
        <v/>
      </c>
      <c r="G346">
        <f>$A346*50</f>
        <v/>
      </c>
      <c r="H346">
        <f>IF($A346&lt;=4,1,2)</f>
        <v/>
      </c>
      <c r="I346" s="12" t="n"/>
    </row>
    <row r="347">
      <c r="A347" t="n">
        <v>9</v>
      </c>
      <c r="B347" t="inlineStr">
        <is>
          <t>Imprisonment</t>
        </is>
      </c>
      <c r="C347" t="inlineStr">
        <is>
          <t>Abjuration</t>
        </is>
      </c>
      <c r="D347" t="inlineStr">
        <is>
          <t>PHB 2024</t>
        </is>
      </c>
      <c r="E347">
        <f>IF($L$1="","",IF(INDEX(Matrix!$D338:$AA338,1,$L$1)=1,"OWNED",IF(Spells!$E$338&lt;&gt;"","RESTRICTED",IF($A347&gt;$L$2,"TOO HIGH",IF(Matrix!$BA338=0,"NOBODY HAS IT","CAN COPY")))))</f>
        <v/>
      </c>
      <c r="F347">
        <f>Matrix!$AZ338</f>
        <v/>
      </c>
      <c r="G347">
        <f>$A347*50</f>
        <v/>
      </c>
      <c r="H347">
        <f>IF($A347&lt;=4,1,2)</f>
        <v/>
      </c>
      <c r="I347" s="12" t="n"/>
    </row>
    <row r="348">
      <c r="A348" t="n">
        <v>9</v>
      </c>
      <c r="B348" t="inlineStr">
        <is>
          <t>Invulnerability</t>
        </is>
      </c>
      <c r="C348" t="inlineStr">
        <is>
          <t>Abjuration</t>
        </is>
      </c>
      <c r="D348" t="inlineStr">
        <is>
          <t>Arcana Unleashed</t>
        </is>
      </c>
      <c r="E348">
        <f>IF($L$1="","",IF(INDEX(Matrix!$D339:$AA339,1,$L$1)=1,"OWNED",IF(Spells!$E$339&lt;&gt;"","RESTRICTED",IF($A348&gt;$L$2,"TOO HIGH",IF(Matrix!$BA339=0,"NOBODY HAS IT","CAN COPY")))))</f>
        <v/>
      </c>
      <c r="F348">
        <f>Matrix!$AZ339</f>
        <v/>
      </c>
      <c r="G348">
        <f>$A348*50</f>
        <v/>
      </c>
      <c r="H348">
        <f>IF($A348&lt;=4,1,2)</f>
        <v/>
      </c>
      <c r="I348" s="12" t="n"/>
    </row>
    <row r="349">
      <c r="A349" t="n">
        <v>9</v>
      </c>
      <c r="B349" t="inlineStr">
        <is>
          <t>Mass Polymorph</t>
        </is>
      </c>
      <c r="C349" t="inlineStr">
        <is>
          <t>Transmutation</t>
        </is>
      </c>
      <c r="D349" t="inlineStr">
        <is>
          <t>Xanathar's Guide</t>
        </is>
      </c>
      <c r="E349">
        <f>IF($L$1="","",IF(INDEX(Matrix!$D340:$AA340,1,$L$1)=1,"OWNED",IF(Spells!$E$340&lt;&gt;"","RESTRICTED",IF($A349&gt;$L$2,"TOO HIGH",IF(Matrix!$BA340=0,"NOBODY HAS IT","CAN COPY")))))</f>
        <v/>
      </c>
      <c r="F349">
        <f>Matrix!$AZ340</f>
        <v/>
      </c>
      <c r="G349">
        <f>$A349*50</f>
        <v/>
      </c>
      <c r="H349">
        <f>IF($A349&lt;=4,1,2)</f>
        <v/>
      </c>
      <c r="I349" s="12" t="n"/>
    </row>
    <row r="350">
      <c r="A350" t="n">
        <v>9</v>
      </c>
      <c r="B350" t="inlineStr">
        <is>
          <t>Meteor Swarm</t>
        </is>
      </c>
      <c r="C350" t="inlineStr">
        <is>
          <t>Evocation</t>
        </is>
      </c>
      <c r="D350" t="inlineStr">
        <is>
          <t>PHB 2024</t>
        </is>
      </c>
      <c r="E350">
        <f>IF($L$1="","",IF(INDEX(Matrix!$D341:$AA341,1,$L$1)=1,"OWNED",IF(Spells!$E$341&lt;&gt;"","RESTRICTED",IF($A350&gt;$L$2,"TOO HIGH",IF(Matrix!$BA341=0,"NOBODY HAS IT","CAN COPY")))))</f>
        <v/>
      </c>
      <c r="F350">
        <f>Matrix!$AZ341</f>
        <v/>
      </c>
      <c r="G350">
        <f>$A350*50</f>
        <v/>
      </c>
      <c r="H350">
        <f>IF($A350&lt;=4,1,2)</f>
        <v/>
      </c>
      <c r="I350" s="12" t="n"/>
    </row>
    <row r="351">
      <c r="A351" t="n">
        <v>9</v>
      </c>
      <c r="B351" t="inlineStr">
        <is>
          <t>Power Word Kill</t>
        </is>
      </c>
      <c r="C351" t="inlineStr">
        <is>
          <t>Enchantment</t>
        </is>
      </c>
      <c r="D351" t="inlineStr">
        <is>
          <t>PHB 2024</t>
        </is>
      </c>
      <c r="E351">
        <f>IF($L$1="","",IF(INDEX(Matrix!$D342:$AA342,1,$L$1)=1,"OWNED",IF(Spells!$E$342&lt;&gt;"","RESTRICTED",IF($A351&gt;$L$2,"TOO HIGH",IF(Matrix!$BA342=0,"NOBODY HAS IT","CAN COPY")))))</f>
        <v/>
      </c>
      <c r="F351">
        <f>Matrix!$AZ342</f>
        <v/>
      </c>
      <c r="G351">
        <f>$A351*50</f>
        <v/>
      </c>
      <c r="H351">
        <f>IF($A351&lt;=4,1,2)</f>
        <v/>
      </c>
      <c r="I351" s="12" t="n"/>
    </row>
    <row r="352">
      <c r="A352" t="n">
        <v>9</v>
      </c>
      <c r="B352" t="inlineStr">
        <is>
          <t>Prismatic Wall</t>
        </is>
      </c>
      <c r="C352" t="inlineStr">
        <is>
          <t>Abjuration</t>
        </is>
      </c>
      <c r="D352" t="inlineStr">
        <is>
          <t>PHB 2024</t>
        </is>
      </c>
      <c r="E352">
        <f>IF($L$1="","",IF(INDEX(Matrix!$D343:$AA343,1,$L$1)=1,"OWNED",IF(Spells!$E$343&lt;&gt;"","RESTRICTED",IF($A352&gt;$L$2,"TOO HIGH",IF(Matrix!$BA343=0,"NOBODY HAS IT","CAN COPY")))))</f>
        <v/>
      </c>
      <c r="F352">
        <f>Matrix!$AZ343</f>
        <v/>
      </c>
      <c r="G352">
        <f>$A352*50</f>
        <v/>
      </c>
      <c r="H352">
        <f>IF($A352&lt;=4,1,2)</f>
        <v/>
      </c>
      <c r="I352" s="12" t="n"/>
    </row>
    <row r="353">
      <c r="A353" t="n">
        <v>9</v>
      </c>
      <c r="B353" t="inlineStr">
        <is>
          <t>Psychic Scream</t>
        </is>
      </c>
      <c r="C353" t="inlineStr">
        <is>
          <t>Enchantment</t>
        </is>
      </c>
      <c r="D353" t="inlineStr">
        <is>
          <t>Xanathar's Guide</t>
        </is>
      </c>
      <c r="E353">
        <f>IF($L$1="","",IF(INDEX(Matrix!$D344:$AA344,1,$L$1)=1,"OWNED",IF(Spells!$E$344&lt;&gt;"","RESTRICTED",IF($A353&gt;$L$2,"TOO HIGH",IF(Matrix!$BA344=0,"NOBODY HAS IT","CAN COPY")))))</f>
        <v/>
      </c>
      <c r="F353">
        <f>Matrix!$AZ344</f>
        <v/>
      </c>
      <c r="G353">
        <f>$A353*50</f>
        <v/>
      </c>
      <c r="H353">
        <f>IF($A353&lt;=4,1,2)</f>
        <v/>
      </c>
      <c r="I353" s="12" t="n"/>
    </row>
    <row r="354">
      <c r="A354" t="n">
        <v>9</v>
      </c>
      <c r="B354" t="inlineStr">
        <is>
          <t>Shapechange</t>
        </is>
      </c>
      <c r="C354" t="inlineStr">
        <is>
          <t>Transmutation</t>
        </is>
      </c>
      <c r="D354" t="inlineStr">
        <is>
          <t>PHB 2024</t>
        </is>
      </c>
      <c r="E354">
        <f>IF($L$1="","",IF(INDEX(Matrix!$D345:$AA345,1,$L$1)=1,"OWNED",IF(Spells!$E$345&lt;&gt;"","RESTRICTED",IF($A354&gt;$L$2,"TOO HIGH",IF(Matrix!$BA345=0,"NOBODY HAS IT","CAN COPY")))))</f>
        <v/>
      </c>
      <c r="F354">
        <f>Matrix!$AZ345</f>
        <v/>
      </c>
      <c r="G354">
        <f>$A354*50</f>
        <v/>
      </c>
      <c r="H354">
        <f>IF($A354&lt;=4,1,2)</f>
        <v/>
      </c>
      <c r="I354" s="12" t="n"/>
    </row>
    <row r="355">
      <c r="A355" t="n">
        <v>9</v>
      </c>
      <c r="B355" t="inlineStr">
        <is>
          <t>Time Stop</t>
        </is>
      </c>
      <c r="C355" t="inlineStr">
        <is>
          <t>Transmutation</t>
        </is>
      </c>
      <c r="D355" t="inlineStr">
        <is>
          <t>PHB 2024</t>
        </is>
      </c>
      <c r="E355">
        <f>IF($L$1="","",IF(INDEX(Matrix!$D346:$AA346,1,$L$1)=1,"OWNED",IF(Spells!$E$346&lt;&gt;"","RESTRICTED",IF($A355&gt;$L$2,"TOO HIGH",IF(Matrix!$BA346=0,"NOBODY HAS IT","CAN COPY")))))</f>
        <v/>
      </c>
      <c r="F355">
        <f>Matrix!$AZ346</f>
        <v/>
      </c>
      <c r="G355">
        <f>$A355*50</f>
        <v/>
      </c>
      <c r="H355">
        <f>IF($A355&lt;=4,1,2)</f>
        <v/>
      </c>
      <c r="I355" s="12" t="n"/>
    </row>
    <row r="356">
      <c r="A356" t="n">
        <v>9</v>
      </c>
      <c r="B356" t="inlineStr">
        <is>
          <t>True Polymorph</t>
        </is>
      </c>
      <c r="C356" t="inlineStr">
        <is>
          <t>Transmutation</t>
        </is>
      </c>
      <c r="D356" t="inlineStr">
        <is>
          <t>PHB 2024</t>
        </is>
      </c>
      <c r="E356">
        <f>IF($L$1="","",IF(INDEX(Matrix!$D347:$AA347,1,$L$1)=1,"OWNED",IF(Spells!$E$347&lt;&gt;"","RESTRICTED",IF($A356&gt;$L$2,"TOO HIGH",IF(Matrix!$BA347=0,"NOBODY HAS IT","CAN COPY")))))</f>
        <v/>
      </c>
      <c r="F356">
        <f>Matrix!$AZ347</f>
        <v/>
      </c>
      <c r="G356">
        <f>$A356*50</f>
        <v/>
      </c>
      <c r="H356">
        <f>IF($A356&lt;=4,1,2)</f>
        <v/>
      </c>
      <c r="I356" s="12" t="n"/>
    </row>
    <row r="357">
      <c r="A357" t="n">
        <v>9</v>
      </c>
      <c r="B357" t="inlineStr">
        <is>
          <t>Vision of Elapsing Eons</t>
        </is>
      </c>
      <c r="C357" t="inlineStr">
        <is>
          <t>Illusion</t>
        </is>
      </c>
      <c r="D357" t="inlineStr">
        <is>
          <t>Arcana Unleashed</t>
        </is>
      </c>
      <c r="E357">
        <f>IF($L$1="","",IF(INDEX(Matrix!$D348:$AA348,1,$L$1)=1,"OWNED",IF(Spells!$E$348&lt;&gt;"","RESTRICTED",IF($A357&gt;$L$2,"TOO HIGH",IF(Matrix!$BA348=0,"NOBODY HAS IT","CAN COPY")))))</f>
        <v/>
      </c>
      <c r="F357">
        <f>Matrix!$AZ348</f>
        <v/>
      </c>
      <c r="G357">
        <f>$A357*50</f>
        <v/>
      </c>
      <c r="H357">
        <f>IF($A357&lt;=4,1,2)</f>
        <v/>
      </c>
      <c r="I357" s="12" t="n"/>
    </row>
    <row r="358">
      <c r="A358" t="n">
        <v>9</v>
      </c>
      <c r="B358" t="inlineStr">
        <is>
          <t>Wail of the Banshee</t>
        </is>
      </c>
      <c r="C358" t="inlineStr">
        <is>
          <t>Necromancy</t>
        </is>
      </c>
      <c r="D358" t="inlineStr">
        <is>
          <t>Arcana Unleashed</t>
        </is>
      </c>
      <c r="E358">
        <f>IF($L$1="","",IF(INDEX(Matrix!$D349:$AA349,1,$L$1)=1,"OWNED",IF(Spells!$E$349&lt;&gt;"","RESTRICTED",IF($A358&gt;$L$2,"TOO HIGH",IF(Matrix!$BA349=0,"NOBODY HAS IT","CAN COPY")))))</f>
        <v/>
      </c>
      <c r="F358">
        <f>Matrix!$AZ349</f>
        <v/>
      </c>
      <c r="G358">
        <f>$A358*50</f>
        <v/>
      </c>
      <c r="H358">
        <f>IF($A358&lt;=4,1,2)</f>
        <v/>
      </c>
      <c r="I358" s="12" t="n"/>
    </row>
    <row r="359">
      <c r="A359" t="n">
        <v>9</v>
      </c>
      <c r="B359" t="inlineStr">
        <is>
          <t>Weird</t>
        </is>
      </c>
      <c r="C359" t="inlineStr">
        <is>
          <t>Illusion</t>
        </is>
      </c>
      <c r="D359" t="inlineStr">
        <is>
          <t>PHB 2024</t>
        </is>
      </c>
      <c r="E359">
        <f>IF($L$1="","",IF(INDEX(Matrix!$D350:$AA350,1,$L$1)=1,"OWNED",IF(Spells!$E$350&lt;&gt;"","RESTRICTED",IF($A359&gt;$L$2,"TOO HIGH",IF(Matrix!$BA350=0,"NOBODY HAS IT","CAN COPY")))))</f>
        <v/>
      </c>
      <c r="F359">
        <f>Matrix!$AZ350</f>
        <v/>
      </c>
      <c r="G359">
        <f>$A359*50</f>
        <v/>
      </c>
      <c r="H359">
        <f>IF($A359&lt;=4,1,2)</f>
        <v/>
      </c>
      <c r="I359" s="12" t="n"/>
    </row>
    <row r="360">
      <c r="A360" t="n">
        <v>9</v>
      </c>
      <c r="B360" t="inlineStr">
        <is>
          <t>Wish</t>
        </is>
      </c>
      <c r="C360" t="inlineStr">
        <is>
          <t>Conjuration</t>
        </is>
      </c>
      <c r="D360" t="inlineStr">
        <is>
          <t>PHB 2024</t>
        </is>
      </c>
      <c r="E360">
        <f>IF($L$1="","",IF(INDEX(Matrix!$D351:$AA351,1,$L$1)=1,"OWNED",IF(Spells!$E$351&lt;&gt;"","RESTRICTED",IF($A360&gt;$L$2,"TOO HIGH",IF(Matrix!$BA351=0,"NOBODY HAS IT","CAN COPY")))))</f>
        <v/>
      </c>
      <c r="F360">
        <f>Matrix!$AZ351</f>
        <v/>
      </c>
      <c r="G360">
        <f>$A360*50</f>
        <v/>
      </c>
      <c r="H360">
        <f>IF($A360&lt;=4,1,2)</f>
        <v/>
      </c>
      <c r="I360" s="12" t="n"/>
    </row>
  </sheetData>
  <autoFilter ref="A10:I360"/>
  <dataValidations count="4">
    <dataValidation sqref="B3" showDropDown="0" showInputMessage="0" showErrorMessage="0" allowBlank="1" errorTitle="Gold" error="Your character's gold, 0 or more." type="decimal" operator="greaterThanOrEqual">
      <formula1>0</formula1>
    </dataValidation>
    <dataValidation sqref="B4" showDropDown="0" showInputMessage="0" showErrorMessage="0" allowBlank="1" errorTitle="Downtime" error="Your character's downtime, 0 or more." type="whole" operator="greaterThanOrEqual">
      <formula1>0</formula1>
    </dataValidation>
    <dataValidation sqref="B5" showDropDown="0" showInputMessage="0" showErrorMessage="0" allowBlank="1" errorTitle="New wizard level" error="A wizard level from 1 to 20." type="whole" operator="between">
      <formula1>1</formula1>
      <formula2>20</formula2>
    </dataValidation>
    <dataValidation sqref="B1" showDropDown="0" showInputMessage="0" showErrorMessage="0" allowBlank="1" type="list">
      <formula1>=Wizards!$A$2:$A$25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 spell index (hidden helper for Copy Log)</t>
        </is>
      </c>
    </row>
    <row r="2">
      <c r="A2">
        <f>IF('Copy Planner'!$I11=TRUE,1,"")</f>
        <v/>
      </c>
    </row>
    <row r="3">
      <c r="A3">
        <f>IF('Copy Planner'!$I12=TRUE,2,"")</f>
        <v/>
      </c>
    </row>
    <row r="4">
      <c r="A4">
        <f>IF('Copy Planner'!$I13=TRUE,3,"")</f>
        <v/>
      </c>
    </row>
    <row r="5">
      <c r="A5">
        <f>IF('Copy Planner'!$I14=TRUE,4,"")</f>
        <v/>
      </c>
    </row>
    <row r="6">
      <c r="A6">
        <f>IF('Copy Planner'!$I15=TRUE,5,"")</f>
        <v/>
      </c>
    </row>
    <row r="7">
      <c r="A7">
        <f>IF('Copy Planner'!$I16=TRUE,6,"")</f>
        <v/>
      </c>
    </row>
    <row r="8">
      <c r="A8">
        <f>IF('Copy Planner'!$I17=TRUE,7,"")</f>
        <v/>
      </c>
    </row>
    <row r="9">
      <c r="A9">
        <f>IF('Copy Planner'!$I18=TRUE,8,"")</f>
        <v/>
      </c>
    </row>
    <row r="10">
      <c r="A10">
        <f>IF('Copy Planner'!$I19=TRUE,9,"")</f>
        <v/>
      </c>
    </row>
    <row r="11">
      <c r="A11">
        <f>IF('Copy Planner'!$I20=TRUE,10,"")</f>
        <v/>
      </c>
    </row>
    <row r="12">
      <c r="A12">
        <f>IF('Copy Planner'!$I21=TRUE,11,"")</f>
        <v/>
      </c>
    </row>
    <row r="13">
      <c r="A13">
        <f>IF('Copy Planner'!$I22=TRUE,12,"")</f>
        <v/>
      </c>
    </row>
    <row r="14">
      <c r="A14">
        <f>IF('Copy Planner'!$I23=TRUE,13,"")</f>
        <v/>
      </c>
    </row>
    <row r="15">
      <c r="A15">
        <f>IF('Copy Planner'!$I24=TRUE,14,"")</f>
        <v/>
      </c>
    </row>
    <row r="16">
      <c r="A16">
        <f>IF('Copy Planner'!$I25=TRUE,15,"")</f>
        <v/>
      </c>
    </row>
    <row r="17">
      <c r="A17">
        <f>IF('Copy Planner'!$I26=TRUE,16,"")</f>
        <v/>
      </c>
    </row>
    <row r="18">
      <c r="A18">
        <f>IF('Copy Planner'!$I27=TRUE,17,"")</f>
        <v/>
      </c>
    </row>
    <row r="19">
      <c r="A19">
        <f>IF('Copy Planner'!$I28=TRUE,18,"")</f>
        <v/>
      </c>
    </row>
    <row r="20">
      <c r="A20">
        <f>IF('Copy Planner'!$I29=TRUE,19,"")</f>
        <v/>
      </c>
    </row>
    <row r="21">
      <c r="A21">
        <f>IF('Copy Planner'!$I30=TRUE,20,"")</f>
        <v/>
      </c>
    </row>
    <row r="22">
      <c r="A22">
        <f>IF('Copy Planner'!$I31=TRUE,21,"")</f>
        <v/>
      </c>
    </row>
    <row r="23">
      <c r="A23">
        <f>IF('Copy Planner'!$I32=TRUE,22,"")</f>
        <v/>
      </c>
    </row>
    <row r="24">
      <c r="A24">
        <f>IF('Copy Planner'!$I33=TRUE,23,"")</f>
        <v/>
      </c>
    </row>
    <row r="25">
      <c r="A25">
        <f>IF('Copy Planner'!$I34=TRUE,24,"")</f>
        <v/>
      </c>
    </row>
    <row r="26">
      <c r="A26">
        <f>IF('Copy Planner'!$I35=TRUE,25,"")</f>
        <v/>
      </c>
    </row>
    <row r="27">
      <c r="A27">
        <f>IF('Copy Planner'!$I36=TRUE,26,"")</f>
        <v/>
      </c>
    </row>
    <row r="28">
      <c r="A28">
        <f>IF('Copy Planner'!$I37=TRUE,27,"")</f>
        <v/>
      </c>
    </row>
    <row r="29">
      <c r="A29">
        <f>IF('Copy Planner'!$I38=TRUE,28,"")</f>
        <v/>
      </c>
    </row>
    <row r="30">
      <c r="A30">
        <f>IF('Copy Planner'!$I39=TRUE,29,"")</f>
        <v/>
      </c>
    </row>
    <row r="31">
      <c r="A31">
        <f>IF('Copy Planner'!$I40=TRUE,30,"")</f>
        <v/>
      </c>
    </row>
    <row r="32">
      <c r="A32">
        <f>IF('Copy Planner'!$I41=TRUE,31,"")</f>
        <v/>
      </c>
    </row>
    <row r="33">
      <c r="A33">
        <f>IF('Copy Planner'!$I42=TRUE,32,"")</f>
        <v/>
      </c>
    </row>
    <row r="34">
      <c r="A34">
        <f>IF('Copy Planner'!$I43=TRUE,33,"")</f>
        <v/>
      </c>
    </row>
    <row r="35">
      <c r="A35">
        <f>IF('Copy Planner'!$I44=TRUE,34,"")</f>
        <v/>
      </c>
    </row>
    <row r="36">
      <c r="A36">
        <f>IF('Copy Planner'!$I45=TRUE,35,"")</f>
        <v/>
      </c>
    </row>
    <row r="37">
      <c r="A37">
        <f>IF('Copy Planner'!$I46=TRUE,36,"")</f>
        <v/>
      </c>
    </row>
    <row r="38">
      <c r="A38">
        <f>IF('Copy Planner'!$I47=TRUE,37,"")</f>
        <v/>
      </c>
    </row>
    <row r="39">
      <c r="A39">
        <f>IF('Copy Planner'!$I48=TRUE,38,"")</f>
        <v/>
      </c>
    </row>
    <row r="40">
      <c r="A40">
        <f>IF('Copy Planner'!$I49=TRUE,39,"")</f>
        <v/>
      </c>
    </row>
    <row r="41">
      <c r="A41">
        <f>IF('Copy Planner'!$I50=TRUE,40,"")</f>
        <v/>
      </c>
    </row>
    <row r="42">
      <c r="A42">
        <f>IF('Copy Planner'!$I51=TRUE,41,"")</f>
        <v/>
      </c>
    </row>
    <row r="43">
      <c r="A43">
        <f>IF('Copy Planner'!$I52=TRUE,42,"")</f>
        <v/>
      </c>
    </row>
    <row r="44">
      <c r="A44">
        <f>IF('Copy Planner'!$I53=TRUE,43,"")</f>
        <v/>
      </c>
    </row>
    <row r="45">
      <c r="A45">
        <f>IF('Copy Planner'!$I54=TRUE,44,"")</f>
        <v/>
      </c>
    </row>
    <row r="46">
      <c r="A46">
        <f>IF('Copy Planner'!$I55=TRUE,45,"")</f>
        <v/>
      </c>
    </row>
    <row r="47">
      <c r="A47">
        <f>IF('Copy Planner'!$I56=TRUE,46,"")</f>
        <v/>
      </c>
    </row>
    <row r="48">
      <c r="A48">
        <f>IF('Copy Planner'!$I57=TRUE,47,"")</f>
        <v/>
      </c>
    </row>
    <row r="49">
      <c r="A49">
        <f>IF('Copy Planner'!$I58=TRUE,48,"")</f>
        <v/>
      </c>
    </row>
    <row r="50">
      <c r="A50">
        <f>IF('Copy Planner'!$I59=TRUE,49,"")</f>
        <v/>
      </c>
    </row>
    <row r="51">
      <c r="A51">
        <f>IF('Copy Planner'!$I60=TRUE,50,"")</f>
        <v/>
      </c>
    </row>
    <row r="52">
      <c r="A52">
        <f>IF('Copy Planner'!$I61=TRUE,51,"")</f>
        <v/>
      </c>
    </row>
    <row r="53">
      <c r="A53">
        <f>IF('Copy Planner'!$I62=TRUE,52,"")</f>
        <v/>
      </c>
    </row>
    <row r="54">
      <c r="A54">
        <f>IF('Copy Planner'!$I63=TRUE,53,"")</f>
        <v/>
      </c>
    </row>
    <row r="55">
      <c r="A55">
        <f>IF('Copy Planner'!$I64=TRUE,54,"")</f>
        <v/>
      </c>
    </row>
    <row r="56">
      <c r="A56">
        <f>IF('Copy Planner'!$I65=TRUE,55,"")</f>
        <v/>
      </c>
    </row>
    <row r="57">
      <c r="A57">
        <f>IF('Copy Planner'!$I66=TRUE,56,"")</f>
        <v/>
      </c>
    </row>
    <row r="58">
      <c r="A58">
        <f>IF('Copy Planner'!$I67=TRUE,57,"")</f>
        <v/>
      </c>
    </row>
    <row r="59">
      <c r="A59">
        <f>IF('Copy Planner'!$I68=TRUE,58,"")</f>
        <v/>
      </c>
    </row>
    <row r="60">
      <c r="A60">
        <f>IF('Copy Planner'!$I69=TRUE,59,"")</f>
        <v/>
      </c>
    </row>
    <row r="61">
      <c r="A61">
        <f>IF('Copy Planner'!$I70=TRUE,60,"")</f>
        <v/>
      </c>
    </row>
    <row r="62">
      <c r="A62">
        <f>IF('Copy Planner'!$I71=TRUE,61,"")</f>
        <v/>
      </c>
    </row>
    <row r="63">
      <c r="A63">
        <f>IF('Copy Planner'!$I72=TRUE,62,"")</f>
        <v/>
      </c>
    </row>
    <row r="64">
      <c r="A64">
        <f>IF('Copy Planner'!$I73=TRUE,63,"")</f>
        <v/>
      </c>
    </row>
    <row r="65">
      <c r="A65">
        <f>IF('Copy Planner'!$I74=TRUE,64,"")</f>
        <v/>
      </c>
    </row>
    <row r="66">
      <c r="A66">
        <f>IF('Copy Planner'!$I75=TRUE,65,"")</f>
        <v/>
      </c>
    </row>
    <row r="67">
      <c r="A67">
        <f>IF('Copy Planner'!$I76=TRUE,66,"")</f>
        <v/>
      </c>
    </row>
    <row r="68">
      <c r="A68">
        <f>IF('Copy Planner'!$I77=TRUE,67,"")</f>
        <v/>
      </c>
    </row>
    <row r="69">
      <c r="A69">
        <f>IF('Copy Planner'!$I78=TRUE,68,"")</f>
        <v/>
      </c>
    </row>
    <row r="70">
      <c r="A70">
        <f>IF('Copy Planner'!$I79=TRUE,69,"")</f>
        <v/>
      </c>
    </row>
    <row r="71">
      <c r="A71">
        <f>IF('Copy Planner'!$I80=TRUE,70,"")</f>
        <v/>
      </c>
    </row>
    <row r="72">
      <c r="A72">
        <f>IF('Copy Planner'!$I81=TRUE,71,"")</f>
        <v/>
      </c>
    </row>
    <row r="73">
      <c r="A73">
        <f>IF('Copy Planner'!$I82=TRUE,72,"")</f>
        <v/>
      </c>
    </row>
    <row r="74">
      <c r="A74">
        <f>IF('Copy Planner'!$I83=TRUE,73,"")</f>
        <v/>
      </c>
    </row>
    <row r="75">
      <c r="A75">
        <f>IF('Copy Planner'!$I84=TRUE,74,"")</f>
        <v/>
      </c>
    </row>
    <row r="76">
      <c r="A76">
        <f>IF('Copy Planner'!$I85=TRUE,75,"")</f>
        <v/>
      </c>
    </row>
    <row r="77">
      <c r="A77">
        <f>IF('Copy Planner'!$I86=TRUE,76,"")</f>
        <v/>
      </c>
    </row>
    <row r="78">
      <c r="A78">
        <f>IF('Copy Planner'!$I87=TRUE,77,"")</f>
        <v/>
      </c>
    </row>
    <row r="79">
      <c r="A79">
        <f>IF('Copy Planner'!$I88=TRUE,78,"")</f>
        <v/>
      </c>
    </row>
    <row r="80">
      <c r="A80">
        <f>IF('Copy Planner'!$I89=TRUE,79,"")</f>
        <v/>
      </c>
    </row>
    <row r="81">
      <c r="A81">
        <f>IF('Copy Planner'!$I90=TRUE,80,"")</f>
        <v/>
      </c>
    </row>
    <row r="82">
      <c r="A82">
        <f>IF('Copy Planner'!$I91=TRUE,81,"")</f>
        <v/>
      </c>
    </row>
    <row r="83">
      <c r="A83">
        <f>IF('Copy Planner'!$I92=TRUE,82,"")</f>
        <v/>
      </c>
    </row>
    <row r="84">
      <c r="A84">
        <f>IF('Copy Planner'!$I93=TRUE,83,"")</f>
        <v/>
      </c>
    </row>
    <row r="85">
      <c r="A85">
        <f>IF('Copy Planner'!$I94=TRUE,84,"")</f>
        <v/>
      </c>
    </row>
    <row r="86">
      <c r="A86">
        <f>IF('Copy Planner'!$I95=TRUE,85,"")</f>
        <v/>
      </c>
    </row>
    <row r="87">
      <c r="A87">
        <f>IF('Copy Planner'!$I96=TRUE,86,"")</f>
        <v/>
      </c>
    </row>
    <row r="88">
      <c r="A88">
        <f>IF('Copy Planner'!$I97=TRUE,87,"")</f>
        <v/>
      </c>
    </row>
    <row r="89">
      <c r="A89">
        <f>IF('Copy Planner'!$I98=TRUE,88,"")</f>
        <v/>
      </c>
    </row>
    <row r="90">
      <c r="A90">
        <f>IF('Copy Planner'!$I99=TRUE,89,"")</f>
        <v/>
      </c>
    </row>
    <row r="91">
      <c r="A91">
        <f>IF('Copy Planner'!$I100=TRUE,90,"")</f>
        <v/>
      </c>
    </row>
    <row r="92">
      <c r="A92">
        <f>IF('Copy Planner'!$I101=TRUE,91,"")</f>
        <v/>
      </c>
    </row>
    <row r="93">
      <c r="A93">
        <f>IF('Copy Planner'!$I102=TRUE,92,"")</f>
        <v/>
      </c>
    </row>
    <row r="94">
      <c r="A94">
        <f>IF('Copy Planner'!$I103=TRUE,93,"")</f>
        <v/>
      </c>
    </row>
    <row r="95">
      <c r="A95">
        <f>IF('Copy Planner'!$I104=TRUE,94,"")</f>
        <v/>
      </c>
    </row>
    <row r="96">
      <c r="A96">
        <f>IF('Copy Planner'!$I105=TRUE,95,"")</f>
        <v/>
      </c>
    </row>
    <row r="97">
      <c r="A97">
        <f>IF('Copy Planner'!$I106=TRUE,96,"")</f>
        <v/>
      </c>
    </row>
    <row r="98">
      <c r="A98">
        <f>IF('Copy Planner'!$I107=TRUE,97,"")</f>
        <v/>
      </c>
    </row>
    <row r="99">
      <c r="A99">
        <f>IF('Copy Planner'!$I108=TRUE,98,"")</f>
        <v/>
      </c>
    </row>
    <row r="100">
      <c r="A100">
        <f>IF('Copy Planner'!$I109=TRUE,99,"")</f>
        <v/>
      </c>
    </row>
    <row r="101">
      <c r="A101">
        <f>IF('Copy Planner'!$I110=TRUE,100,"")</f>
        <v/>
      </c>
    </row>
    <row r="102">
      <c r="A102">
        <f>IF('Copy Planner'!$I111=TRUE,101,"")</f>
        <v/>
      </c>
    </row>
    <row r="103">
      <c r="A103">
        <f>IF('Copy Planner'!$I112=TRUE,102,"")</f>
        <v/>
      </c>
    </row>
    <row r="104">
      <c r="A104">
        <f>IF('Copy Planner'!$I113=TRUE,103,"")</f>
        <v/>
      </c>
    </row>
    <row r="105">
      <c r="A105">
        <f>IF('Copy Planner'!$I114=TRUE,104,"")</f>
        <v/>
      </c>
    </row>
    <row r="106">
      <c r="A106">
        <f>IF('Copy Planner'!$I115=TRUE,105,"")</f>
        <v/>
      </c>
    </row>
    <row r="107">
      <c r="A107">
        <f>IF('Copy Planner'!$I116=TRUE,106,"")</f>
        <v/>
      </c>
    </row>
    <row r="108">
      <c r="A108">
        <f>IF('Copy Planner'!$I117=TRUE,107,"")</f>
        <v/>
      </c>
    </row>
    <row r="109">
      <c r="A109">
        <f>IF('Copy Planner'!$I118=TRUE,108,"")</f>
        <v/>
      </c>
    </row>
    <row r="110">
      <c r="A110">
        <f>IF('Copy Planner'!$I119=TRUE,109,"")</f>
        <v/>
      </c>
    </row>
    <row r="111">
      <c r="A111">
        <f>IF('Copy Planner'!$I120=TRUE,110,"")</f>
        <v/>
      </c>
    </row>
    <row r="112">
      <c r="A112">
        <f>IF('Copy Planner'!$I121=TRUE,111,"")</f>
        <v/>
      </c>
    </row>
    <row r="113">
      <c r="A113">
        <f>IF('Copy Planner'!$I122=TRUE,112,"")</f>
        <v/>
      </c>
    </row>
    <row r="114">
      <c r="A114">
        <f>IF('Copy Planner'!$I123=TRUE,113,"")</f>
        <v/>
      </c>
    </row>
    <row r="115">
      <c r="A115">
        <f>IF('Copy Planner'!$I124=TRUE,114,"")</f>
        <v/>
      </c>
    </row>
    <row r="116">
      <c r="A116">
        <f>IF('Copy Planner'!$I125=TRUE,115,"")</f>
        <v/>
      </c>
    </row>
    <row r="117">
      <c r="A117">
        <f>IF('Copy Planner'!$I126=TRUE,116,"")</f>
        <v/>
      </c>
    </row>
    <row r="118">
      <c r="A118">
        <f>IF('Copy Planner'!$I127=TRUE,117,"")</f>
        <v/>
      </c>
    </row>
    <row r="119">
      <c r="A119">
        <f>IF('Copy Planner'!$I128=TRUE,118,"")</f>
        <v/>
      </c>
    </row>
    <row r="120">
      <c r="A120">
        <f>IF('Copy Planner'!$I129=TRUE,119,"")</f>
        <v/>
      </c>
    </row>
    <row r="121">
      <c r="A121">
        <f>IF('Copy Planner'!$I130=TRUE,120,"")</f>
        <v/>
      </c>
    </row>
    <row r="122">
      <c r="A122">
        <f>IF('Copy Planner'!$I131=TRUE,121,"")</f>
        <v/>
      </c>
    </row>
    <row r="123">
      <c r="A123">
        <f>IF('Copy Planner'!$I132=TRUE,122,"")</f>
        <v/>
      </c>
    </row>
    <row r="124">
      <c r="A124">
        <f>IF('Copy Planner'!$I133=TRUE,123,"")</f>
        <v/>
      </c>
    </row>
    <row r="125">
      <c r="A125">
        <f>IF('Copy Planner'!$I134=TRUE,124,"")</f>
        <v/>
      </c>
    </row>
    <row r="126">
      <c r="A126">
        <f>IF('Copy Planner'!$I135=TRUE,125,"")</f>
        <v/>
      </c>
    </row>
    <row r="127">
      <c r="A127">
        <f>IF('Copy Planner'!$I136=TRUE,126,"")</f>
        <v/>
      </c>
    </row>
    <row r="128">
      <c r="A128">
        <f>IF('Copy Planner'!$I137=TRUE,127,"")</f>
        <v/>
      </c>
    </row>
    <row r="129">
      <c r="A129">
        <f>IF('Copy Planner'!$I138=TRUE,128,"")</f>
        <v/>
      </c>
    </row>
    <row r="130">
      <c r="A130">
        <f>IF('Copy Planner'!$I139=TRUE,129,"")</f>
        <v/>
      </c>
    </row>
    <row r="131">
      <c r="A131">
        <f>IF('Copy Planner'!$I140=TRUE,130,"")</f>
        <v/>
      </c>
    </row>
    <row r="132">
      <c r="A132">
        <f>IF('Copy Planner'!$I141=TRUE,131,"")</f>
        <v/>
      </c>
    </row>
    <row r="133">
      <c r="A133">
        <f>IF('Copy Planner'!$I142=TRUE,132,"")</f>
        <v/>
      </c>
    </row>
    <row r="134">
      <c r="A134">
        <f>IF('Copy Planner'!$I143=TRUE,133,"")</f>
        <v/>
      </c>
    </row>
    <row r="135">
      <c r="A135">
        <f>IF('Copy Planner'!$I144=TRUE,134,"")</f>
        <v/>
      </c>
    </row>
    <row r="136">
      <c r="A136">
        <f>IF('Copy Planner'!$I145=TRUE,135,"")</f>
        <v/>
      </c>
    </row>
    <row r="137">
      <c r="A137">
        <f>IF('Copy Planner'!$I146=TRUE,136,"")</f>
        <v/>
      </c>
    </row>
    <row r="138">
      <c r="A138">
        <f>IF('Copy Planner'!$I147=TRUE,137,"")</f>
        <v/>
      </c>
    </row>
    <row r="139">
      <c r="A139">
        <f>IF('Copy Planner'!$I148=TRUE,138,"")</f>
        <v/>
      </c>
    </row>
    <row r="140">
      <c r="A140">
        <f>IF('Copy Planner'!$I149=TRUE,139,"")</f>
        <v/>
      </c>
    </row>
    <row r="141">
      <c r="A141">
        <f>IF('Copy Planner'!$I150=TRUE,140,"")</f>
        <v/>
      </c>
    </row>
    <row r="142">
      <c r="A142">
        <f>IF('Copy Planner'!$I151=TRUE,141,"")</f>
        <v/>
      </c>
    </row>
    <row r="143">
      <c r="A143">
        <f>IF('Copy Planner'!$I152=TRUE,142,"")</f>
        <v/>
      </c>
    </row>
    <row r="144">
      <c r="A144">
        <f>IF('Copy Planner'!$I153=TRUE,143,"")</f>
        <v/>
      </c>
    </row>
    <row r="145">
      <c r="A145">
        <f>IF('Copy Planner'!$I154=TRUE,144,"")</f>
        <v/>
      </c>
    </row>
    <row r="146">
      <c r="A146">
        <f>IF('Copy Planner'!$I155=TRUE,145,"")</f>
        <v/>
      </c>
    </row>
    <row r="147">
      <c r="A147">
        <f>IF('Copy Planner'!$I156=TRUE,146,"")</f>
        <v/>
      </c>
    </row>
    <row r="148">
      <c r="A148">
        <f>IF('Copy Planner'!$I157=TRUE,147,"")</f>
        <v/>
      </c>
    </row>
    <row r="149">
      <c r="A149">
        <f>IF('Copy Planner'!$I158=TRUE,148,"")</f>
        <v/>
      </c>
    </row>
    <row r="150">
      <c r="A150">
        <f>IF('Copy Planner'!$I159=TRUE,149,"")</f>
        <v/>
      </c>
    </row>
    <row r="151">
      <c r="A151">
        <f>IF('Copy Planner'!$I160=TRUE,150,"")</f>
        <v/>
      </c>
    </row>
    <row r="152">
      <c r="A152">
        <f>IF('Copy Planner'!$I161=TRUE,151,"")</f>
        <v/>
      </c>
    </row>
    <row r="153">
      <c r="A153">
        <f>IF('Copy Planner'!$I162=TRUE,152,"")</f>
        <v/>
      </c>
    </row>
    <row r="154">
      <c r="A154">
        <f>IF('Copy Planner'!$I163=TRUE,153,"")</f>
        <v/>
      </c>
    </row>
    <row r="155">
      <c r="A155">
        <f>IF('Copy Planner'!$I164=TRUE,154,"")</f>
        <v/>
      </c>
    </row>
    <row r="156">
      <c r="A156">
        <f>IF('Copy Planner'!$I165=TRUE,155,"")</f>
        <v/>
      </c>
    </row>
    <row r="157">
      <c r="A157">
        <f>IF('Copy Planner'!$I166=TRUE,156,"")</f>
        <v/>
      </c>
    </row>
    <row r="158">
      <c r="A158">
        <f>IF('Copy Planner'!$I167=TRUE,157,"")</f>
        <v/>
      </c>
    </row>
    <row r="159">
      <c r="A159">
        <f>IF('Copy Planner'!$I168=TRUE,158,"")</f>
        <v/>
      </c>
    </row>
    <row r="160">
      <c r="A160">
        <f>IF('Copy Planner'!$I169=TRUE,159,"")</f>
        <v/>
      </c>
    </row>
    <row r="161">
      <c r="A161">
        <f>IF('Copy Planner'!$I170=TRUE,160,"")</f>
        <v/>
      </c>
    </row>
    <row r="162">
      <c r="A162">
        <f>IF('Copy Planner'!$I171=TRUE,161,"")</f>
        <v/>
      </c>
    </row>
    <row r="163">
      <c r="A163">
        <f>IF('Copy Planner'!$I172=TRUE,162,"")</f>
        <v/>
      </c>
    </row>
    <row r="164">
      <c r="A164">
        <f>IF('Copy Planner'!$I173=TRUE,163,"")</f>
        <v/>
      </c>
    </row>
    <row r="165">
      <c r="A165">
        <f>IF('Copy Planner'!$I174=TRUE,164,"")</f>
        <v/>
      </c>
    </row>
    <row r="166">
      <c r="A166">
        <f>IF('Copy Planner'!$I175=TRUE,165,"")</f>
        <v/>
      </c>
    </row>
    <row r="167">
      <c r="A167">
        <f>IF('Copy Planner'!$I176=TRUE,166,"")</f>
        <v/>
      </c>
    </row>
    <row r="168">
      <c r="A168">
        <f>IF('Copy Planner'!$I177=TRUE,167,"")</f>
        <v/>
      </c>
    </row>
    <row r="169">
      <c r="A169">
        <f>IF('Copy Planner'!$I178=TRUE,168,"")</f>
        <v/>
      </c>
    </row>
    <row r="170">
      <c r="A170">
        <f>IF('Copy Planner'!$I179=TRUE,169,"")</f>
        <v/>
      </c>
    </row>
    <row r="171">
      <c r="A171">
        <f>IF('Copy Planner'!$I180=TRUE,170,"")</f>
        <v/>
      </c>
    </row>
    <row r="172">
      <c r="A172">
        <f>IF('Copy Planner'!$I181=TRUE,171,"")</f>
        <v/>
      </c>
    </row>
    <row r="173">
      <c r="A173">
        <f>IF('Copy Planner'!$I182=TRUE,172,"")</f>
        <v/>
      </c>
    </row>
    <row r="174">
      <c r="A174">
        <f>IF('Copy Planner'!$I183=TRUE,173,"")</f>
        <v/>
      </c>
    </row>
    <row r="175">
      <c r="A175">
        <f>IF('Copy Planner'!$I184=TRUE,174,"")</f>
        <v/>
      </c>
    </row>
    <row r="176">
      <c r="A176">
        <f>IF('Copy Planner'!$I185=TRUE,175,"")</f>
        <v/>
      </c>
    </row>
    <row r="177">
      <c r="A177">
        <f>IF('Copy Planner'!$I186=TRUE,176,"")</f>
        <v/>
      </c>
    </row>
    <row r="178">
      <c r="A178">
        <f>IF('Copy Planner'!$I187=TRUE,177,"")</f>
        <v/>
      </c>
    </row>
    <row r="179">
      <c r="A179">
        <f>IF('Copy Planner'!$I188=TRUE,178,"")</f>
        <v/>
      </c>
    </row>
    <row r="180">
      <c r="A180">
        <f>IF('Copy Planner'!$I189=TRUE,179,"")</f>
        <v/>
      </c>
    </row>
    <row r="181">
      <c r="A181">
        <f>IF('Copy Planner'!$I190=TRUE,180,"")</f>
        <v/>
      </c>
    </row>
    <row r="182">
      <c r="A182">
        <f>IF('Copy Planner'!$I191=TRUE,181,"")</f>
        <v/>
      </c>
    </row>
    <row r="183">
      <c r="A183">
        <f>IF('Copy Planner'!$I192=TRUE,182,"")</f>
        <v/>
      </c>
    </row>
    <row r="184">
      <c r="A184">
        <f>IF('Copy Planner'!$I193=TRUE,183,"")</f>
        <v/>
      </c>
    </row>
    <row r="185">
      <c r="A185">
        <f>IF('Copy Planner'!$I194=TRUE,184,"")</f>
        <v/>
      </c>
    </row>
    <row r="186">
      <c r="A186">
        <f>IF('Copy Planner'!$I195=TRUE,185,"")</f>
        <v/>
      </c>
    </row>
    <row r="187">
      <c r="A187">
        <f>IF('Copy Planner'!$I196=TRUE,186,"")</f>
        <v/>
      </c>
    </row>
    <row r="188">
      <c r="A188">
        <f>IF('Copy Planner'!$I197=TRUE,187,"")</f>
        <v/>
      </c>
    </row>
    <row r="189">
      <c r="A189">
        <f>IF('Copy Planner'!$I198=TRUE,188,"")</f>
        <v/>
      </c>
    </row>
    <row r="190">
      <c r="A190">
        <f>IF('Copy Planner'!$I199=TRUE,189,"")</f>
        <v/>
      </c>
    </row>
    <row r="191">
      <c r="A191">
        <f>IF('Copy Planner'!$I200=TRUE,190,"")</f>
        <v/>
      </c>
    </row>
    <row r="192">
      <c r="A192">
        <f>IF('Copy Planner'!$I201=TRUE,191,"")</f>
        <v/>
      </c>
    </row>
    <row r="193">
      <c r="A193">
        <f>IF('Copy Planner'!$I202=TRUE,192,"")</f>
        <v/>
      </c>
    </row>
    <row r="194">
      <c r="A194">
        <f>IF('Copy Planner'!$I203=TRUE,193,"")</f>
        <v/>
      </c>
    </row>
    <row r="195">
      <c r="A195">
        <f>IF('Copy Planner'!$I204=TRUE,194,"")</f>
        <v/>
      </c>
    </row>
    <row r="196">
      <c r="A196">
        <f>IF('Copy Planner'!$I205=TRUE,195,"")</f>
        <v/>
      </c>
    </row>
    <row r="197">
      <c r="A197">
        <f>IF('Copy Planner'!$I206=TRUE,196,"")</f>
        <v/>
      </c>
    </row>
    <row r="198">
      <c r="A198">
        <f>IF('Copy Planner'!$I207=TRUE,197,"")</f>
        <v/>
      </c>
    </row>
    <row r="199">
      <c r="A199">
        <f>IF('Copy Planner'!$I208=TRUE,198,"")</f>
        <v/>
      </c>
    </row>
    <row r="200">
      <c r="A200">
        <f>IF('Copy Planner'!$I209=TRUE,199,"")</f>
        <v/>
      </c>
    </row>
    <row r="201">
      <c r="A201">
        <f>IF('Copy Planner'!$I210=TRUE,200,"")</f>
        <v/>
      </c>
    </row>
    <row r="202">
      <c r="A202">
        <f>IF('Copy Planner'!$I211=TRUE,201,"")</f>
        <v/>
      </c>
    </row>
    <row r="203">
      <c r="A203">
        <f>IF('Copy Planner'!$I212=TRUE,202,"")</f>
        <v/>
      </c>
    </row>
    <row r="204">
      <c r="A204">
        <f>IF('Copy Planner'!$I213=TRUE,203,"")</f>
        <v/>
      </c>
    </row>
    <row r="205">
      <c r="A205">
        <f>IF('Copy Planner'!$I214=TRUE,204,"")</f>
        <v/>
      </c>
    </row>
    <row r="206">
      <c r="A206">
        <f>IF('Copy Planner'!$I215=TRUE,205,"")</f>
        <v/>
      </c>
    </row>
    <row r="207">
      <c r="A207">
        <f>IF('Copy Planner'!$I216=TRUE,206,"")</f>
        <v/>
      </c>
    </row>
    <row r="208">
      <c r="A208">
        <f>IF('Copy Planner'!$I217=TRUE,207,"")</f>
        <v/>
      </c>
    </row>
    <row r="209">
      <c r="A209">
        <f>IF('Copy Planner'!$I218=TRUE,208,"")</f>
        <v/>
      </c>
    </row>
    <row r="210">
      <c r="A210">
        <f>IF('Copy Planner'!$I219=TRUE,209,"")</f>
        <v/>
      </c>
    </row>
    <row r="211">
      <c r="A211">
        <f>IF('Copy Planner'!$I220=TRUE,210,"")</f>
        <v/>
      </c>
    </row>
    <row r="212">
      <c r="A212">
        <f>IF('Copy Planner'!$I221=TRUE,211,"")</f>
        <v/>
      </c>
    </row>
    <row r="213">
      <c r="A213">
        <f>IF('Copy Planner'!$I222=TRUE,212,"")</f>
        <v/>
      </c>
    </row>
    <row r="214">
      <c r="A214">
        <f>IF('Copy Planner'!$I223=TRUE,213,"")</f>
        <v/>
      </c>
    </row>
    <row r="215">
      <c r="A215">
        <f>IF('Copy Planner'!$I224=TRUE,214,"")</f>
        <v/>
      </c>
    </row>
    <row r="216">
      <c r="A216">
        <f>IF('Copy Planner'!$I225=TRUE,215,"")</f>
        <v/>
      </c>
    </row>
    <row r="217">
      <c r="A217">
        <f>IF('Copy Planner'!$I226=TRUE,216,"")</f>
        <v/>
      </c>
    </row>
    <row r="218">
      <c r="A218">
        <f>IF('Copy Planner'!$I227=TRUE,217,"")</f>
        <v/>
      </c>
    </row>
    <row r="219">
      <c r="A219">
        <f>IF('Copy Planner'!$I228=TRUE,218,"")</f>
        <v/>
      </c>
    </row>
    <row r="220">
      <c r="A220">
        <f>IF('Copy Planner'!$I229=TRUE,219,"")</f>
        <v/>
      </c>
    </row>
    <row r="221">
      <c r="A221">
        <f>IF('Copy Planner'!$I230=TRUE,220,"")</f>
        <v/>
      </c>
    </row>
    <row r="222">
      <c r="A222">
        <f>IF('Copy Planner'!$I231=TRUE,221,"")</f>
        <v/>
      </c>
    </row>
    <row r="223">
      <c r="A223">
        <f>IF('Copy Planner'!$I232=TRUE,222,"")</f>
        <v/>
      </c>
    </row>
    <row r="224">
      <c r="A224">
        <f>IF('Copy Planner'!$I233=TRUE,223,"")</f>
        <v/>
      </c>
    </row>
    <row r="225">
      <c r="A225">
        <f>IF('Copy Planner'!$I234=TRUE,224,"")</f>
        <v/>
      </c>
    </row>
    <row r="226">
      <c r="A226">
        <f>IF('Copy Planner'!$I235=TRUE,225,"")</f>
        <v/>
      </c>
    </row>
    <row r="227">
      <c r="A227">
        <f>IF('Copy Planner'!$I236=TRUE,226,"")</f>
        <v/>
      </c>
    </row>
    <row r="228">
      <c r="A228">
        <f>IF('Copy Planner'!$I237=TRUE,227,"")</f>
        <v/>
      </c>
    </row>
    <row r="229">
      <c r="A229">
        <f>IF('Copy Planner'!$I238=TRUE,228,"")</f>
        <v/>
      </c>
    </row>
    <row r="230">
      <c r="A230">
        <f>IF('Copy Planner'!$I239=TRUE,229,"")</f>
        <v/>
      </c>
    </row>
    <row r="231">
      <c r="A231">
        <f>IF('Copy Planner'!$I240=TRUE,230,"")</f>
        <v/>
      </c>
    </row>
    <row r="232">
      <c r="A232">
        <f>IF('Copy Planner'!$I241=TRUE,231,"")</f>
        <v/>
      </c>
    </row>
    <row r="233">
      <c r="A233">
        <f>IF('Copy Planner'!$I242=TRUE,232,"")</f>
        <v/>
      </c>
    </row>
    <row r="234">
      <c r="A234">
        <f>IF('Copy Planner'!$I243=TRUE,233,"")</f>
        <v/>
      </c>
    </row>
    <row r="235">
      <c r="A235">
        <f>IF('Copy Planner'!$I244=TRUE,234,"")</f>
        <v/>
      </c>
    </row>
    <row r="236">
      <c r="A236">
        <f>IF('Copy Planner'!$I245=TRUE,235,"")</f>
        <v/>
      </c>
    </row>
    <row r="237">
      <c r="A237">
        <f>IF('Copy Planner'!$I246=TRUE,236,"")</f>
        <v/>
      </c>
    </row>
    <row r="238">
      <c r="A238">
        <f>IF('Copy Planner'!$I247=TRUE,237,"")</f>
        <v/>
      </c>
    </row>
    <row r="239">
      <c r="A239">
        <f>IF('Copy Planner'!$I248=TRUE,238,"")</f>
        <v/>
      </c>
    </row>
    <row r="240">
      <c r="A240">
        <f>IF('Copy Planner'!$I249=TRUE,239,"")</f>
        <v/>
      </c>
    </row>
    <row r="241">
      <c r="A241">
        <f>IF('Copy Planner'!$I250=TRUE,240,"")</f>
        <v/>
      </c>
    </row>
    <row r="242">
      <c r="A242">
        <f>IF('Copy Planner'!$I251=TRUE,241,"")</f>
        <v/>
      </c>
    </row>
    <row r="243">
      <c r="A243">
        <f>IF('Copy Planner'!$I252=TRUE,242,"")</f>
        <v/>
      </c>
    </row>
    <row r="244">
      <c r="A244">
        <f>IF('Copy Planner'!$I253=TRUE,243,"")</f>
        <v/>
      </c>
    </row>
    <row r="245">
      <c r="A245">
        <f>IF('Copy Planner'!$I254=TRUE,244,"")</f>
        <v/>
      </c>
    </row>
    <row r="246">
      <c r="A246">
        <f>IF('Copy Planner'!$I255=TRUE,245,"")</f>
        <v/>
      </c>
    </row>
    <row r="247">
      <c r="A247">
        <f>IF('Copy Planner'!$I256=TRUE,246,"")</f>
        <v/>
      </c>
    </row>
    <row r="248">
      <c r="A248">
        <f>IF('Copy Planner'!$I257=TRUE,247,"")</f>
        <v/>
      </c>
    </row>
    <row r="249">
      <c r="A249">
        <f>IF('Copy Planner'!$I258=TRUE,248,"")</f>
        <v/>
      </c>
    </row>
    <row r="250">
      <c r="A250">
        <f>IF('Copy Planner'!$I259=TRUE,249,"")</f>
        <v/>
      </c>
    </row>
    <row r="251">
      <c r="A251">
        <f>IF('Copy Planner'!$I260=TRUE,250,"")</f>
        <v/>
      </c>
    </row>
    <row r="252">
      <c r="A252">
        <f>IF('Copy Planner'!$I261=TRUE,251,"")</f>
        <v/>
      </c>
    </row>
    <row r="253">
      <c r="A253">
        <f>IF('Copy Planner'!$I262=TRUE,252,"")</f>
        <v/>
      </c>
    </row>
    <row r="254">
      <c r="A254">
        <f>IF('Copy Planner'!$I263=TRUE,253,"")</f>
        <v/>
      </c>
    </row>
    <row r="255">
      <c r="A255">
        <f>IF('Copy Planner'!$I264=TRUE,254,"")</f>
        <v/>
      </c>
    </row>
    <row r="256">
      <c r="A256">
        <f>IF('Copy Planner'!$I265=TRUE,255,"")</f>
        <v/>
      </c>
    </row>
    <row r="257">
      <c r="A257">
        <f>IF('Copy Planner'!$I266=TRUE,256,"")</f>
        <v/>
      </c>
    </row>
    <row r="258">
      <c r="A258">
        <f>IF('Copy Planner'!$I267=TRUE,257,"")</f>
        <v/>
      </c>
    </row>
    <row r="259">
      <c r="A259">
        <f>IF('Copy Planner'!$I268=TRUE,258,"")</f>
        <v/>
      </c>
    </row>
    <row r="260">
      <c r="A260">
        <f>IF('Copy Planner'!$I269=TRUE,259,"")</f>
        <v/>
      </c>
    </row>
    <row r="261">
      <c r="A261">
        <f>IF('Copy Planner'!$I270=TRUE,260,"")</f>
        <v/>
      </c>
    </row>
    <row r="262">
      <c r="A262">
        <f>IF('Copy Planner'!$I271=TRUE,261,"")</f>
        <v/>
      </c>
    </row>
    <row r="263">
      <c r="A263">
        <f>IF('Copy Planner'!$I272=TRUE,262,"")</f>
        <v/>
      </c>
    </row>
    <row r="264">
      <c r="A264">
        <f>IF('Copy Planner'!$I273=TRUE,263,"")</f>
        <v/>
      </c>
    </row>
    <row r="265">
      <c r="A265">
        <f>IF('Copy Planner'!$I274=TRUE,264,"")</f>
        <v/>
      </c>
    </row>
    <row r="266">
      <c r="A266">
        <f>IF('Copy Planner'!$I275=TRUE,265,"")</f>
        <v/>
      </c>
    </row>
    <row r="267">
      <c r="A267">
        <f>IF('Copy Planner'!$I276=TRUE,266,"")</f>
        <v/>
      </c>
    </row>
    <row r="268">
      <c r="A268">
        <f>IF('Copy Planner'!$I277=TRUE,267,"")</f>
        <v/>
      </c>
    </row>
    <row r="269">
      <c r="A269">
        <f>IF('Copy Planner'!$I278=TRUE,268,"")</f>
        <v/>
      </c>
    </row>
    <row r="270">
      <c r="A270">
        <f>IF('Copy Planner'!$I279=TRUE,269,"")</f>
        <v/>
      </c>
    </row>
    <row r="271">
      <c r="A271">
        <f>IF('Copy Planner'!$I280=TRUE,270,"")</f>
        <v/>
      </c>
    </row>
    <row r="272">
      <c r="A272">
        <f>IF('Copy Planner'!$I281=TRUE,271,"")</f>
        <v/>
      </c>
    </row>
    <row r="273">
      <c r="A273">
        <f>IF('Copy Planner'!$I282=TRUE,272,"")</f>
        <v/>
      </c>
    </row>
    <row r="274">
      <c r="A274">
        <f>IF('Copy Planner'!$I283=TRUE,273,"")</f>
        <v/>
      </c>
    </row>
    <row r="275">
      <c r="A275">
        <f>IF('Copy Planner'!$I284=TRUE,274,"")</f>
        <v/>
      </c>
    </row>
    <row r="276">
      <c r="A276">
        <f>IF('Copy Planner'!$I285=TRUE,275,"")</f>
        <v/>
      </c>
    </row>
    <row r="277">
      <c r="A277">
        <f>IF('Copy Planner'!$I286=TRUE,276,"")</f>
        <v/>
      </c>
    </row>
    <row r="278">
      <c r="A278">
        <f>IF('Copy Planner'!$I287=TRUE,277,"")</f>
        <v/>
      </c>
    </row>
    <row r="279">
      <c r="A279">
        <f>IF('Copy Planner'!$I288=TRUE,278,"")</f>
        <v/>
      </c>
    </row>
    <row r="280">
      <c r="A280">
        <f>IF('Copy Planner'!$I289=TRUE,279,"")</f>
        <v/>
      </c>
    </row>
    <row r="281">
      <c r="A281">
        <f>IF('Copy Planner'!$I290=TRUE,280,"")</f>
        <v/>
      </c>
    </row>
    <row r="282">
      <c r="A282">
        <f>IF('Copy Planner'!$I291=TRUE,281,"")</f>
        <v/>
      </c>
    </row>
    <row r="283">
      <c r="A283">
        <f>IF('Copy Planner'!$I292=TRUE,282,"")</f>
        <v/>
      </c>
    </row>
    <row r="284">
      <c r="A284">
        <f>IF('Copy Planner'!$I293=TRUE,283,"")</f>
        <v/>
      </c>
    </row>
    <row r="285">
      <c r="A285">
        <f>IF('Copy Planner'!$I294=TRUE,284,"")</f>
        <v/>
      </c>
    </row>
    <row r="286">
      <c r="A286">
        <f>IF('Copy Planner'!$I295=TRUE,285,"")</f>
        <v/>
      </c>
    </row>
    <row r="287">
      <c r="A287">
        <f>IF('Copy Planner'!$I296=TRUE,286,"")</f>
        <v/>
      </c>
    </row>
    <row r="288">
      <c r="A288">
        <f>IF('Copy Planner'!$I297=TRUE,287,"")</f>
        <v/>
      </c>
    </row>
    <row r="289">
      <c r="A289">
        <f>IF('Copy Planner'!$I298=TRUE,288,"")</f>
        <v/>
      </c>
    </row>
    <row r="290">
      <c r="A290">
        <f>IF('Copy Planner'!$I299=TRUE,289,"")</f>
        <v/>
      </c>
    </row>
    <row r="291">
      <c r="A291">
        <f>IF('Copy Planner'!$I300=TRUE,290,"")</f>
        <v/>
      </c>
    </row>
    <row r="292">
      <c r="A292">
        <f>IF('Copy Planner'!$I301=TRUE,291,"")</f>
        <v/>
      </c>
    </row>
    <row r="293">
      <c r="A293">
        <f>IF('Copy Planner'!$I302=TRUE,292,"")</f>
        <v/>
      </c>
    </row>
    <row r="294">
      <c r="A294">
        <f>IF('Copy Planner'!$I303=TRUE,293,"")</f>
        <v/>
      </c>
    </row>
    <row r="295">
      <c r="A295">
        <f>IF('Copy Planner'!$I304=TRUE,294,"")</f>
        <v/>
      </c>
    </row>
    <row r="296">
      <c r="A296">
        <f>IF('Copy Planner'!$I305=TRUE,295,"")</f>
        <v/>
      </c>
    </row>
    <row r="297">
      <c r="A297">
        <f>IF('Copy Planner'!$I306=TRUE,296,"")</f>
        <v/>
      </c>
    </row>
    <row r="298">
      <c r="A298">
        <f>IF('Copy Planner'!$I307=TRUE,297,"")</f>
        <v/>
      </c>
    </row>
    <row r="299">
      <c r="A299">
        <f>IF('Copy Planner'!$I308=TRUE,298,"")</f>
        <v/>
      </c>
    </row>
    <row r="300">
      <c r="A300">
        <f>IF('Copy Planner'!$I309=TRUE,299,"")</f>
        <v/>
      </c>
    </row>
    <row r="301">
      <c r="A301">
        <f>IF('Copy Planner'!$I310=TRUE,300,"")</f>
        <v/>
      </c>
    </row>
    <row r="302">
      <c r="A302">
        <f>IF('Copy Planner'!$I311=TRUE,301,"")</f>
        <v/>
      </c>
    </row>
    <row r="303">
      <c r="A303">
        <f>IF('Copy Planner'!$I312=TRUE,302,"")</f>
        <v/>
      </c>
    </row>
    <row r="304">
      <c r="A304">
        <f>IF('Copy Planner'!$I313=TRUE,303,"")</f>
        <v/>
      </c>
    </row>
    <row r="305">
      <c r="A305">
        <f>IF('Copy Planner'!$I314=TRUE,304,"")</f>
        <v/>
      </c>
    </row>
    <row r="306">
      <c r="A306">
        <f>IF('Copy Planner'!$I315=TRUE,305,"")</f>
        <v/>
      </c>
    </row>
    <row r="307">
      <c r="A307">
        <f>IF('Copy Planner'!$I316=TRUE,306,"")</f>
        <v/>
      </c>
    </row>
    <row r="308">
      <c r="A308">
        <f>IF('Copy Planner'!$I317=TRUE,307,"")</f>
        <v/>
      </c>
    </row>
    <row r="309">
      <c r="A309">
        <f>IF('Copy Planner'!$I318=TRUE,308,"")</f>
        <v/>
      </c>
    </row>
    <row r="310">
      <c r="A310">
        <f>IF('Copy Planner'!$I319=TRUE,309,"")</f>
        <v/>
      </c>
    </row>
    <row r="311">
      <c r="A311">
        <f>IF('Copy Planner'!$I320=TRUE,310,"")</f>
        <v/>
      </c>
    </row>
    <row r="312">
      <c r="A312">
        <f>IF('Copy Planner'!$I321=TRUE,311,"")</f>
        <v/>
      </c>
    </row>
    <row r="313">
      <c r="A313">
        <f>IF('Copy Planner'!$I322=TRUE,312,"")</f>
        <v/>
      </c>
    </row>
    <row r="314">
      <c r="A314">
        <f>IF('Copy Planner'!$I323=TRUE,313,"")</f>
        <v/>
      </c>
    </row>
    <row r="315">
      <c r="A315">
        <f>IF('Copy Planner'!$I324=TRUE,314,"")</f>
        <v/>
      </c>
    </row>
    <row r="316">
      <c r="A316">
        <f>IF('Copy Planner'!$I325=TRUE,315,"")</f>
        <v/>
      </c>
    </row>
    <row r="317">
      <c r="A317">
        <f>IF('Copy Planner'!$I326=TRUE,316,"")</f>
        <v/>
      </c>
    </row>
    <row r="318">
      <c r="A318">
        <f>IF('Copy Planner'!$I327=TRUE,317,"")</f>
        <v/>
      </c>
    </row>
    <row r="319">
      <c r="A319">
        <f>IF('Copy Planner'!$I328=TRUE,318,"")</f>
        <v/>
      </c>
    </row>
    <row r="320">
      <c r="A320">
        <f>IF('Copy Planner'!$I329=TRUE,319,"")</f>
        <v/>
      </c>
    </row>
    <row r="321">
      <c r="A321">
        <f>IF('Copy Planner'!$I330=TRUE,320,"")</f>
        <v/>
      </c>
    </row>
    <row r="322">
      <c r="A322">
        <f>IF('Copy Planner'!$I331=TRUE,321,"")</f>
        <v/>
      </c>
    </row>
    <row r="323">
      <c r="A323">
        <f>IF('Copy Planner'!$I332=TRUE,322,"")</f>
        <v/>
      </c>
    </row>
    <row r="324">
      <c r="A324">
        <f>IF('Copy Planner'!$I333=TRUE,323,"")</f>
        <v/>
      </c>
    </row>
    <row r="325">
      <c r="A325">
        <f>IF('Copy Planner'!$I334=TRUE,324,"")</f>
        <v/>
      </c>
    </row>
    <row r="326">
      <c r="A326">
        <f>IF('Copy Planner'!$I335=TRUE,325,"")</f>
        <v/>
      </c>
    </row>
    <row r="327">
      <c r="A327">
        <f>IF('Copy Planner'!$I336=TRUE,326,"")</f>
        <v/>
      </c>
    </row>
    <row r="328">
      <c r="A328">
        <f>IF('Copy Planner'!$I337=TRUE,327,"")</f>
        <v/>
      </c>
    </row>
    <row r="329">
      <c r="A329">
        <f>IF('Copy Planner'!$I338=TRUE,328,"")</f>
        <v/>
      </c>
    </row>
    <row r="330">
      <c r="A330">
        <f>IF('Copy Planner'!$I339=TRUE,329,"")</f>
        <v/>
      </c>
    </row>
    <row r="331">
      <c r="A331">
        <f>IF('Copy Planner'!$I340=TRUE,330,"")</f>
        <v/>
      </c>
    </row>
    <row r="332">
      <c r="A332">
        <f>IF('Copy Planner'!$I341=TRUE,331,"")</f>
        <v/>
      </c>
    </row>
    <row r="333">
      <c r="A333">
        <f>IF('Copy Planner'!$I342=TRUE,332,"")</f>
        <v/>
      </c>
    </row>
    <row r="334">
      <c r="A334">
        <f>IF('Copy Planner'!$I343=TRUE,333,"")</f>
        <v/>
      </c>
    </row>
    <row r="335">
      <c r="A335">
        <f>IF('Copy Planner'!$I344=TRUE,334,"")</f>
        <v/>
      </c>
    </row>
    <row r="336">
      <c r="A336">
        <f>IF('Copy Planner'!$I345=TRUE,335,"")</f>
        <v/>
      </c>
    </row>
    <row r="337">
      <c r="A337">
        <f>IF('Copy Planner'!$I346=TRUE,336,"")</f>
        <v/>
      </c>
    </row>
    <row r="338">
      <c r="A338">
        <f>IF('Copy Planner'!$I347=TRUE,337,"")</f>
        <v/>
      </c>
    </row>
    <row r="339">
      <c r="A339">
        <f>IF('Copy Planner'!$I348=TRUE,338,"")</f>
        <v/>
      </c>
    </row>
    <row r="340">
      <c r="A340">
        <f>IF('Copy Planner'!$I349=TRUE,339,"")</f>
        <v/>
      </c>
    </row>
    <row r="341">
      <c r="A341">
        <f>IF('Copy Planner'!$I350=TRUE,340,"")</f>
        <v/>
      </c>
    </row>
    <row r="342">
      <c r="A342">
        <f>IF('Copy Planner'!$I351=TRUE,341,"")</f>
        <v/>
      </c>
    </row>
    <row r="343">
      <c r="A343">
        <f>IF('Copy Planner'!$I352=TRUE,342,"")</f>
        <v/>
      </c>
    </row>
    <row r="344">
      <c r="A344">
        <f>IF('Copy Planner'!$I353=TRUE,343,"")</f>
        <v/>
      </c>
    </row>
    <row r="345">
      <c r="A345">
        <f>IF('Copy Planner'!$I354=TRUE,344,"")</f>
        <v/>
      </c>
    </row>
    <row r="346">
      <c r="A346">
        <f>IF('Copy Planner'!$I355=TRUE,345,"")</f>
        <v/>
      </c>
    </row>
    <row r="347">
      <c r="A347">
        <f>IF('Copy Planner'!$I356=TRUE,346,"")</f>
        <v/>
      </c>
    </row>
    <row r="348">
      <c r="A348">
        <f>IF('Copy Planner'!$I357=TRUE,347,"")</f>
        <v/>
      </c>
    </row>
    <row r="349">
      <c r="A349">
        <f>IF('Copy Planner'!$I358=TRUE,348,"")</f>
        <v/>
      </c>
    </row>
    <row r="350">
      <c r="A350">
        <f>IF('Copy Planner'!$I359=TRUE,349,"")</f>
        <v/>
      </c>
    </row>
    <row r="351">
      <c r="A351">
        <f>IF('Copy Planner'!$I360=TRUE,350,"")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5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7" customWidth="1" min="3" max="3"/>
    <col width="9" customWidth="1" min="4" max="4"/>
    <col width="34" customWidth="1" min="5" max="5"/>
    <col width="30" customWidth="1" min="6" max="6"/>
    <col width="3" customWidth="1" min="7" max="7"/>
    <col hidden="1" width="6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</cols>
  <sheetData>
    <row r="1">
      <c r="A1" s="13" t="inlineStr">
        <is>
          <t>COPY LOG</t>
        </is>
      </c>
    </row>
    <row r="2">
      <c r="A2" s="6" t="inlineStr">
        <is>
          <t>Everything below is what YOUR selected character spends. Gold and downtime are expended, not paid to the lender.</t>
        </is>
      </c>
    </row>
    <row r="4">
      <c r="A4" s="14" t="inlineStr">
        <is>
          <t>Character</t>
        </is>
      </c>
      <c r="C4" s="14" t="inlineStr">
        <is>
          <t>Spells</t>
        </is>
      </c>
      <c r="D4" s="14" t="inlineStr">
        <is>
          <t>Total GP</t>
        </is>
      </c>
      <c r="E4" s="14" t="inlineStr">
        <is>
          <t>Total DT</t>
        </is>
      </c>
    </row>
    <row r="5">
      <c r="A5" s="15">
        <f>'Copy Planner'!$B$1</f>
        <v/>
      </c>
      <c r="C5" s="15">
        <f>'Copy Planner'!$L$5</f>
        <v/>
      </c>
      <c r="D5" s="15">
        <f>'Copy Planner'!$C$3</f>
        <v/>
      </c>
      <c r="E5" s="15">
        <f>'Copy Planner'!$C$4</f>
        <v/>
      </c>
    </row>
    <row r="6">
      <c r="A6" s="6" t="inlineStr">
        <is>
          <t>Downtime is spent as one batch, so Total DT already applies the Order of Scribes rate where it is due - which is why there is no per-spell DT column. Per-spell GP is shown, because gold is per spell level regardless of subclass.</t>
        </is>
      </c>
    </row>
    <row r="8">
      <c r="A8" s="7" t="inlineStr">
        <is>
          <t>PASTE THIS ONE CELL INTO YOUR CHARACTER LOG   (click A9, then copy)</t>
        </is>
      </c>
    </row>
    <row r="9" ht="58" customHeight="1">
      <c r="A9" s="16">
        <f>IF('Copy Planner'!$L$1="","Pick your character on Copy Planner, then tick the spells you want.",IF('Copy Planner'!$L$5=0,"Nothing ticked yet.","Copied "&amp;'Copy Planner'!$L$5&amp;" wizard spell(s) into spellbook: "&amp;MID($H$12&amp;$H$13&amp;$H$14&amp;$H$15&amp;$H$16&amp;$H$17&amp;$H$18&amp;$H$19&amp;$H$20&amp;$H$21&amp;$H$22&amp;$H$23&amp;$H$24&amp;$H$25&amp;$H$26&amp;$H$27&amp;$H$28&amp;$H$29&amp;$H$30&amp;$H$31&amp;$H$32&amp;$H$33&amp;$H$34&amp;$H$35&amp;$H$36&amp;$H$37&amp;$H$38&amp;$H$39&amp;$H$40&amp;$H$41&amp;$H$42&amp;$H$43&amp;$H$44&amp;$H$45&amp;$H$46&amp;$H$47&amp;$H$48&amp;$H$49&amp;$H$50&amp;$H$51,3,32767)&amp;". Total: "&amp;'Copy Planner'!$C$3&amp;" GP and "&amp;'Copy Planner'!$C$4&amp;" DT."))</f>
        <v/>
      </c>
      <c r="B9" s="17" t="n"/>
      <c r="C9" s="17" t="n"/>
      <c r="D9" s="17" t="n"/>
      <c r="E9" s="17" t="n"/>
      <c r="F9" s="18" t="n"/>
    </row>
    <row r="11">
      <c r="A11" s="5" t="inlineStr">
        <is>
          <t>#</t>
        </is>
      </c>
      <c r="B11" s="5" t="inlineStr">
        <is>
          <t>Spell</t>
        </is>
      </c>
      <c r="C11" s="5" t="inlineStr">
        <is>
          <t>Level</t>
        </is>
      </c>
      <c r="D11" s="5" t="inlineStr">
        <is>
          <t>GP</t>
        </is>
      </c>
      <c r="E11" s="5" t="inlineStr">
        <is>
          <t>Copied from (character)</t>
        </is>
      </c>
      <c r="F11" s="5" t="inlineStr">
        <is>
          <t>Player</t>
        </is>
      </c>
      <c r="G11" s="5" t="inlineStr"/>
      <c r="H11" s="5" t="inlineStr">
        <is>
          <t>log fragment</t>
        </is>
      </c>
    </row>
    <row r="12">
      <c r="A12">
        <f>IFERROR(SMALL(Calc!$A$2:$A$351,1),"")</f>
        <v/>
      </c>
      <c r="B12">
        <f>IF($A12="","",INDEX(Spells!$B$2:$B$351,$A12))</f>
        <v/>
      </c>
      <c r="C12">
        <f>IF($A12="","",INDEX(Spells!$A$2:$A$351,$A12))</f>
        <v/>
      </c>
      <c r="D12">
        <f>IF($A12="","",$C12*50)</f>
        <v/>
      </c>
      <c r="E12">
        <f>IF($A12="","",INDEX(Matrix!$AZ$2:$AZ$351,$A12))</f>
        <v/>
      </c>
      <c r="F12">
        <f>IF($A12="","",MID($I12&amp;$J12&amp;$K12&amp;$L12&amp;$M12&amp;$N12&amp;$O12&amp;$P12&amp;$Q12&amp;$R12&amp;$S12&amp;$T12&amp;$U12&amp;$V12&amp;$W12&amp;$X12&amp;$Y12&amp;$Z12&amp;$AA12&amp;$AB12&amp;$AC12&amp;$AD12&amp;$AE12&amp;$AF12,3,32767))</f>
        <v/>
      </c>
      <c r="H12">
        <f>IF($A12="","","; "&amp;$B12&amp;" (L"&amp;$C12&amp;", "&amp;$D12&amp;" GP) from "&amp;$E12)</f>
        <v/>
      </c>
      <c r="I12">
        <f>IF($A12="","",IF(INDEX(Matrix!$D$2:$D$351,$A12)=1,", "&amp;Wizards!$B$2,""))</f>
        <v/>
      </c>
      <c r="J12">
        <f>IF($A12="","",IF(INDEX(Matrix!$E$2:$E$351,$A12)=1,", "&amp;Wizards!$B$3,""))</f>
        <v/>
      </c>
      <c r="K12">
        <f>IF($A12="","",IF(INDEX(Matrix!$F$2:$F$351,$A12)=1,", "&amp;Wizards!$B$4,""))</f>
        <v/>
      </c>
      <c r="L12">
        <f>IF($A12="","",IF(INDEX(Matrix!$G$2:$G$351,$A12)=1,", "&amp;Wizards!$B$5,""))</f>
        <v/>
      </c>
      <c r="M12">
        <f>IF($A12="","",IF(INDEX(Matrix!$H$2:$H$351,$A12)=1,", "&amp;Wizards!$B$6,""))</f>
        <v/>
      </c>
      <c r="N12">
        <f>IF($A12="","",IF(INDEX(Matrix!$I$2:$I$351,$A12)=1,", "&amp;Wizards!$B$7,""))</f>
        <v/>
      </c>
      <c r="O12">
        <f>IF($A12="","",IF(INDEX(Matrix!$J$2:$J$351,$A12)=1,", "&amp;Wizards!$B$8,""))</f>
        <v/>
      </c>
      <c r="P12">
        <f>IF($A12="","",IF(INDEX(Matrix!$K$2:$K$351,$A12)=1,", "&amp;Wizards!$B$9,""))</f>
        <v/>
      </c>
      <c r="Q12">
        <f>IF($A12="","",IF(INDEX(Matrix!$L$2:$L$351,$A12)=1,", "&amp;Wizards!$B$10,""))</f>
        <v/>
      </c>
      <c r="R12">
        <f>IF($A12="","",IF(INDEX(Matrix!$M$2:$M$351,$A12)=1,", "&amp;Wizards!$B$11,""))</f>
        <v/>
      </c>
      <c r="S12">
        <f>IF($A12="","",IF(INDEX(Matrix!$N$2:$N$351,$A12)=1,", "&amp;Wizards!$B$12,""))</f>
        <v/>
      </c>
      <c r="T12">
        <f>IF($A12="","",IF(INDEX(Matrix!$O$2:$O$351,$A12)=1,", "&amp;Wizards!$B$13,""))</f>
        <v/>
      </c>
      <c r="U12">
        <f>IF($A12="","",IF(INDEX(Matrix!$P$2:$P$351,$A12)=1,", "&amp;Wizards!$B$14,""))</f>
        <v/>
      </c>
      <c r="V12">
        <f>IF($A12="","",IF(INDEX(Matrix!$Q$2:$Q$351,$A12)=1,", "&amp;Wizards!$B$15,""))</f>
        <v/>
      </c>
      <c r="W12">
        <f>IF($A12="","",IF(INDEX(Matrix!$R$2:$R$351,$A12)=1,", "&amp;Wizards!$B$16,""))</f>
        <v/>
      </c>
      <c r="X12">
        <f>IF($A12="","",IF(INDEX(Matrix!$S$2:$S$351,$A12)=1,", "&amp;Wizards!$B$17,""))</f>
        <v/>
      </c>
      <c r="Y12">
        <f>IF($A12="","",IF(INDEX(Matrix!$T$2:$T$351,$A12)=1,", "&amp;Wizards!$B$18,""))</f>
        <v/>
      </c>
      <c r="Z12">
        <f>IF($A12="","",IF(INDEX(Matrix!$U$2:$U$351,$A12)=1,", "&amp;Wizards!$B$19,""))</f>
        <v/>
      </c>
      <c r="AA12">
        <f>IF($A12="","",IF(INDEX(Matrix!$V$2:$V$351,$A12)=1,", "&amp;Wizards!$B$20,""))</f>
        <v/>
      </c>
      <c r="AB12">
        <f>IF($A12="","",IF(INDEX(Matrix!$W$2:$W$351,$A12)=1,", "&amp;Wizards!$B$21,""))</f>
        <v/>
      </c>
      <c r="AC12">
        <f>IF($A12="","",IF(INDEX(Matrix!$X$2:$X$351,$A12)=1,", "&amp;Wizards!$B$22,""))</f>
        <v/>
      </c>
      <c r="AD12">
        <f>IF($A12="","",IF(INDEX(Matrix!$Y$2:$Y$351,$A12)=1,", "&amp;Wizards!$B$23,""))</f>
        <v/>
      </c>
      <c r="AE12">
        <f>IF($A12="","",IF(INDEX(Matrix!$Z$2:$Z$351,$A12)=1,", "&amp;Wizards!$B$24,""))</f>
        <v/>
      </c>
      <c r="AF12">
        <f>IF($A12="","",IF(INDEX(Matrix!$AA$2:$AA$351,$A12)=1,", "&amp;Wizards!$B$25,""))</f>
        <v/>
      </c>
    </row>
    <row r="13">
      <c r="A13">
        <f>IFERROR(SMALL(Calc!$A$2:$A$351,2),"")</f>
        <v/>
      </c>
      <c r="B13">
        <f>IF($A13="","",INDEX(Spells!$B$2:$B$351,$A13))</f>
        <v/>
      </c>
      <c r="C13">
        <f>IF($A13="","",INDEX(Spells!$A$2:$A$351,$A13))</f>
        <v/>
      </c>
      <c r="D13">
        <f>IF($A13="","",$C13*50)</f>
        <v/>
      </c>
      <c r="E13">
        <f>IF($A13="","",INDEX(Matrix!$AZ$2:$AZ$351,$A13))</f>
        <v/>
      </c>
      <c r="F13">
        <f>IF($A13="","",MID($I13&amp;$J13&amp;$K13&amp;$L13&amp;$M13&amp;$N13&amp;$O13&amp;$P13&amp;$Q13&amp;$R13&amp;$S13&amp;$T13&amp;$U13&amp;$V13&amp;$W13&amp;$X13&amp;$Y13&amp;$Z13&amp;$AA13&amp;$AB13&amp;$AC13&amp;$AD13&amp;$AE13&amp;$AF13,3,32767))</f>
        <v/>
      </c>
      <c r="H13">
        <f>IF($A13="","","; "&amp;$B13&amp;" (L"&amp;$C13&amp;", "&amp;$D13&amp;" GP) from "&amp;$E13)</f>
        <v/>
      </c>
      <c r="I13">
        <f>IF($A13="","",IF(INDEX(Matrix!$D$2:$D$351,$A13)=1,", "&amp;Wizards!$B$2,""))</f>
        <v/>
      </c>
      <c r="J13">
        <f>IF($A13="","",IF(INDEX(Matrix!$E$2:$E$351,$A13)=1,", "&amp;Wizards!$B$3,""))</f>
        <v/>
      </c>
      <c r="K13">
        <f>IF($A13="","",IF(INDEX(Matrix!$F$2:$F$351,$A13)=1,", "&amp;Wizards!$B$4,""))</f>
        <v/>
      </c>
      <c r="L13">
        <f>IF($A13="","",IF(INDEX(Matrix!$G$2:$G$351,$A13)=1,", "&amp;Wizards!$B$5,""))</f>
        <v/>
      </c>
      <c r="M13">
        <f>IF($A13="","",IF(INDEX(Matrix!$H$2:$H$351,$A13)=1,", "&amp;Wizards!$B$6,""))</f>
        <v/>
      </c>
      <c r="N13">
        <f>IF($A13="","",IF(INDEX(Matrix!$I$2:$I$351,$A13)=1,", "&amp;Wizards!$B$7,""))</f>
        <v/>
      </c>
      <c r="O13">
        <f>IF($A13="","",IF(INDEX(Matrix!$J$2:$J$351,$A13)=1,", "&amp;Wizards!$B$8,""))</f>
        <v/>
      </c>
      <c r="P13">
        <f>IF($A13="","",IF(INDEX(Matrix!$K$2:$K$351,$A13)=1,", "&amp;Wizards!$B$9,""))</f>
        <v/>
      </c>
      <c r="Q13">
        <f>IF($A13="","",IF(INDEX(Matrix!$L$2:$L$351,$A13)=1,", "&amp;Wizards!$B$10,""))</f>
        <v/>
      </c>
      <c r="R13">
        <f>IF($A13="","",IF(INDEX(Matrix!$M$2:$M$351,$A13)=1,", "&amp;Wizards!$B$11,""))</f>
        <v/>
      </c>
      <c r="S13">
        <f>IF($A13="","",IF(INDEX(Matrix!$N$2:$N$351,$A13)=1,", "&amp;Wizards!$B$12,""))</f>
        <v/>
      </c>
      <c r="T13">
        <f>IF($A13="","",IF(INDEX(Matrix!$O$2:$O$351,$A13)=1,", "&amp;Wizards!$B$13,""))</f>
        <v/>
      </c>
      <c r="U13">
        <f>IF($A13="","",IF(INDEX(Matrix!$P$2:$P$351,$A13)=1,", "&amp;Wizards!$B$14,""))</f>
        <v/>
      </c>
      <c r="V13">
        <f>IF($A13="","",IF(INDEX(Matrix!$Q$2:$Q$351,$A13)=1,", "&amp;Wizards!$B$15,""))</f>
        <v/>
      </c>
      <c r="W13">
        <f>IF($A13="","",IF(INDEX(Matrix!$R$2:$R$351,$A13)=1,", "&amp;Wizards!$B$16,""))</f>
        <v/>
      </c>
      <c r="X13">
        <f>IF($A13="","",IF(INDEX(Matrix!$S$2:$S$351,$A13)=1,", "&amp;Wizards!$B$17,""))</f>
        <v/>
      </c>
      <c r="Y13">
        <f>IF($A13="","",IF(INDEX(Matrix!$T$2:$T$351,$A13)=1,", "&amp;Wizards!$B$18,""))</f>
        <v/>
      </c>
      <c r="Z13">
        <f>IF($A13="","",IF(INDEX(Matrix!$U$2:$U$351,$A13)=1,", "&amp;Wizards!$B$19,""))</f>
        <v/>
      </c>
      <c r="AA13">
        <f>IF($A13="","",IF(INDEX(Matrix!$V$2:$V$351,$A13)=1,", "&amp;Wizards!$B$20,""))</f>
        <v/>
      </c>
      <c r="AB13">
        <f>IF($A13="","",IF(INDEX(Matrix!$W$2:$W$351,$A13)=1,", "&amp;Wizards!$B$21,""))</f>
        <v/>
      </c>
      <c r="AC13">
        <f>IF($A13="","",IF(INDEX(Matrix!$X$2:$X$351,$A13)=1,", "&amp;Wizards!$B$22,""))</f>
        <v/>
      </c>
      <c r="AD13">
        <f>IF($A13="","",IF(INDEX(Matrix!$Y$2:$Y$351,$A13)=1,", "&amp;Wizards!$B$23,""))</f>
        <v/>
      </c>
      <c r="AE13">
        <f>IF($A13="","",IF(INDEX(Matrix!$Z$2:$Z$351,$A13)=1,", "&amp;Wizards!$B$24,""))</f>
        <v/>
      </c>
      <c r="AF13">
        <f>IF($A13="","",IF(INDEX(Matrix!$AA$2:$AA$351,$A13)=1,", "&amp;Wizards!$B$25,""))</f>
        <v/>
      </c>
    </row>
    <row r="14">
      <c r="A14">
        <f>IFERROR(SMALL(Calc!$A$2:$A$351,3),"")</f>
        <v/>
      </c>
      <c r="B14">
        <f>IF($A14="","",INDEX(Spells!$B$2:$B$351,$A14))</f>
        <v/>
      </c>
      <c r="C14">
        <f>IF($A14="","",INDEX(Spells!$A$2:$A$351,$A14))</f>
        <v/>
      </c>
      <c r="D14">
        <f>IF($A14="","",$C14*50)</f>
        <v/>
      </c>
      <c r="E14">
        <f>IF($A14="","",INDEX(Matrix!$AZ$2:$AZ$351,$A14))</f>
        <v/>
      </c>
      <c r="F14">
        <f>IF($A14="","",MID($I14&amp;$J14&amp;$K14&amp;$L14&amp;$M14&amp;$N14&amp;$O14&amp;$P14&amp;$Q14&amp;$R14&amp;$S14&amp;$T14&amp;$U14&amp;$V14&amp;$W14&amp;$X14&amp;$Y14&amp;$Z14&amp;$AA14&amp;$AB14&amp;$AC14&amp;$AD14&amp;$AE14&amp;$AF14,3,32767))</f>
        <v/>
      </c>
      <c r="H14">
        <f>IF($A14="","","; "&amp;$B14&amp;" (L"&amp;$C14&amp;", "&amp;$D14&amp;" GP) from "&amp;$E14)</f>
        <v/>
      </c>
      <c r="I14">
        <f>IF($A14="","",IF(INDEX(Matrix!$D$2:$D$351,$A14)=1,", "&amp;Wizards!$B$2,""))</f>
        <v/>
      </c>
      <c r="J14">
        <f>IF($A14="","",IF(INDEX(Matrix!$E$2:$E$351,$A14)=1,", "&amp;Wizards!$B$3,""))</f>
        <v/>
      </c>
      <c r="K14">
        <f>IF($A14="","",IF(INDEX(Matrix!$F$2:$F$351,$A14)=1,", "&amp;Wizards!$B$4,""))</f>
        <v/>
      </c>
      <c r="L14">
        <f>IF($A14="","",IF(INDEX(Matrix!$G$2:$G$351,$A14)=1,", "&amp;Wizards!$B$5,""))</f>
        <v/>
      </c>
      <c r="M14">
        <f>IF($A14="","",IF(INDEX(Matrix!$H$2:$H$351,$A14)=1,", "&amp;Wizards!$B$6,""))</f>
        <v/>
      </c>
      <c r="N14">
        <f>IF($A14="","",IF(INDEX(Matrix!$I$2:$I$351,$A14)=1,", "&amp;Wizards!$B$7,""))</f>
        <v/>
      </c>
      <c r="O14">
        <f>IF($A14="","",IF(INDEX(Matrix!$J$2:$J$351,$A14)=1,", "&amp;Wizards!$B$8,""))</f>
        <v/>
      </c>
      <c r="P14">
        <f>IF($A14="","",IF(INDEX(Matrix!$K$2:$K$351,$A14)=1,", "&amp;Wizards!$B$9,""))</f>
        <v/>
      </c>
      <c r="Q14">
        <f>IF($A14="","",IF(INDEX(Matrix!$L$2:$L$351,$A14)=1,", "&amp;Wizards!$B$10,""))</f>
        <v/>
      </c>
      <c r="R14">
        <f>IF($A14="","",IF(INDEX(Matrix!$M$2:$M$351,$A14)=1,", "&amp;Wizards!$B$11,""))</f>
        <v/>
      </c>
      <c r="S14">
        <f>IF($A14="","",IF(INDEX(Matrix!$N$2:$N$351,$A14)=1,", "&amp;Wizards!$B$12,""))</f>
        <v/>
      </c>
      <c r="T14">
        <f>IF($A14="","",IF(INDEX(Matrix!$O$2:$O$351,$A14)=1,", "&amp;Wizards!$B$13,""))</f>
        <v/>
      </c>
      <c r="U14">
        <f>IF($A14="","",IF(INDEX(Matrix!$P$2:$P$351,$A14)=1,", "&amp;Wizards!$B$14,""))</f>
        <v/>
      </c>
      <c r="V14">
        <f>IF($A14="","",IF(INDEX(Matrix!$Q$2:$Q$351,$A14)=1,", "&amp;Wizards!$B$15,""))</f>
        <v/>
      </c>
      <c r="W14">
        <f>IF($A14="","",IF(INDEX(Matrix!$R$2:$R$351,$A14)=1,", "&amp;Wizards!$B$16,""))</f>
        <v/>
      </c>
      <c r="X14">
        <f>IF($A14="","",IF(INDEX(Matrix!$S$2:$S$351,$A14)=1,", "&amp;Wizards!$B$17,""))</f>
        <v/>
      </c>
      <c r="Y14">
        <f>IF($A14="","",IF(INDEX(Matrix!$T$2:$T$351,$A14)=1,", "&amp;Wizards!$B$18,""))</f>
        <v/>
      </c>
      <c r="Z14">
        <f>IF($A14="","",IF(INDEX(Matrix!$U$2:$U$351,$A14)=1,", "&amp;Wizards!$B$19,""))</f>
        <v/>
      </c>
      <c r="AA14">
        <f>IF($A14="","",IF(INDEX(Matrix!$V$2:$V$351,$A14)=1,", "&amp;Wizards!$B$20,""))</f>
        <v/>
      </c>
      <c r="AB14">
        <f>IF($A14="","",IF(INDEX(Matrix!$W$2:$W$351,$A14)=1,", "&amp;Wizards!$B$21,""))</f>
        <v/>
      </c>
      <c r="AC14">
        <f>IF($A14="","",IF(INDEX(Matrix!$X$2:$X$351,$A14)=1,", "&amp;Wizards!$B$22,""))</f>
        <v/>
      </c>
      <c r="AD14">
        <f>IF($A14="","",IF(INDEX(Matrix!$Y$2:$Y$351,$A14)=1,", "&amp;Wizards!$B$23,""))</f>
        <v/>
      </c>
      <c r="AE14">
        <f>IF($A14="","",IF(INDEX(Matrix!$Z$2:$Z$351,$A14)=1,", "&amp;Wizards!$B$24,""))</f>
        <v/>
      </c>
      <c r="AF14">
        <f>IF($A14="","",IF(INDEX(Matrix!$AA$2:$AA$351,$A14)=1,", "&amp;Wizards!$B$25,""))</f>
        <v/>
      </c>
    </row>
    <row r="15">
      <c r="A15">
        <f>IFERROR(SMALL(Calc!$A$2:$A$351,4),"")</f>
        <v/>
      </c>
      <c r="B15">
        <f>IF($A15="","",INDEX(Spells!$B$2:$B$351,$A15))</f>
        <v/>
      </c>
      <c r="C15">
        <f>IF($A15="","",INDEX(Spells!$A$2:$A$351,$A15))</f>
        <v/>
      </c>
      <c r="D15">
        <f>IF($A15="","",$C15*50)</f>
        <v/>
      </c>
      <c r="E15">
        <f>IF($A15="","",INDEX(Matrix!$AZ$2:$AZ$351,$A15))</f>
        <v/>
      </c>
      <c r="F15">
        <f>IF($A15="","",MID($I15&amp;$J15&amp;$K15&amp;$L15&amp;$M15&amp;$N15&amp;$O15&amp;$P15&amp;$Q15&amp;$R15&amp;$S15&amp;$T15&amp;$U15&amp;$V15&amp;$W15&amp;$X15&amp;$Y15&amp;$Z15&amp;$AA15&amp;$AB15&amp;$AC15&amp;$AD15&amp;$AE15&amp;$AF15,3,32767))</f>
        <v/>
      </c>
      <c r="H15">
        <f>IF($A15="","","; "&amp;$B15&amp;" (L"&amp;$C15&amp;", "&amp;$D15&amp;" GP) from "&amp;$E15)</f>
        <v/>
      </c>
      <c r="I15">
        <f>IF($A15="","",IF(INDEX(Matrix!$D$2:$D$351,$A15)=1,", "&amp;Wizards!$B$2,""))</f>
        <v/>
      </c>
      <c r="J15">
        <f>IF($A15="","",IF(INDEX(Matrix!$E$2:$E$351,$A15)=1,", "&amp;Wizards!$B$3,""))</f>
        <v/>
      </c>
      <c r="K15">
        <f>IF($A15="","",IF(INDEX(Matrix!$F$2:$F$351,$A15)=1,", "&amp;Wizards!$B$4,""))</f>
        <v/>
      </c>
      <c r="L15">
        <f>IF($A15="","",IF(INDEX(Matrix!$G$2:$G$351,$A15)=1,", "&amp;Wizards!$B$5,""))</f>
        <v/>
      </c>
      <c r="M15">
        <f>IF($A15="","",IF(INDEX(Matrix!$H$2:$H$351,$A15)=1,", "&amp;Wizards!$B$6,""))</f>
        <v/>
      </c>
      <c r="N15">
        <f>IF($A15="","",IF(INDEX(Matrix!$I$2:$I$351,$A15)=1,", "&amp;Wizards!$B$7,""))</f>
        <v/>
      </c>
      <c r="O15">
        <f>IF($A15="","",IF(INDEX(Matrix!$J$2:$J$351,$A15)=1,", "&amp;Wizards!$B$8,""))</f>
        <v/>
      </c>
      <c r="P15">
        <f>IF($A15="","",IF(INDEX(Matrix!$K$2:$K$351,$A15)=1,", "&amp;Wizards!$B$9,""))</f>
        <v/>
      </c>
      <c r="Q15">
        <f>IF($A15="","",IF(INDEX(Matrix!$L$2:$L$351,$A15)=1,", "&amp;Wizards!$B$10,""))</f>
        <v/>
      </c>
      <c r="R15">
        <f>IF($A15="","",IF(INDEX(Matrix!$M$2:$M$351,$A15)=1,", "&amp;Wizards!$B$11,""))</f>
        <v/>
      </c>
      <c r="S15">
        <f>IF($A15="","",IF(INDEX(Matrix!$N$2:$N$351,$A15)=1,", "&amp;Wizards!$B$12,""))</f>
        <v/>
      </c>
      <c r="T15">
        <f>IF($A15="","",IF(INDEX(Matrix!$O$2:$O$351,$A15)=1,", "&amp;Wizards!$B$13,""))</f>
        <v/>
      </c>
      <c r="U15">
        <f>IF($A15="","",IF(INDEX(Matrix!$P$2:$P$351,$A15)=1,", "&amp;Wizards!$B$14,""))</f>
        <v/>
      </c>
      <c r="V15">
        <f>IF($A15="","",IF(INDEX(Matrix!$Q$2:$Q$351,$A15)=1,", "&amp;Wizards!$B$15,""))</f>
        <v/>
      </c>
      <c r="W15">
        <f>IF($A15="","",IF(INDEX(Matrix!$R$2:$R$351,$A15)=1,", "&amp;Wizards!$B$16,""))</f>
        <v/>
      </c>
      <c r="X15">
        <f>IF($A15="","",IF(INDEX(Matrix!$S$2:$S$351,$A15)=1,", "&amp;Wizards!$B$17,""))</f>
        <v/>
      </c>
      <c r="Y15">
        <f>IF($A15="","",IF(INDEX(Matrix!$T$2:$T$351,$A15)=1,", "&amp;Wizards!$B$18,""))</f>
        <v/>
      </c>
      <c r="Z15">
        <f>IF($A15="","",IF(INDEX(Matrix!$U$2:$U$351,$A15)=1,", "&amp;Wizards!$B$19,""))</f>
        <v/>
      </c>
      <c r="AA15">
        <f>IF($A15="","",IF(INDEX(Matrix!$V$2:$V$351,$A15)=1,", "&amp;Wizards!$B$20,""))</f>
        <v/>
      </c>
      <c r="AB15">
        <f>IF($A15="","",IF(INDEX(Matrix!$W$2:$W$351,$A15)=1,", "&amp;Wizards!$B$21,""))</f>
        <v/>
      </c>
      <c r="AC15">
        <f>IF($A15="","",IF(INDEX(Matrix!$X$2:$X$351,$A15)=1,", "&amp;Wizards!$B$22,""))</f>
        <v/>
      </c>
      <c r="AD15">
        <f>IF($A15="","",IF(INDEX(Matrix!$Y$2:$Y$351,$A15)=1,", "&amp;Wizards!$B$23,""))</f>
        <v/>
      </c>
      <c r="AE15">
        <f>IF($A15="","",IF(INDEX(Matrix!$Z$2:$Z$351,$A15)=1,", "&amp;Wizards!$B$24,""))</f>
        <v/>
      </c>
      <c r="AF15">
        <f>IF($A15="","",IF(INDEX(Matrix!$AA$2:$AA$351,$A15)=1,", "&amp;Wizards!$B$25,""))</f>
        <v/>
      </c>
    </row>
    <row r="16">
      <c r="A16">
        <f>IFERROR(SMALL(Calc!$A$2:$A$351,5),"")</f>
        <v/>
      </c>
      <c r="B16">
        <f>IF($A16="","",INDEX(Spells!$B$2:$B$351,$A16))</f>
        <v/>
      </c>
      <c r="C16">
        <f>IF($A16="","",INDEX(Spells!$A$2:$A$351,$A16))</f>
        <v/>
      </c>
      <c r="D16">
        <f>IF($A16="","",$C16*50)</f>
        <v/>
      </c>
      <c r="E16">
        <f>IF($A16="","",INDEX(Matrix!$AZ$2:$AZ$351,$A16))</f>
        <v/>
      </c>
      <c r="F16">
        <f>IF($A16="","",MID($I16&amp;$J16&amp;$K16&amp;$L16&amp;$M16&amp;$N16&amp;$O16&amp;$P16&amp;$Q16&amp;$R16&amp;$S16&amp;$T16&amp;$U16&amp;$V16&amp;$W16&amp;$X16&amp;$Y16&amp;$Z16&amp;$AA16&amp;$AB16&amp;$AC16&amp;$AD16&amp;$AE16&amp;$AF16,3,32767))</f>
        <v/>
      </c>
      <c r="H16">
        <f>IF($A16="","","; "&amp;$B16&amp;" (L"&amp;$C16&amp;", "&amp;$D16&amp;" GP) from "&amp;$E16)</f>
        <v/>
      </c>
      <c r="I16">
        <f>IF($A16="","",IF(INDEX(Matrix!$D$2:$D$351,$A16)=1,", "&amp;Wizards!$B$2,""))</f>
        <v/>
      </c>
      <c r="J16">
        <f>IF($A16="","",IF(INDEX(Matrix!$E$2:$E$351,$A16)=1,", "&amp;Wizards!$B$3,""))</f>
        <v/>
      </c>
      <c r="K16">
        <f>IF($A16="","",IF(INDEX(Matrix!$F$2:$F$351,$A16)=1,", "&amp;Wizards!$B$4,""))</f>
        <v/>
      </c>
      <c r="L16">
        <f>IF($A16="","",IF(INDEX(Matrix!$G$2:$G$351,$A16)=1,", "&amp;Wizards!$B$5,""))</f>
        <v/>
      </c>
      <c r="M16">
        <f>IF($A16="","",IF(INDEX(Matrix!$H$2:$H$351,$A16)=1,", "&amp;Wizards!$B$6,""))</f>
        <v/>
      </c>
      <c r="N16">
        <f>IF($A16="","",IF(INDEX(Matrix!$I$2:$I$351,$A16)=1,", "&amp;Wizards!$B$7,""))</f>
        <v/>
      </c>
      <c r="O16">
        <f>IF($A16="","",IF(INDEX(Matrix!$J$2:$J$351,$A16)=1,", "&amp;Wizards!$B$8,""))</f>
        <v/>
      </c>
      <c r="P16">
        <f>IF($A16="","",IF(INDEX(Matrix!$K$2:$K$351,$A16)=1,", "&amp;Wizards!$B$9,""))</f>
        <v/>
      </c>
      <c r="Q16">
        <f>IF($A16="","",IF(INDEX(Matrix!$L$2:$L$351,$A16)=1,", "&amp;Wizards!$B$10,""))</f>
        <v/>
      </c>
      <c r="R16">
        <f>IF($A16="","",IF(INDEX(Matrix!$M$2:$M$351,$A16)=1,", "&amp;Wizards!$B$11,""))</f>
        <v/>
      </c>
      <c r="S16">
        <f>IF($A16="","",IF(INDEX(Matrix!$N$2:$N$351,$A16)=1,", "&amp;Wizards!$B$12,""))</f>
        <v/>
      </c>
      <c r="T16">
        <f>IF($A16="","",IF(INDEX(Matrix!$O$2:$O$351,$A16)=1,", "&amp;Wizards!$B$13,""))</f>
        <v/>
      </c>
      <c r="U16">
        <f>IF($A16="","",IF(INDEX(Matrix!$P$2:$P$351,$A16)=1,", "&amp;Wizards!$B$14,""))</f>
        <v/>
      </c>
      <c r="V16">
        <f>IF($A16="","",IF(INDEX(Matrix!$Q$2:$Q$351,$A16)=1,", "&amp;Wizards!$B$15,""))</f>
        <v/>
      </c>
      <c r="W16">
        <f>IF($A16="","",IF(INDEX(Matrix!$R$2:$R$351,$A16)=1,", "&amp;Wizards!$B$16,""))</f>
        <v/>
      </c>
      <c r="X16">
        <f>IF($A16="","",IF(INDEX(Matrix!$S$2:$S$351,$A16)=1,", "&amp;Wizards!$B$17,""))</f>
        <v/>
      </c>
      <c r="Y16">
        <f>IF($A16="","",IF(INDEX(Matrix!$T$2:$T$351,$A16)=1,", "&amp;Wizards!$B$18,""))</f>
        <v/>
      </c>
      <c r="Z16">
        <f>IF($A16="","",IF(INDEX(Matrix!$U$2:$U$351,$A16)=1,", "&amp;Wizards!$B$19,""))</f>
        <v/>
      </c>
      <c r="AA16">
        <f>IF($A16="","",IF(INDEX(Matrix!$V$2:$V$351,$A16)=1,", "&amp;Wizards!$B$20,""))</f>
        <v/>
      </c>
      <c r="AB16">
        <f>IF($A16="","",IF(INDEX(Matrix!$W$2:$W$351,$A16)=1,", "&amp;Wizards!$B$21,""))</f>
        <v/>
      </c>
      <c r="AC16">
        <f>IF($A16="","",IF(INDEX(Matrix!$X$2:$X$351,$A16)=1,", "&amp;Wizards!$B$22,""))</f>
        <v/>
      </c>
      <c r="AD16">
        <f>IF($A16="","",IF(INDEX(Matrix!$Y$2:$Y$351,$A16)=1,", "&amp;Wizards!$B$23,""))</f>
        <v/>
      </c>
      <c r="AE16">
        <f>IF($A16="","",IF(INDEX(Matrix!$Z$2:$Z$351,$A16)=1,", "&amp;Wizards!$B$24,""))</f>
        <v/>
      </c>
      <c r="AF16">
        <f>IF($A16="","",IF(INDEX(Matrix!$AA$2:$AA$351,$A16)=1,", "&amp;Wizards!$B$25,""))</f>
        <v/>
      </c>
    </row>
    <row r="17">
      <c r="A17">
        <f>IFERROR(SMALL(Calc!$A$2:$A$351,6),"")</f>
        <v/>
      </c>
      <c r="B17">
        <f>IF($A17="","",INDEX(Spells!$B$2:$B$351,$A17))</f>
        <v/>
      </c>
      <c r="C17">
        <f>IF($A17="","",INDEX(Spells!$A$2:$A$351,$A17))</f>
        <v/>
      </c>
      <c r="D17">
        <f>IF($A17="","",$C17*50)</f>
        <v/>
      </c>
      <c r="E17">
        <f>IF($A17="","",INDEX(Matrix!$AZ$2:$AZ$351,$A17))</f>
        <v/>
      </c>
      <c r="F17">
        <f>IF($A17="","",MID($I17&amp;$J17&amp;$K17&amp;$L17&amp;$M17&amp;$N17&amp;$O17&amp;$P17&amp;$Q17&amp;$R17&amp;$S17&amp;$T17&amp;$U17&amp;$V17&amp;$W17&amp;$X17&amp;$Y17&amp;$Z17&amp;$AA17&amp;$AB17&amp;$AC17&amp;$AD17&amp;$AE17&amp;$AF17,3,32767))</f>
        <v/>
      </c>
      <c r="H17">
        <f>IF($A17="","","; "&amp;$B17&amp;" (L"&amp;$C17&amp;", "&amp;$D17&amp;" GP) from "&amp;$E17)</f>
        <v/>
      </c>
      <c r="I17">
        <f>IF($A17="","",IF(INDEX(Matrix!$D$2:$D$351,$A17)=1,", "&amp;Wizards!$B$2,""))</f>
        <v/>
      </c>
      <c r="J17">
        <f>IF($A17="","",IF(INDEX(Matrix!$E$2:$E$351,$A17)=1,", "&amp;Wizards!$B$3,""))</f>
        <v/>
      </c>
      <c r="K17">
        <f>IF($A17="","",IF(INDEX(Matrix!$F$2:$F$351,$A17)=1,", "&amp;Wizards!$B$4,""))</f>
        <v/>
      </c>
      <c r="L17">
        <f>IF($A17="","",IF(INDEX(Matrix!$G$2:$G$351,$A17)=1,", "&amp;Wizards!$B$5,""))</f>
        <v/>
      </c>
      <c r="M17">
        <f>IF($A17="","",IF(INDEX(Matrix!$H$2:$H$351,$A17)=1,", "&amp;Wizards!$B$6,""))</f>
        <v/>
      </c>
      <c r="N17">
        <f>IF($A17="","",IF(INDEX(Matrix!$I$2:$I$351,$A17)=1,", "&amp;Wizards!$B$7,""))</f>
        <v/>
      </c>
      <c r="O17">
        <f>IF($A17="","",IF(INDEX(Matrix!$J$2:$J$351,$A17)=1,", "&amp;Wizards!$B$8,""))</f>
        <v/>
      </c>
      <c r="P17">
        <f>IF($A17="","",IF(INDEX(Matrix!$K$2:$K$351,$A17)=1,", "&amp;Wizards!$B$9,""))</f>
        <v/>
      </c>
      <c r="Q17">
        <f>IF($A17="","",IF(INDEX(Matrix!$L$2:$L$351,$A17)=1,", "&amp;Wizards!$B$10,""))</f>
        <v/>
      </c>
      <c r="R17">
        <f>IF($A17="","",IF(INDEX(Matrix!$M$2:$M$351,$A17)=1,", "&amp;Wizards!$B$11,""))</f>
        <v/>
      </c>
      <c r="S17">
        <f>IF($A17="","",IF(INDEX(Matrix!$N$2:$N$351,$A17)=1,", "&amp;Wizards!$B$12,""))</f>
        <v/>
      </c>
      <c r="T17">
        <f>IF($A17="","",IF(INDEX(Matrix!$O$2:$O$351,$A17)=1,", "&amp;Wizards!$B$13,""))</f>
        <v/>
      </c>
      <c r="U17">
        <f>IF($A17="","",IF(INDEX(Matrix!$P$2:$P$351,$A17)=1,", "&amp;Wizards!$B$14,""))</f>
        <v/>
      </c>
      <c r="V17">
        <f>IF($A17="","",IF(INDEX(Matrix!$Q$2:$Q$351,$A17)=1,", "&amp;Wizards!$B$15,""))</f>
        <v/>
      </c>
      <c r="W17">
        <f>IF($A17="","",IF(INDEX(Matrix!$R$2:$R$351,$A17)=1,", "&amp;Wizards!$B$16,""))</f>
        <v/>
      </c>
      <c r="X17">
        <f>IF($A17="","",IF(INDEX(Matrix!$S$2:$S$351,$A17)=1,", "&amp;Wizards!$B$17,""))</f>
        <v/>
      </c>
      <c r="Y17">
        <f>IF($A17="","",IF(INDEX(Matrix!$T$2:$T$351,$A17)=1,", "&amp;Wizards!$B$18,""))</f>
        <v/>
      </c>
      <c r="Z17">
        <f>IF($A17="","",IF(INDEX(Matrix!$U$2:$U$351,$A17)=1,", "&amp;Wizards!$B$19,""))</f>
        <v/>
      </c>
      <c r="AA17">
        <f>IF($A17="","",IF(INDEX(Matrix!$V$2:$V$351,$A17)=1,", "&amp;Wizards!$B$20,""))</f>
        <v/>
      </c>
      <c r="AB17">
        <f>IF($A17="","",IF(INDEX(Matrix!$W$2:$W$351,$A17)=1,", "&amp;Wizards!$B$21,""))</f>
        <v/>
      </c>
      <c r="AC17">
        <f>IF($A17="","",IF(INDEX(Matrix!$X$2:$X$351,$A17)=1,", "&amp;Wizards!$B$22,""))</f>
        <v/>
      </c>
      <c r="AD17">
        <f>IF($A17="","",IF(INDEX(Matrix!$Y$2:$Y$351,$A17)=1,", "&amp;Wizards!$B$23,""))</f>
        <v/>
      </c>
      <c r="AE17">
        <f>IF($A17="","",IF(INDEX(Matrix!$Z$2:$Z$351,$A17)=1,", "&amp;Wizards!$B$24,""))</f>
        <v/>
      </c>
      <c r="AF17">
        <f>IF($A17="","",IF(INDEX(Matrix!$AA$2:$AA$351,$A17)=1,", "&amp;Wizards!$B$25,""))</f>
        <v/>
      </c>
    </row>
    <row r="18">
      <c r="A18">
        <f>IFERROR(SMALL(Calc!$A$2:$A$351,7),"")</f>
        <v/>
      </c>
      <c r="B18">
        <f>IF($A18="","",INDEX(Spells!$B$2:$B$351,$A18))</f>
        <v/>
      </c>
      <c r="C18">
        <f>IF($A18="","",INDEX(Spells!$A$2:$A$351,$A18))</f>
        <v/>
      </c>
      <c r="D18">
        <f>IF($A18="","",$C18*50)</f>
        <v/>
      </c>
      <c r="E18">
        <f>IF($A18="","",INDEX(Matrix!$AZ$2:$AZ$351,$A18))</f>
        <v/>
      </c>
      <c r="F18">
        <f>IF($A18="","",MID($I18&amp;$J18&amp;$K18&amp;$L18&amp;$M18&amp;$N18&amp;$O18&amp;$P18&amp;$Q18&amp;$R18&amp;$S18&amp;$T18&amp;$U18&amp;$V18&amp;$W18&amp;$X18&amp;$Y18&amp;$Z18&amp;$AA18&amp;$AB18&amp;$AC18&amp;$AD18&amp;$AE18&amp;$AF18,3,32767))</f>
        <v/>
      </c>
      <c r="H18">
        <f>IF($A18="","","; "&amp;$B18&amp;" (L"&amp;$C18&amp;", "&amp;$D18&amp;" GP) from "&amp;$E18)</f>
        <v/>
      </c>
      <c r="I18">
        <f>IF($A18="","",IF(INDEX(Matrix!$D$2:$D$351,$A18)=1,", "&amp;Wizards!$B$2,""))</f>
        <v/>
      </c>
      <c r="J18">
        <f>IF($A18="","",IF(INDEX(Matrix!$E$2:$E$351,$A18)=1,", "&amp;Wizards!$B$3,""))</f>
        <v/>
      </c>
      <c r="K18">
        <f>IF($A18="","",IF(INDEX(Matrix!$F$2:$F$351,$A18)=1,", "&amp;Wizards!$B$4,""))</f>
        <v/>
      </c>
      <c r="L18">
        <f>IF($A18="","",IF(INDEX(Matrix!$G$2:$G$351,$A18)=1,", "&amp;Wizards!$B$5,""))</f>
        <v/>
      </c>
      <c r="M18">
        <f>IF($A18="","",IF(INDEX(Matrix!$H$2:$H$351,$A18)=1,", "&amp;Wizards!$B$6,""))</f>
        <v/>
      </c>
      <c r="N18">
        <f>IF($A18="","",IF(INDEX(Matrix!$I$2:$I$351,$A18)=1,", "&amp;Wizards!$B$7,""))</f>
        <v/>
      </c>
      <c r="O18">
        <f>IF($A18="","",IF(INDEX(Matrix!$J$2:$J$351,$A18)=1,", "&amp;Wizards!$B$8,""))</f>
        <v/>
      </c>
      <c r="P18">
        <f>IF($A18="","",IF(INDEX(Matrix!$K$2:$K$351,$A18)=1,", "&amp;Wizards!$B$9,""))</f>
        <v/>
      </c>
      <c r="Q18">
        <f>IF($A18="","",IF(INDEX(Matrix!$L$2:$L$351,$A18)=1,", "&amp;Wizards!$B$10,""))</f>
        <v/>
      </c>
      <c r="R18">
        <f>IF($A18="","",IF(INDEX(Matrix!$M$2:$M$351,$A18)=1,", "&amp;Wizards!$B$11,""))</f>
        <v/>
      </c>
      <c r="S18">
        <f>IF($A18="","",IF(INDEX(Matrix!$N$2:$N$351,$A18)=1,", "&amp;Wizards!$B$12,""))</f>
        <v/>
      </c>
      <c r="T18">
        <f>IF($A18="","",IF(INDEX(Matrix!$O$2:$O$351,$A18)=1,", "&amp;Wizards!$B$13,""))</f>
        <v/>
      </c>
      <c r="U18">
        <f>IF($A18="","",IF(INDEX(Matrix!$P$2:$P$351,$A18)=1,", "&amp;Wizards!$B$14,""))</f>
        <v/>
      </c>
      <c r="V18">
        <f>IF($A18="","",IF(INDEX(Matrix!$Q$2:$Q$351,$A18)=1,", "&amp;Wizards!$B$15,""))</f>
        <v/>
      </c>
      <c r="W18">
        <f>IF($A18="","",IF(INDEX(Matrix!$R$2:$R$351,$A18)=1,", "&amp;Wizards!$B$16,""))</f>
        <v/>
      </c>
      <c r="X18">
        <f>IF($A18="","",IF(INDEX(Matrix!$S$2:$S$351,$A18)=1,", "&amp;Wizards!$B$17,""))</f>
        <v/>
      </c>
      <c r="Y18">
        <f>IF($A18="","",IF(INDEX(Matrix!$T$2:$T$351,$A18)=1,", "&amp;Wizards!$B$18,""))</f>
        <v/>
      </c>
      <c r="Z18">
        <f>IF($A18="","",IF(INDEX(Matrix!$U$2:$U$351,$A18)=1,", "&amp;Wizards!$B$19,""))</f>
        <v/>
      </c>
      <c r="AA18">
        <f>IF($A18="","",IF(INDEX(Matrix!$V$2:$V$351,$A18)=1,", "&amp;Wizards!$B$20,""))</f>
        <v/>
      </c>
      <c r="AB18">
        <f>IF($A18="","",IF(INDEX(Matrix!$W$2:$W$351,$A18)=1,", "&amp;Wizards!$B$21,""))</f>
        <v/>
      </c>
      <c r="AC18">
        <f>IF($A18="","",IF(INDEX(Matrix!$X$2:$X$351,$A18)=1,", "&amp;Wizards!$B$22,""))</f>
        <v/>
      </c>
      <c r="AD18">
        <f>IF($A18="","",IF(INDEX(Matrix!$Y$2:$Y$351,$A18)=1,", "&amp;Wizards!$B$23,""))</f>
        <v/>
      </c>
      <c r="AE18">
        <f>IF($A18="","",IF(INDEX(Matrix!$Z$2:$Z$351,$A18)=1,", "&amp;Wizards!$B$24,""))</f>
        <v/>
      </c>
      <c r="AF18">
        <f>IF($A18="","",IF(INDEX(Matrix!$AA$2:$AA$351,$A18)=1,", "&amp;Wizards!$B$25,""))</f>
        <v/>
      </c>
    </row>
    <row r="19">
      <c r="A19">
        <f>IFERROR(SMALL(Calc!$A$2:$A$351,8),"")</f>
        <v/>
      </c>
      <c r="B19">
        <f>IF($A19="","",INDEX(Spells!$B$2:$B$351,$A19))</f>
        <v/>
      </c>
      <c r="C19">
        <f>IF($A19="","",INDEX(Spells!$A$2:$A$351,$A19))</f>
        <v/>
      </c>
      <c r="D19">
        <f>IF($A19="","",$C19*50)</f>
        <v/>
      </c>
      <c r="E19">
        <f>IF($A19="","",INDEX(Matrix!$AZ$2:$AZ$351,$A19))</f>
        <v/>
      </c>
      <c r="F19">
        <f>IF($A19="","",MID($I19&amp;$J19&amp;$K19&amp;$L19&amp;$M19&amp;$N19&amp;$O19&amp;$P19&amp;$Q19&amp;$R19&amp;$S19&amp;$T19&amp;$U19&amp;$V19&amp;$W19&amp;$X19&amp;$Y19&amp;$Z19&amp;$AA19&amp;$AB19&amp;$AC19&amp;$AD19&amp;$AE19&amp;$AF19,3,32767))</f>
        <v/>
      </c>
      <c r="H19">
        <f>IF($A19="","","; "&amp;$B19&amp;" (L"&amp;$C19&amp;", "&amp;$D19&amp;" GP) from "&amp;$E19)</f>
        <v/>
      </c>
      <c r="I19">
        <f>IF($A19="","",IF(INDEX(Matrix!$D$2:$D$351,$A19)=1,", "&amp;Wizards!$B$2,""))</f>
        <v/>
      </c>
      <c r="J19">
        <f>IF($A19="","",IF(INDEX(Matrix!$E$2:$E$351,$A19)=1,", "&amp;Wizards!$B$3,""))</f>
        <v/>
      </c>
      <c r="K19">
        <f>IF($A19="","",IF(INDEX(Matrix!$F$2:$F$351,$A19)=1,", "&amp;Wizards!$B$4,""))</f>
        <v/>
      </c>
      <c r="L19">
        <f>IF($A19="","",IF(INDEX(Matrix!$G$2:$G$351,$A19)=1,", "&amp;Wizards!$B$5,""))</f>
        <v/>
      </c>
      <c r="M19">
        <f>IF($A19="","",IF(INDEX(Matrix!$H$2:$H$351,$A19)=1,", "&amp;Wizards!$B$6,""))</f>
        <v/>
      </c>
      <c r="N19">
        <f>IF($A19="","",IF(INDEX(Matrix!$I$2:$I$351,$A19)=1,", "&amp;Wizards!$B$7,""))</f>
        <v/>
      </c>
      <c r="O19">
        <f>IF($A19="","",IF(INDEX(Matrix!$J$2:$J$351,$A19)=1,", "&amp;Wizards!$B$8,""))</f>
        <v/>
      </c>
      <c r="P19">
        <f>IF($A19="","",IF(INDEX(Matrix!$K$2:$K$351,$A19)=1,", "&amp;Wizards!$B$9,""))</f>
        <v/>
      </c>
      <c r="Q19">
        <f>IF($A19="","",IF(INDEX(Matrix!$L$2:$L$351,$A19)=1,", "&amp;Wizards!$B$10,""))</f>
        <v/>
      </c>
      <c r="R19">
        <f>IF($A19="","",IF(INDEX(Matrix!$M$2:$M$351,$A19)=1,", "&amp;Wizards!$B$11,""))</f>
        <v/>
      </c>
      <c r="S19">
        <f>IF($A19="","",IF(INDEX(Matrix!$N$2:$N$351,$A19)=1,", "&amp;Wizards!$B$12,""))</f>
        <v/>
      </c>
      <c r="T19">
        <f>IF($A19="","",IF(INDEX(Matrix!$O$2:$O$351,$A19)=1,", "&amp;Wizards!$B$13,""))</f>
        <v/>
      </c>
      <c r="U19">
        <f>IF($A19="","",IF(INDEX(Matrix!$P$2:$P$351,$A19)=1,", "&amp;Wizards!$B$14,""))</f>
        <v/>
      </c>
      <c r="V19">
        <f>IF($A19="","",IF(INDEX(Matrix!$Q$2:$Q$351,$A19)=1,", "&amp;Wizards!$B$15,""))</f>
        <v/>
      </c>
      <c r="W19">
        <f>IF($A19="","",IF(INDEX(Matrix!$R$2:$R$351,$A19)=1,", "&amp;Wizards!$B$16,""))</f>
        <v/>
      </c>
      <c r="X19">
        <f>IF($A19="","",IF(INDEX(Matrix!$S$2:$S$351,$A19)=1,", "&amp;Wizards!$B$17,""))</f>
        <v/>
      </c>
      <c r="Y19">
        <f>IF($A19="","",IF(INDEX(Matrix!$T$2:$T$351,$A19)=1,", "&amp;Wizards!$B$18,""))</f>
        <v/>
      </c>
      <c r="Z19">
        <f>IF($A19="","",IF(INDEX(Matrix!$U$2:$U$351,$A19)=1,", "&amp;Wizards!$B$19,""))</f>
        <v/>
      </c>
      <c r="AA19">
        <f>IF($A19="","",IF(INDEX(Matrix!$V$2:$V$351,$A19)=1,", "&amp;Wizards!$B$20,""))</f>
        <v/>
      </c>
      <c r="AB19">
        <f>IF($A19="","",IF(INDEX(Matrix!$W$2:$W$351,$A19)=1,", "&amp;Wizards!$B$21,""))</f>
        <v/>
      </c>
      <c r="AC19">
        <f>IF($A19="","",IF(INDEX(Matrix!$X$2:$X$351,$A19)=1,", "&amp;Wizards!$B$22,""))</f>
        <v/>
      </c>
      <c r="AD19">
        <f>IF($A19="","",IF(INDEX(Matrix!$Y$2:$Y$351,$A19)=1,", "&amp;Wizards!$B$23,""))</f>
        <v/>
      </c>
      <c r="AE19">
        <f>IF($A19="","",IF(INDEX(Matrix!$Z$2:$Z$351,$A19)=1,", "&amp;Wizards!$B$24,""))</f>
        <v/>
      </c>
      <c r="AF19">
        <f>IF($A19="","",IF(INDEX(Matrix!$AA$2:$AA$351,$A19)=1,", "&amp;Wizards!$B$25,""))</f>
        <v/>
      </c>
    </row>
    <row r="20">
      <c r="A20">
        <f>IFERROR(SMALL(Calc!$A$2:$A$351,9),"")</f>
        <v/>
      </c>
      <c r="B20">
        <f>IF($A20="","",INDEX(Spells!$B$2:$B$351,$A20))</f>
        <v/>
      </c>
      <c r="C20">
        <f>IF($A20="","",INDEX(Spells!$A$2:$A$351,$A20))</f>
        <v/>
      </c>
      <c r="D20">
        <f>IF($A20="","",$C20*50)</f>
        <v/>
      </c>
      <c r="E20">
        <f>IF($A20="","",INDEX(Matrix!$AZ$2:$AZ$351,$A20))</f>
        <v/>
      </c>
      <c r="F20">
        <f>IF($A20="","",MID($I20&amp;$J20&amp;$K20&amp;$L20&amp;$M20&amp;$N20&amp;$O20&amp;$P20&amp;$Q20&amp;$R20&amp;$S20&amp;$T20&amp;$U20&amp;$V20&amp;$W20&amp;$X20&amp;$Y20&amp;$Z20&amp;$AA20&amp;$AB20&amp;$AC20&amp;$AD20&amp;$AE20&amp;$AF20,3,32767))</f>
        <v/>
      </c>
      <c r="H20">
        <f>IF($A20="","","; "&amp;$B20&amp;" (L"&amp;$C20&amp;", "&amp;$D20&amp;" GP) from "&amp;$E20)</f>
        <v/>
      </c>
      <c r="I20">
        <f>IF($A20="","",IF(INDEX(Matrix!$D$2:$D$351,$A20)=1,", "&amp;Wizards!$B$2,""))</f>
        <v/>
      </c>
      <c r="J20">
        <f>IF($A20="","",IF(INDEX(Matrix!$E$2:$E$351,$A20)=1,", "&amp;Wizards!$B$3,""))</f>
        <v/>
      </c>
      <c r="K20">
        <f>IF($A20="","",IF(INDEX(Matrix!$F$2:$F$351,$A20)=1,", "&amp;Wizards!$B$4,""))</f>
        <v/>
      </c>
      <c r="L20">
        <f>IF($A20="","",IF(INDEX(Matrix!$G$2:$G$351,$A20)=1,", "&amp;Wizards!$B$5,""))</f>
        <v/>
      </c>
      <c r="M20">
        <f>IF($A20="","",IF(INDEX(Matrix!$H$2:$H$351,$A20)=1,", "&amp;Wizards!$B$6,""))</f>
        <v/>
      </c>
      <c r="N20">
        <f>IF($A20="","",IF(INDEX(Matrix!$I$2:$I$351,$A20)=1,", "&amp;Wizards!$B$7,""))</f>
        <v/>
      </c>
      <c r="O20">
        <f>IF($A20="","",IF(INDEX(Matrix!$J$2:$J$351,$A20)=1,", "&amp;Wizards!$B$8,""))</f>
        <v/>
      </c>
      <c r="P20">
        <f>IF($A20="","",IF(INDEX(Matrix!$K$2:$K$351,$A20)=1,", "&amp;Wizards!$B$9,""))</f>
        <v/>
      </c>
      <c r="Q20">
        <f>IF($A20="","",IF(INDEX(Matrix!$L$2:$L$351,$A20)=1,", "&amp;Wizards!$B$10,""))</f>
        <v/>
      </c>
      <c r="R20">
        <f>IF($A20="","",IF(INDEX(Matrix!$M$2:$M$351,$A20)=1,", "&amp;Wizards!$B$11,""))</f>
        <v/>
      </c>
      <c r="S20">
        <f>IF($A20="","",IF(INDEX(Matrix!$N$2:$N$351,$A20)=1,", "&amp;Wizards!$B$12,""))</f>
        <v/>
      </c>
      <c r="T20">
        <f>IF($A20="","",IF(INDEX(Matrix!$O$2:$O$351,$A20)=1,", "&amp;Wizards!$B$13,""))</f>
        <v/>
      </c>
      <c r="U20">
        <f>IF($A20="","",IF(INDEX(Matrix!$P$2:$P$351,$A20)=1,", "&amp;Wizards!$B$14,""))</f>
        <v/>
      </c>
      <c r="V20">
        <f>IF($A20="","",IF(INDEX(Matrix!$Q$2:$Q$351,$A20)=1,", "&amp;Wizards!$B$15,""))</f>
        <v/>
      </c>
      <c r="W20">
        <f>IF($A20="","",IF(INDEX(Matrix!$R$2:$R$351,$A20)=1,", "&amp;Wizards!$B$16,""))</f>
        <v/>
      </c>
      <c r="X20">
        <f>IF($A20="","",IF(INDEX(Matrix!$S$2:$S$351,$A20)=1,", "&amp;Wizards!$B$17,""))</f>
        <v/>
      </c>
      <c r="Y20">
        <f>IF($A20="","",IF(INDEX(Matrix!$T$2:$T$351,$A20)=1,", "&amp;Wizards!$B$18,""))</f>
        <v/>
      </c>
      <c r="Z20">
        <f>IF($A20="","",IF(INDEX(Matrix!$U$2:$U$351,$A20)=1,", "&amp;Wizards!$B$19,""))</f>
        <v/>
      </c>
      <c r="AA20">
        <f>IF($A20="","",IF(INDEX(Matrix!$V$2:$V$351,$A20)=1,", "&amp;Wizards!$B$20,""))</f>
        <v/>
      </c>
      <c r="AB20">
        <f>IF($A20="","",IF(INDEX(Matrix!$W$2:$W$351,$A20)=1,", "&amp;Wizards!$B$21,""))</f>
        <v/>
      </c>
      <c r="AC20">
        <f>IF($A20="","",IF(INDEX(Matrix!$X$2:$X$351,$A20)=1,", "&amp;Wizards!$B$22,""))</f>
        <v/>
      </c>
      <c r="AD20">
        <f>IF($A20="","",IF(INDEX(Matrix!$Y$2:$Y$351,$A20)=1,", "&amp;Wizards!$B$23,""))</f>
        <v/>
      </c>
      <c r="AE20">
        <f>IF($A20="","",IF(INDEX(Matrix!$Z$2:$Z$351,$A20)=1,", "&amp;Wizards!$B$24,""))</f>
        <v/>
      </c>
      <c r="AF20">
        <f>IF($A20="","",IF(INDEX(Matrix!$AA$2:$AA$351,$A20)=1,", "&amp;Wizards!$B$25,""))</f>
        <v/>
      </c>
    </row>
    <row r="21">
      <c r="A21">
        <f>IFERROR(SMALL(Calc!$A$2:$A$351,10),"")</f>
        <v/>
      </c>
      <c r="B21">
        <f>IF($A21="","",INDEX(Spells!$B$2:$B$351,$A21))</f>
        <v/>
      </c>
      <c r="C21">
        <f>IF($A21="","",INDEX(Spells!$A$2:$A$351,$A21))</f>
        <v/>
      </c>
      <c r="D21">
        <f>IF($A21="","",$C21*50)</f>
        <v/>
      </c>
      <c r="E21">
        <f>IF($A21="","",INDEX(Matrix!$AZ$2:$AZ$351,$A21))</f>
        <v/>
      </c>
      <c r="F21">
        <f>IF($A21="","",MID($I21&amp;$J21&amp;$K21&amp;$L21&amp;$M21&amp;$N21&amp;$O21&amp;$P21&amp;$Q21&amp;$R21&amp;$S21&amp;$T21&amp;$U21&amp;$V21&amp;$W21&amp;$X21&amp;$Y21&amp;$Z21&amp;$AA21&amp;$AB21&amp;$AC21&amp;$AD21&amp;$AE21&amp;$AF21,3,32767))</f>
        <v/>
      </c>
      <c r="H21">
        <f>IF($A21="","","; "&amp;$B21&amp;" (L"&amp;$C21&amp;", "&amp;$D21&amp;" GP) from "&amp;$E21)</f>
        <v/>
      </c>
      <c r="I21">
        <f>IF($A21="","",IF(INDEX(Matrix!$D$2:$D$351,$A21)=1,", "&amp;Wizards!$B$2,""))</f>
        <v/>
      </c>
      <c r="J21">
        <f>IF($A21="","",IF(INDEX(Matrix!$E$2:$E$351,$A21)=1,", "&amp;Wizards!$B$3,""))</f>
        <v/>
      </c>
      <c r="K21">
        <f>IF($A21="","",IF(INDEX(Matrix!$F$2:$F$351,$A21)=1,", "&amp;Wizards!$B$4,""))</f>
        <v/>
      </c>
      <c r="L21">
        <f>IF($A21="","",IF(INDEX(Matrix!$G$2:$G$351,$A21)=1,", "&amp;Wizards!$B$5,""))</f>
        <v/>
      </c>
      <c r="M21">
        <f>IF($A21="","",IF(INDEX(Matrix!$H$2:$H$351,$A21)=1,", "&amp;Wizards!$B$6,""))</f>
        <v/>
      </c>
      <c r="N21">
        <f>IF($A21="","",IF(INDEX(Matrix!$I$2:$I$351,$A21)=1,", "&amp;Wizards!$B$7,""))</f>
        <v/>
      </c>
      <c r="O21">
        <f>IF($A21="","",IF(INDEX(Matrix!$J$2:$J$351,$A21)=1,", "&amp;Wizards!$B$8,""))</f>
        <v/>
      </c>
      <c r="P21">
        <f>IF($A21="","",IF(INDEX(Matrix!$K$2:$K$351,$A21)=1,", "&amp;Wizards!$B$9,""))</f>
        <v/>
      </c>
      <c r="Q21">
        <f>IF($A21="","",IF(INDEX(Matrix!$L$2:$L$351,$A21)=1,", "&amp;Wizards!$B$10,""))</f>
        <v/>
      </c>
      <c r="R21">
        <f>IF($A21="","",IF(INDEX(Matrix!$M$2:$M$351,$A21)=1,", "&amp;Wizards!$B$11,""))</f>
        <v/>
      </c>
      <c r="S21">
        <f>IF($A21="","",IF(INDEX(Matrix!$N$2:$N$351,$A21)=1,", "&amp;Wizards!$B$12,""))</f>
        <v/>
      </c>
      <c r="T21">
        <f>IF($A21="","",IF(INDEX(Matrix!$O$2:$O$351,$A21)=1,", "&amp;Wizards!$B$13,""))</f>
        <v/>
      </c>
      <c r="U21">
        <f>IF($A21="","",IF(INDEX(Matrix!$P$2:$P$351,$A21)=1,", "&amp;Wizards!$B$14,""))</f>
        <v/>
      </c>
      <c r="V21">
        <f>IF($A21="","",IF(INDEX(Matrix!$Q$2:$Q$351,$A21)=1,", "&amp;Wizards!$B$15,""))</f>
        <v/>
      </c>
      <c r="W21">
        <f>IF($A21="","",IF(INDEX(Matrix!$R$2:$R$351,$A21)=1,", "&amp;Wizards!$B$16,""))</f>
        <v/>
      </c>
      <c r="X21">
        <f>IF($A21="","",IF(INDEX(Matrix!$S$2:$S$351,$A21)=1,", "&amp;Wizards!$B$17,""))</f>
        <v/>
      </c>
      <c r="Y21">
        <f>IF($A21="","",IF(INDEX(Matrix!$T$2:$T$351,$A21)=1,", "&amp;Wizards!$B$18,""))</f>
        <v/>
      </c>
      <c r="Z21">
        <f>IF($A21="","",IF(INDEX(Matrix!$U$2:$U$351,$A21)=1,", "&amp;Wizards!$B$19,""))</f>
        <v/>
      </c>
      <c r="AA21">
        <f>IF($A21="","",IF(INDEX(Matrix!$V$2:$V$351,$A21)=1,", "&amp;Wizards!$B$20,""))</f>
        <v/>
      </c>
      <c r="AB21">
        <f>IF($A21="","",IF(INDEX(Matrix!$W$2:$W$351,$A21)=1,", "&amp;Wizards!$B$21,""))</f>
        <v/>
      </c>
      <c r="AC21">
        <f>IF($A21="","",IF(INDEX(Matrix!$X$2:$X$351,$A21)=1,", "&amp;Wizards!$B$22,""))</f>
        <v/>
      </c>
      <c r="AD21">
        <f>IF($A21="","",IF(INDEX(Matrix!$Y$2:$Y$351,$A21)=1,", "&amp;Wizards!$B$23,""))</f>
        <v/>
      </c>
      <c r="AE21">
        <f>IF($A21="","",IF(INDEX(Matrix!$Z$2:$Z$351,$A21)=1,", "&amp;Wizards!$B$24,""))</f>
        <v/>
      </c>
      <c r="AF21">
        <f>IF($A21="","",IF(INDEX(Matrix!$AA$2:$AA$351,$A21)=1,", "&amp;Wizards!$B$25,""))</f>
        <v/>
      </c>
    </row>
    <row r="22">
      <c r="A22">
        <f>IFERROR(SMALL(Calc!$A$2:$A$351,11),"")</f>
        <v/>
      </c>
      <c r="B22">
        <f>IF($A22="","",INDEX(Spells!$B$2:$B$351,$A22))</f>
        <v/>
      </c>
      <c r="C22">
        <f>IF($A22="","",INDEX(Spells!$A$2:$A$351,$A22))</f>
        <v/>
      </c>
      <c r="D22">
        <f>IF($A22="","",$C22*50)</f>
        <v/>
      </c>
      <c r="E22">
        <f>IF($A22="","",INDEX(Matrix!$AZ$2:$AZ$351,$A22))</f>
        <v/>
      </c>
      <c r="F22">
        <f>IF($A22="","",MID($I22&amp;$J22&amp;$K22&amp;$L22&amp;$M22&amp;$N22&amp;$O22&amp;$P22&amp;$Q22&amp;$R22&amp;$S22&amp;$T22&amp;$U22&amp;$V22&amp;$W22&amp;$X22&amp;$Y22&amp;$Z22&amp;$AA22&amp;$AB22&amp;$AC22&amp;$AD22&amp;$AE22&amp;$AF22,3,32767))</f>
        <v/>
      </c>
      <c r="H22">
        <f>IF($A22="","","; "&amp;$B22&amp;" (L"&amp;$C22&amp;", "&amp;$D22&amp;" GP) from "&amp;$E22)</f>
        <v/>
      </c>
      <c r="I22">
        <f>IF($A22="","",IF(INDEX(Matrix!$D$2:$D$351,$A22)=1,", "&amp;Wizards!$B$2,""))</f>
        <v/>
      </c>
      <c r="J22">
        <f>IF($A22="","",IF(INDEX(Matrix!$E$2:$E$351,$A22)=1,", "&amp;Wizards!$B$3,""))</f>
        <v/>
      </c>
      <c r="K22">
        <f>IF($A22="","",IF(INDEX(Matrix!$F$2:$F$351,$A22)=1,", "&amp;Wizards!$B$4,""))</f>
        <v/>
      </c>
      <c r="L22">
        <f>IF($A22="","",IF(INDEX(Matrix!$G$2:$G$351,$A22)=1,", "&amp;Wizards!$B$5,""))</f>
        <v/>
      </c>
      <c r="M22">
        <f>IF($A22="","",IF(INDEX(Matrix!$H$2:$H$351,$A22)=1,", "&amp;Wizards!$B$6,""))</f>
        <v/>
      </c>
      <c r="N22">
        <f>IF($A22="","",IF(INDEX(Matrix!$I$2:$I$351,$A22)=1,", "&amp;Wizards!$B$7,""))</f>
        <v/>
      </c>
      <c r="O22">
        <f>IF($A22="","",IF(INDEX(Matrix!$J$2:$J$351,$A22)=1,", "&amp;Wizards!$B$8,""))</f>
        <v/>
      </c>
      <c r="P22">
        <f>IF($A22="","",IF(INDEX(Matrix!$K$2:$K$351,$A22)=1,", "&amp;Wizards!$B$9,""))</f>
        <v/>
      </c>
      <c r="Q22">
        <f>IF($A22="","",IF(INDEX(Matrix!$L$2:$L$351,$A22)=1,", "&amp;Wizards!$B$10,""))</f>
        <v/>
      </c>
      <c r="R22">
        <f>IF($A22="","",IF(INDEX(Matrix!$M$2:$M$351,$A22)=1,", "&amp;Wizards!$B$11,""))</f>
        <v/>
      </c>
      <c r="S22">
        <f>IF($A22="","",IF(INDEX(Matrix!$N$2:$N$351,$A22)=1,", "&amp;Wizards!$B$12,""))</f>
        <v/>
      </c>
      <c r="T22">
        <f>IF($A22="","",IF(INDEX(Matrix!$O$2:$O$351,$A22)=1,", "&amp;Wizards!$B$13,""))</f>
        <v/>
      </c>
      <c r="U22">
        <f>IF($A22="","",IF(INDEX(Matrix!$P$2:$P$351,$A22)=1,", "&amp;Wizards!$B$14,""))</f>
        <v/>
      </c>
      <c r="V22">
        <f>IF($A22="","",IF(INDEX(Matrix!$Q$2:$Q$351,$A22)=1,", "&amp;Wizards!$B$15,""))</f>
        <v/>
      </c>
      <c r="W22">
        <f>IF($A22="","",IF(INDEX(Matrix!$R$2:$R$351,$A22)=1,", "&amp;Wizards!$B$16,""))</f>
        <v/>
      </c>
      <c r="X22">
        <f>IF($A22="","",IF(INDEX(Matrix!$S$2:$S$351,$A22)=1,", "&amp;Wizards!$B$17,""))</f>
        <v/>
      </c>
      <c r="Y22">
        <f>IF($A22="","",IF(INDEX(Matrix!$T$2:$T$351,$A22)=1,", "&amp;Wizards!$B$18,""))</f>
        <v/>
      </c>
      <c r="Z22">
        <f>IF($A22="","",IF(INDEX(Matrix!$U$2:$U$351,$A22)=1,", "&amp;Wizards!$B$19,""))</f>
        <v/>
      </c>
      <c r="AA22">
        <f>IF($A22="","",IF(INDEX(Matrix!$V$2:$V$351,$A22)=1,", "&amp;Wizards!$B$20,""))</f>
        <v/>
      </c>
      <c r="AB22">
        <f>IF($A22="","",IF(INDEX(Matrix!$W$2:$W$351,$A22)=1,", "&amp;Wizards!$B$21,""))</f>
        <v/>
      </c>
      <c r="AC22">
        <f>IF($A22="","",IF(INDEX(Matrix!$X$2:$X$351,$A22)=1,", "&amp;Wizards!$B$22,""))</f>
        <v/>
      </c>
      <c r="AD22">
        <f>IF($A22="","",IF(INDEX(Matrix!$Y$2:$Y$351,$A22)=1,", "&amp;Wizards!$B$23,""))</f>
        <v/>
      </c>
      <c r="AE22">
        <f>IF($A22="","",IF(INDEX(Matrix!$Z$2:$Z$351,$A22)=1,", "&amp;Wizards!$B$24,""))</f>
        <v/>
      </c>
      <c r="AF22">
        <f>IF($A22="","",IF(INDEX(Matrix!$AA$2:$AA$351,$A22)=1,", "&amp;Wizards!$B$25,""))</f>
        <v/>
      </c>
    </row>
    <row r="23">
      <c r="A23">
        <f>IFERROR(SMALL(Calc!$A$2:$A$351,12),"")</f>
        <v/>
      </c>
      <c r="B23">
        <f>IF($A23="","",INDEX(Spells!$B$2:$B$351,$A23))</f>
        <v/>
      </c>
      <c r="C23">
        <f>IF($A23="","",INDEX(Spells!$A$2:$A$351,$A23))</f>
        <v/>
      </c>
      <c r="D23">
        <f>IF($A23="","",$C23*50)</f>
        <v/>
      </c>
      <c r="E23">
        <f>IF($A23="","",INDEX(Matrix!$AZ$2:$AZ$351,$A23))</f>
        <v/>
      </c>
      <c r="F23">
        <f>IF($A23="","",MID($I23&amp;$J23&amp;$K23&amp;$L23&amp;$M23&amp;$N23&amp;$O23&amp;$P23&amp;$Q23&amp;$R23&amp;$S23&amp;$T23&amp;$U23&amp;$V23&amp;$W23&amp;$X23&amp;$Y23&amp;$Z23&amp;$AA23&amp;$AB23&amp;$AC23&amp;$AD23&amp;$AE23&amp;$AF23,3,32767))</f>
        <v/>
      </c>
      <c r="H23">
        <f>IF($A23="","","; "&amp;$B23&amp;" (L"&amp;$C23&amp;", "&amp;$D23&amp;" GP) from "&amp;$E23)</f>
        <v/>
      </c>
      <c r="I23">
        <f>IF($A23="","",IF(INDEX(Matrix!$D$2:$D$351,$A23)=1,", "&amp;Wizards!$B$2,""))</f>
        <v/>
      </c>
      <c r="J23">
        <f>IF($A23="","",IF(INDEX(Matrix!$E$2:$E$351,$A23)=1,", "&amp;Wizards!$B$3,""))</f>
        <v/>
      </c>
      <c r="K23">
        <f>IF($A23="","",IF(INDEX(Matrix!$F$2:$F$351,$A23)=1,", "&amp;Wizards!$B$4,""))</f>
        <v/>
      </c>
      <c r="L23">
        <f>IF($A23="","",IF(INDEX(Matrix!$G$2:$G$351,$A23)=1,", "&amp;Wizards!$B$5,""))</f>
        <v/>
      </c>
      <c r="M23">
        <f>IF($A23="","",IF(INDEX(Matrix!$H$2:$H$351,$A23)=1,", "&amp;Wizards!$B$6,""))</f>
        <v/>
      </c>
      <c r="N23">
        <f>IF($A23="","",IF(INDEX(Matrix!$I$2:$I$351,$A23)=1,", "&amp;Wizards!$B$7,""))</f>
        <v/>
      </c>
      <c r="O23">
        <f>IF($A23="","",IF(INDEX(Matrix!$J$2:$J$351,$A23)=1,", "&amp;Wizards!$B$8,""))</f>
        <v/>
      </c>
      <c r="P23">
        <f>IF($A23="","",IF(INDEX(Matrix!$K$2:$K$351,$A23)=1,", "&amp;Wizards!$B$9,""))</f>
        <v/>
      </c>
      <c r="Q23">
        <f>IF($A23="","",IF(INDEX(Matrix!$L$2:$L$351,$A23)=1,", "&amp;Wizards!$B$10,""))</f>
        <v/>
      </c>
      <c r="R23">
        <f>IF($A23="","",IF(INDEX(Matrix!$M$2:$M$351,$A23)=1,", "&amp;Wizards!$B$11,""))</f>
        <v/>
      </c>
      <c r="S23">
        <f>IF($A23="","",IF(INDEX(Matrix!$N$2:$N$351,$A23)=1,", "&amp;Wizards!$B$12,""))</f>
        <v/>
      </c>
      <c r="T23">
        <f>IF($A23="","",IF(INDEX(Matrix!$O$2:$O$351,$A23)=1,", "&amp;Wizards!$B$13,""))</f>
        <v/>
      </c>
      <c r="U23">
        <f>IF($A23="","",IF(INDEX(Matrix!$P$2:$P$351,$A23)=1,", "&amp;Wizards!$B$14,""))</f>
        <v/>
      </c>
      <c r="V23">
        <f>IF($A23="","",IF(INDEX(Matrix!$Q$2:$Q$351,$A23)=1,", "&amp;Wizards!$B$15,""))</f>
        <v/>
      </c>
      <c r="W23">
        <f>IF($A23="","",IF(INDEX(Matrix!$R$2:$R$351,$A23)=1,", "&amp;Wizards!$B$16,""))</f>
        <v/>
      </c>
      <c r="X23">
        <f>IF($A23="","",IF(INDEX(Matrix!$S$2:$S$351,$A23)=1,", "&amp;Wizards!$B$17,""))</f>
        <v/>
      </c>
      <c r="Y23">
        <f>IF($A23="","",IF(INDEX(Matrix!$T$2:$T$351,$A23)=1,", "&amp;Wizards!$B$18,""))</f>
        <v/>
      </c>
      <c r="Z23">
        <f>IF($A23="","",IF(INDEX(Matrix!$U$2:$U$351,$A23)=1,", "&amp;Wizards!$B$19,""))</f>
        <v/>
      </c>
      <c r="AA23">
        <f>IF($A23="","",IF(INDEX(Matrix!$V$2:$V$351,$A23)=1,", "&amp;Wizards!$B$20,""))</f>
        <v/>
      </c>
      <c r="AB23">
        <f>IF($A23="","",IF(INDEX(Matrix!$W$2:$W$351,$A23)=1,", "&amp;Wizards!$B$21,""))</f>
        <v/>
      </c>
      <c r="AC23">
        <f>IF($A23="","",IF(INDEX(Matrix!$X$2:$X$351,$A23)=1,", "&amp;Wizards!$B$22,""))</f>
        <v/>
      </c>
      <c r="AD23">
        <f>IF($A23="","",IF(INDEX(Matrix!$Y$2:$Y$351,$A23)=1,", "&amp;Wizards!$B$23,""))</f>
        <v/>
      </c>
      <c r="AE23">
        <f>IF($A23="","",IF(INDEX(Matrix!$Z$2:$Z$351,$A23)=1,", "&amp;Wizards!$B$24,""))</f>
        <v/>
      </c>
      <c r="AF23">
        <f>IF($A23="","",IF(INDEX(Matrix!$AA$2:$AA$351,$A23)=1,", "&amp;Wizards!$B$25,""))</f>
        <v/>
      </c>
    </row>
    <row r="24">
      <c r="A24">
        <f>IFERROR(SMALL(Calc!$A$2:$A$351,13),"")</f>
        <v/>
      </c>
      <c r="B24">
        <f>IF($A24="","",INDEX(Spells!$B$2:$B$351,$A24))</f>
        <v/>
      </c>
      <c r="C24">
        <f>IF($A24="","",INDEX(Spells!$A$2:$A$351,$A24))</f>
        <v/>
      </c>
      <c r="D24">
        <f>IF($A24="","",$C24*50)</f>
        <v/>
      </c>
      <c r="E24">
        <f>IF($A24="","",INDEX(Matrix!$AZ$2:$AZ$351,$A24))</f>
        <v/>
      </c>
      <c r="F24">
        <f>IF($A24="","",MID($I24&amp;$J24&amp;$K24&amp;$L24&amp;$M24&amp;$N24&amp;$O24&amp;$P24&amp;$Q24&amp;$R24&amp;$S24&amp;$T24&amp;$U24&amp;$V24&amp;$W24&amp;$X24&amp;$Y24&amp;$Z24&amp;$AA24&amp;$AB24&amp;$AC24&amp;$AD24&amp;$AE24&amp;$AF24,3,32767))</f>
        <v/>
      </c>
      <c r="H24">
        <f>IF($A24="","","; "&amp;$B24&amp;" (L"&amp;$C24&amp;", "&amp;$D24&amp;" GP) from "&amp;$E24)</f>
        <v/>
      </c>
      <c r="I24">
        <f>IF($A24="","",IF(INDEX(Matrix!$D$2:$D$351,$A24)=1,", "&amp;Wizards!$B$2,""))</f>
        <v/>
      </c>
      <c r="J24">
        <f>IF($A24="","",IF(INDEX(Matrix!$E$2:$E$351,$A24)=1,", "&amp;Wizards!$B$3,""))</f>
        <v/>
      </c>
      <c r="K24">
        <f>IF($A24="","",IF(INDEX(Matrix!$F$2:$F$351,$A24)=1,", "&amp;Wizards!$B$4,""))</f>
        <v/>
      </c>
      <c r="L24">
        <f>IF($A24="","",IF(INDEX(Matrix!$G$2:$G$351,$A24)=1,", "&amp;Wizards!$B$5,""))</f>
        <v/>
      </c>
      <c r="M24">
        <f>IF($A24="","",IF(INDEX(Matrix!$H$2:$H$351,$A24)=1,", "&amp;Wizards!$B$6,""))</f>
        <v/>
      </c>
      <c r="N24">
        <f>IF($A24="","",IF(INDEX(Matrix!$I$2:$I$351,$A24)=1,", "&amp;Wizards!$B$7,""))</f>
        <v/>
      </c>
      <c r="O24">
        <f>IF($A24="","",IF(INDEX(Matrix!$J$2:$J$351,$A24)=1,", "&amp;Wizards!$B$8,""))</f>
        <v/>
      </c>
      <c r="P24">
        <f>IF($A24="","",IF(INDEX(Matrix!$K$2:$K$351,$A24)=1,", "&amp;Wizards!$B$9,""))</f>
        <v/>
      </c>
      <c r="Q24">
        <f>IF($A24="","",IF(INDEX(Matrix!$L$2:$L$351,$A24)=1,", "&amp;Wizards!$B$10,""))</f>
        <v/>
      </c>
      <c r="R24">
        <f>IF($A24="","",IF(INDEX(Matrix!$M$2:$M$351,$A24)=1,", "&amp;Wizards!$B$11,""))</f>
        <v/>
      </c>
      <c r="S24">
        <f>IF($A24="","",IF(INDEX(Matrix!$N$2:$N$351,$A24)=1,", "&amp;Wizards!$B$12,""))</f>
        <v/>
      </c>
      <c r="T24">
        <f>IF($A24="","",IF(INDEX(Matrix!$O$2:$O$351,$A24)=1,", "&amp;Wizards!$B$13,""))</f>
        <v/>
      </c>
      <c r="U24">
        <f>IF($A24="","",IF(INDEX(Matrix!$P$2:$P$351,$A24)=1,", "&amp;Wizards!$B$14,""))</f>
        <v/>
      </c>
      <c r="V24">
        <f>IF($A24="","",IF(INDEX(Matrix!$Q$2:$Q$351,$A24)=1,", "&amp;Wizards!$B$15,""))</f>
        <v/>
      </c>
      <c r="W24">
        <f>IF($A24="","",IF(INDEX(Matrix!$R$2:$R$351,$A24)=1,", "&amp;Wizards!$B$16,""))</f>
        <v/>
      </c>
      <c r="X24">
        <f>IF($A24="","",IF(INDEX(Matrix!$S$2:$S$351,$A24)=1,", "&amp;Wizards!$B$17,""))</f>
        <v/>
      </c>
      <c r="Y24">
        <f>IF($A24="","",IF(INDEX(Matrix!$T$2:$T$351,$A24)=1,", "&amp;Wizards!$B$18,""))</f>
        <v/>
      </c>
      <c r="Z24">
        <f>IF($A24="","",IF(INDEX(Matrix!$U$2:$U$351,$A24)=1,", "&amp;Wizards!$B$19,""))</f>
        <v/>
      </c>
      <c r="AA24">
        <f>IF($A24="","",IF(INDEX(Matrix!$V$2:$V$351,$A24)=1,", "&amp;Wizards!$B$20,""))</f>
        <v/>
      </c>
      <c r="AB24">
        <f>IF($A24="","",IF(INDEX(Matrix!$W$2:$W$351,$A24)=1,", "&amp;Wizards!$B$21,""))</f>
        <v/>
      </c>
      <c r="AC24">
        <f>IF($A24="","",IF(INDEX(Matrix!$X$2:$X$351,$A24)=1,", "&amp;Wizards!$B$22,""))</f>
        <v/>
      </c>
      <c r="AD24">
        <f>IF($A24="","",IF(INDEX(Matrix!$Y$2:$Y$351,$A24)=1,", "&amp;Wizards!$B$23,""))</f>
        <v/>
      </c>
      <c r="AE24">
        <f>IF($A24="","",IF(INDEX(Matrix!$Z$2:$Z$351,$A24)=1,", "&amp;Wizards!$B$24,""))</f>
        <v/>
      </c>
      <c r="AF24">
        <f>IF($A24="","",IF(INDEX(Matrix!$AA$2:$AA$351,$A24)=1,", "&amp;Wizards!$B$25,""))</f>
        <v/>
      </c>
    </row>
    <row r="25">
      <c r="A25">
        <f>IFERROR(SMALL(Calc!$A$2:$A$351,14),"")</f>
        <v/>
      </c>
      <c r="B25">
        <f>IF($A25="","",INDEX(Spells!$B$2:$B$351,$A25))</f>
        <v/>
      </c>
      <c r="C25">
        <f>IF($A25="","",INDEX(Spells!$A$2:$A$351,$A25))</f>
        <v/>
      </c>
      <c r="D25">
        <f>IF($A25="","",$C25*50)</f>
        <v/>
      </c>
      <c r="E25">
        <f>IF($A25="","",INDEX(Matrix!$AZ$2:$AZ$351,$A25))</f>
        <v/>
      </c>
      <c r="F25">
        <f>IF($A25="","",MID($I25&amp;$J25&amp;$K25&amp;$L25&amp;$M25&amp;$N25&amp;$O25&amp;$P25&amp;$Q25&amp;$R25&amp;$S25&amp;$T25&amp;$U25&amp;$V25&amp;$W25&amp;$X25&amp;$Y25&amp;$Z25&amp;$AA25&amp;$AB25&amp;$AC25&amp;$AD25&amp;$AE25&amp;$AF25,3,32767))</f>
        <v/>
      </c>
      <c r="H25">
        <f>IF($A25="","","; "&amp;$B25&amp;" (L"&amp;$C25&amp;", "&amp;$D25&amp;" GP) from "&amp;$E25)</f>
        <v/>
      </c>
      <c r="I25">
        <f>IF($A25="","",IF(INDEX(Matrix!$D$2:$D$351,$A25)=1,", "&amp;Wizards!$B$2,""))</f>
        <v/>
      </c>
      <c r="J25">
        <f>IF($A25="","",IF(INDEX(Matrix!$E$2:$E$351,$A25)=1,", "&amp;Wizards!$B$3,""))</f>
        <v/>
      </c>
      <c r="K25">
        <f>IF($A25="","",IF(INDEX(Matrix!$F$2:$F$351,$A25)=1,", "&amp;Wizards!$B$4,""))</f>
        <v/>
      </c>
      <c r="L25">
        <f>IF($A25="","",IF(INDEX(Matrix!$G$2:$G$351,$A25)=1,", "&amp;Wizards!$B$5,""))</f>
        <v/>
      </c>
      <c r="M25">
        <f>IF($A25="","",IF(INDEX(Matrix!$H$2:$H$351,$A25)=1,", "&amp;Wizards!$B$6,""))</f>
        <v/>
      </c>
      <c r="N25">
        <f>IF($A25="","",IF(INDEX(Matrix!$I$2:$I$351,$A25)=1,", "&amp;Wizards!$B$7,""))</f>
        <v/>
      </c>
      <c r="O25">
        <f>IF($A25="","",IF(INDEX(Matrix!$J$2:$J$351,$A25)=1,", "&amp;Wizards!$B$8,""))</f>
        <v/>
      </c>
      <c r="P25">
        <f>IF($A25="","",IF(INDEX(Matrix!$K$2:$K$351,$A25)=1,", "&amp;Wizards!$B$9,""))</f>
        <v/>
      </c>
      <c r="Q25">
        <f>IF($A25="","",IF(INDEX(Matrix!$L$2:$L$351,$A25)=1,", "&amp;Wizards!$B$10,""))</f>
        <v/>
      </c>
      <c r="R25">
        <f>IF($A25="","",IF(INDEX(Matrix!$M$2:$M$351,$A25)=1,", "&amp;Wizards!$B$11,""))</f>
        <v/>
      </c>
      <c r="S25">
        <f>IF($A25="","",IF(INDEX(Matrix!$N$2:$N$351,$A25)=1,", "&amp;Wizards!$B$12,""))</f>
        <v/>
      </c>
      <c r="T25">
        <f>IF($A25="","",IF(INDEX(Matrix!$O$2:$O$351,$A25)=1,", "&amp;Wizards!$B$13,""))</f>
        <v/>
      </c>
      <c r="U25">
        <f>IF($A25="","",IF(INDEX(Matrix!$P$2:$P$351,$A25)=1,", "&amp;Wizards!$B$14,""))</f>
        <v/>
      </c>
      <c r="V25">
        <f>IF($A25="","",IF(INDEX(Matrix!$Q$2:$Q$351,$A25)=1,", "&amp;Wizards!$B$15,""))</f>
        <v/>
      </c>
      <c r="W25">
        <f>IF($A25="","",IF(INDEX(Matrix!$R$2:$R$351,$A25)=1,", "&amp;Wizards!$B$16,""))</f>
        <v/>
      </c>
      <c r="X25">
        <f>IF($A25="","",IF(INDEX(Matrix!$S$2:$S$351,$A25)=1,", "&amp;Wizards!$B$17,""))</f>
        <v/>
      </c>
      <c r="Y25">
        <f>IF($A25="","",IF(INDEX(Matrix!$T$2:$T$351,$A25)=1,", "&amp;Wizards!$B$18,""))</f>
        <v/>
      </c>
      <c r="Z25">
        <f>IF($A25="","",IF(INDEX(Matrix!$U$2:$U$351,$A25)=1,", "&amp;Wizards!$B$19,""))</f>
        <v/>
      </c>
      <c r="AA25">
        <f>IF($A25="","",IF(INDEX(Matrix!$V$2:$V$351,$A25)=1,", "&amp;Wizards!$B$20,""))</f>
        <v/>
      </c>
      <c r="AB25">
        <f>IF($A25="","",IF(INDEX(Matrix!$W$2:$W$351,$A25)=1,", "&amp;Wizards!$B$21,""))</f>
        <v/>
      </c>
      <c r="AC25">
        <f>IF($A25="","",IF(INDEX(Matrix!$X$2:$X$351,$A25)=1,", "&amp;Wizards!$B$22,""))</f>
        <v/>
      </c>
      <c r="AD25">
        <f>IF($A25="","",IF(INDEX(Matrix!$Y$2:$Y$351,$A25)=1,", "&amp;Wizards!$B$23,""))</f>
        <v/>
      </c>
      <c r="AE25">
        <f>IF($A25="","",IF(INDEX(Matrix!$Z$2:$Z$351,$A25)=1,", "&amp;Wizards!$B$24,""))</f>
        <v/>
      </c>
      <c r="AF25">
        <f>IF($A25="","",IF(INDEX(Matrix!$AA$2:$AA$351,$A25)=1,", "&amp;Wizards!$B$25,""))</f>
        <v/>
      </c>
    </row>
    <row r="26">
      <c r="A26">
        <f>IFERROR(SMALL(Calc!$A$2:$A$351,15),"")</f>
        <v/>
      </c>
      <c r="B26">
        <f>IF($A26="","",INDEX(Spells!$B$2:$B$351,$A26))</f>
        <v/>
      </c>
      <c r="C26">
        <f>IF($A26="","",INDEX(Spells!$A$2:$A$351,$A26))</f>
        <v/>
      </c>
      <c r="D26">
        <f>IF($A26="","",$C26*50)</f>
        <v/>
      </c>
      <c r="E26">
        <f>IF($A26="","",INDEX(Matrix!$AZ$2:$AZ$351,$A26))</f>
        <v/>
      </c>
      <c r="F26">
        <f>IF($A26="","",MID($I26&amp;$J26&amp;$K26&amp;$L26&amp;$M26&amp;$N26&amp;$O26&amp;$P26&amp;$Q26&amp;$R26&amp;$S26&amp;$T26&amp;$U26&amp;$V26&amp;$W26&amp;$X26&amp;$Y26&amp;$Z26&amp;$AA26&amp;$AB26&amp;$AC26&amp;$AD26&amp;$AE26&amp;$AF26,3,32767))</f>
        <v/>
      </c>
      <c r="H26">
        <f>IF($A26="","","; "&amp;$B26&amp;" (L"&amp;$C26&amp;", "&amp;$D26&amp;" GP) from "&amp;$E26)</f>
        <v/>
      </c>
      <c r="I26">
        <f>IF($A26="","",IF(INDEX(Matrix!$D$2:$D$351,$A26)=1,", "&amp;Wizards!$B$2,""))</f>
        <v/>
      </c>
      <c r="J26">
        <f>IF($A26="","",IF(INDEX(Matrix!$E$2:$E$351,$A26)=1,", "&amp;Wizards!$B$3,""))</f>
        <v/>
      </c>
      <c r="K26">
        <f>IF($A26="","",IF(INDEX(Matrix!$F$2:$F$351,$A26)=1,", "&amp;Wizards!$B$4,""))</f>
        <v/>
      </c>
      <c r="L26">
        <f>IF($A26="","",IF(INDEX(Matrix!$G$2:$G$351,$A26)=1,", "&amp;Wizards!$B$5,""))</f>
        <v/>
      </c>
      <c r="M26">
        <f>IF($A26="","",IF(INDEX(Matrix!$H$2:$H$351,$A26)=1,", "&amp;Wizards!$B$6,""))</f>
        <v/>
      </c>
      <c r="N26">
        <f>IF($A26="","",IF(INDEX(Matrix!$I$2:$I$351,$A26)=1,", "&amp;Wizards!$B$7,""))</f>
        <v/>
      </c>
      <c r="O26">
        <f>IF($A26="","",IF(INDEX(Matrix!$J$2:$J$351,$A26)=1,", "&amp;Wizards!$B$8,""))</f>
        <v/>
      </c>
      <c r="P26">
        <f>IF($A26="","",IF(INDEX(Matrix!$K$2:$K$351,$A26)=1,", "&amp;Wizards!$B$9,""))</f>
        <v/>
      </c>
      <c r="Q26">
        <f>IF($A26="","",IF(INDEX(Matrix!$L$2:$L$351,$A26)=1,", "&amp;Wizards!$B$10,""))</f>
        <v/>
      </c>
      <c r="R26">
        <f>IF($A26="","",IF(INDEX(Matrix!$M$2:$M$351,$A26)=1,", "&amp;Wizards!$B$11,""))</f>
        <v/>
      </c>
      <c r="S26">
        <f>IF($A26="","",IF(INDEX(Matrix!$N$2:$N$351,$A26)=1,", "&amp;Wizards!$B$12,""))</f>
        <v/>
      </c>
      <c r="T26">
        <f>IF($A26="","",IF(INDEX(Matrix!$O$2:$O$351,$A26)=1,", "&amp;Wizards!$B$13,""))</f>
        <v/>
      </c>
      <c r="U26">
        <f>IF($A26="","",IF(INDEX(Matrix!$P$2:$P$351,$A26)=1,", "&amp;Wizards!$B$14,""))</f>
        <v/>
      </c>
      <c r="V26">
        <f>IF($A26="","",IF(INDEX(Matrix!$Q$2:$Q$351,$A26)=1,", "&amp;Wizards!$B$15,""))</f>
        <v/>
      </c>
      <c r="W26">
        <f>IF($A26="","",IF(INDEX(Matrix!$R$2:$R$351,$A26)=1,", "&amp;Wizards!$B$16,""))</f>
        <v/>
      </c>
      <c r="X26">
        <f>IF($A26="","",IF(INDEX(Matrix!$S$2:$S$351,$A26)=1,", "&amp;Wizards!$B$17,""))</f>
        <v/>
      </c>
      <c r="Y26">
        <f>IF($A26="","",IF(INDEX(Matrix!$T$2:$T$351,$A26)=1,", "&amp;Wizards!$B$18,""))</f>
        <v/>
      </c>
      <c r="Z26">
        <f>IF($A26="","",IF(INDEX(Matrix!$U$2:$U$351,$A26)=1,", "&amp;Wizards!$B$19,""))</f>
        <v/>
      </c>
      <c r="AA26">
        <f>IF($A26="","",IF(INDEX(Matrix!$V$2:$V$351,$A26)=1,", "&amp;Wizards!$B$20,""))</f>
        <v/>
      </c>
      <c r="AB26">
        <f>IF($A26="","",IF(INDEX(Matrix!$W$2:$W$351,$A26)=1,", "&amp;Wizards!$B$21,""))</f>
        <v/>
      </c>
      <c r="AC26">
        <f>IF($A26="","",IF(INDEX(Matrix!$X$2:$X$351,$A26)=1,", "&amp;Wizards!$B$22,""))</f>
        <v/>
      </c>
      <c r="AD26">
        <f>IF($A26="","",IF(INDEX(Matrix!$Y$2:$Y$351,$A26)=1,", "&amp;Wizards!$B$23,""))</f>
        <v/>
      </c>
      <c r="AE26">
        <f>IF($A26="","",IF(INDEX(Matrix!$Z$2:$Z$351,$A26)=1,", "&amp;Wizards!$B$24,""))</f>
        <v/>
      </c>
      <c r="AF26">
        <f>IF($A26="","",IF(INDEX(Matrix!$AA$2:$AA$351,$A26)=1,", "&amp;Wizards!$B$25,""))</f>
        <v/>
      </c>
    </row>
    <row r="27">
      <c r="A27">
        <f>IFERROR(SMALL(Calc!$A$2:$A$351,16),"")</f>
        <v/>
      </c>
      <c r="B27">
        <f>IF($A27="","",INDEX(Spells!$B$2:$B$351,$A27))</f>
        <v/>
      </c>
      <c r="C27">
        <f>IF($A27="","",INDEX(Spells!$A$2:$A$351,$A27))</f>
        <v/>
      </c>
      <c r="D27">
        <f>IF($A27="","",$C27*50)</f>
        <v/>
      </c>
      <c r="E27">
        <f>IF($A27="","",INDEX(Matrix!$AZ$2:$AZ$351,$A27))</f>
        <v/>
      </c>
      <c r="F27">
        <f>IF($A27="","",MID($I27&amp;$J27&amp;$K27&amp;$L27&amp;$M27&amp;$N27&amp;$O27&amp;$P27&amp;$Q27&amp;$R27&amp;$S27&amp;$T27&amp;$U27&amp;$V27&amp;$W27&amp;$X27&amp;$Y27&amp;$Z27&amp;$AA27&amp;$AB27&amp;$AC27&amp;$AD27&amp;$AE27&amp;$AF27,3,32767))</f>
        <v/>
      </c>
      <c r="H27">
        <f>IF($A27="","","; "&amp;$B27&amp;" (L"&amp;$C27&amp;", "&amp;$D27&amp;" GP) from "&amp;$E27)</f>
        <v/>
      </c>
      <c r="I27">
        <f>IF($A27="","",IF(INDEX(Matrix!$D$2:$D$351,$A27)=1,", "&amp;Wizards!$B$2,""))</f>
        <v/>
      </c>
      <c r="J27">
        <f>IF($A27="","",IF(INDEX(Matrix!$E$2:$E$351,$A27)=1,", "&amp;Wizards!$B$3,""))</f>
        <v/>
      </c>
      <c r="K27">
        <f>IF($A27="","",IF(INDEX(Matrix!$F$2:$F$351,$A27)=1,", "&amp;Wizards!$B$4,""))</f>
        <v/>
      </c>
      <c r="L27">
        <f>IF($A27="","",IF(INDEX(Matrix!$G$2:$G$351,$A27)=1,", "&amp;Wizards!$B$5,""))</f>
        <v/>
      </c>
      <c r="M27">
        <f>IF($A27="","",IF(INDEX(Matrix!$H$2:$H$351,$A27)=1,", "&amp;Wizards!$B$6,""))</f>
        <v/>
      </c>
      <c r="N27">
        <f>IF($A27="","",IF(INDEX(Matrix!$I$2:$I$351,$A27)=1,", "&amp;Wizards!$B$7,""))</f>
        <v/>
      </c>
      <c r="O27">
        <f>IF($A27="","",IF(INDEX(Matrix!$J$2:$J$351,$A27)=1,", "&amp;Wizards!$B$8,""))</f>
        <v/>
      </c>
      <c r="P27">
        <f>IF($A27="","",IF(INDEX(Matrix!$K$2:$K$351,$A27)=1,", "&amp;Wizards!$B$9,""))</f>
        <v/>
      </c>
      <c r="Q27">
        <f>IF($A27="","",IF(INDEX(Matrix!$L$2:$L$351,$A27)=1,", "&amp;Wizards!$B$10,""))</f>
        <v/>
      </c>
      <c r="R27">
        <f>IF($A27="","",IF(INDEX(Matrix!$M$2:$M$351,$A27)=1,", "&amp;Wizards!$B$11,""))</f>
        <v/>
      </c>
      <c r="S27">
        <f>IF($A27="","",IF(INDEX(Matrix!$N$2:$N$351,$A27)=1,", "&amp;Wizards!$B$12,""))</f>
        <v/>
      </c>
      <c r="T27">
        <f>IF($A27="","",IF(INDEX(Matrix!$O$2:$O$351,$A27)=1,", "&amp;Wizards!$B$13,""))</f>
        <v/>
      </c>
      <c r="U27">
        <f>IF($A27="","",IF(INDEX(Matrix!$P$2:$P$351,$A27)=1,", "&amp;Wizards!$B$14,""))</f>
        <v/>
      </c>
      <c r="V27">
        <f>IF($A27="","",IF(INDEX(Matrix!$Q$2:$Q$351,$A27)=1,", "&amp;Wizards!$B$15,""))</f>
        <v/>
      </c>
      <c r="W27">
        <f>IF($A27="","",IF(INDEX(Matrix!$R$2:$R$351,$A27)=1,", "&amp;Wizards!$B$16,""))</f>
        <v/>
      </c>
      <c r="X27">
        <f>IF($A27="","",IF(INDEX(Matrix!$S$2:$S$351,$A27)=1,", "&amp;Wizards!$B$17,""))</f>
        <v/>
      </c>
      <c r="Y27">
        <f>IF($A27="","",IF(INDEX(Matrix!$T$2:$T$351,$A27)=1,", "&amp;Wizards!$B$18,""))</f>
        <v/>
      </c>
      <c r="Z27">
        <f>IF($A27="","",IF(INDEX(Matrix!$U$2:$U$351,$A27)=1,", "&amp;Wizards!$B$19,""))</f>
        <v/>
      </c>
      <c r="AA27">
        <f>IF($A27="","",IF(INDEX(Matrix!$V$2:$V$351,$A27)=1,", "&amp;Wizards!$B$20,""))</f>
        <v/>
      </c>
      <c r="AB27">
        <f>IF($A27="","",IF(INDEX(Matrix!$W$2:$W$351,$A27)=1,", "&amp;Wizards!$B$21,""))</f>
        <v/>
      </c>
      <c r="AC27">
        <f>IF($A27="","",IF(INDEX(Matrix!$X$2:$X$351,$A27)=1,", "&amp;Wizards!$B$22,""))</f>
        <v/>
      </c>
      <c r="AD27">
        <f>IF($A27="","",IF(INDEX(Matrix!$Y$2:$Y$351,$A27)=1,", "&amp;Wizards!$B$23,""))</f>
        <v/>
      </c>
      <c r="AE27">
        <f>IF($A27="","",IF(INDEX(Matrix!$Z$2:$Z$351,$A27)=1,", "&amp;Wizards!$B$24,""))</f>
        <v/>
      </c>
      <c r="AF27">
        <f>IF($A27="","",IF(INDEX(Matrix!$AA$2:$AA$351,$A27)=1,", "&amp;Wizards!$B$25,""))</f>
        <v/>
      </c>
    </row>
    <row r="28">
      <c r="A28">
        <f>IFERROR(SMALL(Calc!$A$2:$A$351,17),"")</f>
        <v/>
      </c>
      <c r="B28">
        <f>IF($A28="","",INDEX(Spells!$B$2:$B$351,$A28))</f>
        <v/>
      </c>
      <c r="C28">
        <f>IF($A28="","",INDEX(Spells!$A$2:$A$351,$A28))</f>
        <v/>
      </c>
      <c r="D28">
        <f>IF($A28="","",$C28*50)</f>
        <v/>
      </c>
      <c r="E28">
        <f>IF($A28="","",INDEX(Matrix!$AZ$2:$AZ$351,$A28))</f>
        <v/>
      </c>
      <c r="F28">
        <f>IF($A28="","",MID($I28&amp;$J28&amp;$K28&amp;$L28&amp;$M28&amp;$N28&amp;$O28&amp;$P28&amp;$Q28&amp;$R28&amp;$S28&amp;$T28&amp;$U28&amp;$V28&amp;$W28&amp;$X28&amp;$Y28&amp;$Z28&amp;$AA28&amp;$AB28&amp;$AC28&amp;$AD28&amp;$AE28&amp;$AF28,3,32767))</f>
        <v/>
      </c>
      <c r="H28">
        <f>IF($A28="","","; "&amp;$B28&amp;" (L"&amp;$C28&amp;", "&amp;$D28&amp;" GP) from "&amp;$E28)</f>
        <v/>
      </c>
      <c r="I28">
        <f>IF($A28="","",IF(INDEX(Matrix!$D$2:$D$351,$A28)=1,", "&amp;Wizards!$B$2,""))</f>
        <v/>
      </c>
      <c r="J28">
        <f>IF($A28="","",IF(INDEX(Matrix!$E$2:$E$351,$A28)=1,", "&amp;Wizards!$B$3,""))</f>
        <v/>
      </c>
      <c r="K28">
        <f>IF($A28="","",IF(INDEX(Matrix!$F$2:$F$351,$A28)=1,", "&amp;Wizards!$B$4,""))</f>
        <v/>
      </c>
      <c r="L28">
        <f>IF($A28="","",IF(INDEX(Matrix!$G$2:$G$351,$A28)=1,", "&amp;Wizards!$B$5,""))</f>
        <v/>
      </c>
      <c r="M28">
        <f>IF($A28="","",IF(INDEX(Matrix!$H$2:$H$351,$A28)=1,", "&amp;Wizards!$B$6,""))</f>
        <v/>
      </c>
      <c r="N28">
        <f>IF($A28="","",IF(INDEX(Matrix!$I$2:$I$351,$A28)=1,", "&amp;Wizards!$B$7,""))</f>
        <v/>
      </c>
      <c r="O28">
        <f>IF($A28="","",IF(INDEX(Matrix!$J$2:$J$351,$A28)=1,", "&amp;Wizards!$B$8,""))</f>
        <v/>
      </c>
      <c r="P28">
        <f>IF($A28="","",IF(INDEX(Matrix!$K$2:$K$351,$A28)=1,", "&amp;Wizards!$B$9,""))</f>
        <v/>
      </c>
      <c r="Q28">
        <f>IF($A28="","",IF(INDEX(Matrix!$L$2:$L$351,$A28)=1,", "&amp;Wizards!$B$10,""))</f>
        <v/>
      </c>
      <c r="R28">
        <f>IF($A28="","",IF(INDEX(Matrix!$M$2:$M$351,$A28)=1,", "&amp;Wizards!$B$11,""))</f>
        <v/>
      </c>
      <c r="S28">
        <f>IF($A28="","",IF(INDEX(Matrix!$N$2:$N$351,$A28)=1,", "&amp;Wizards!$B$12,""))</f>
        <v/>
      </c>
      <c r="T28">
        <f>IF($A28="","",IF(INDEX(Matrix!$O$2:$O$351,$A28)=1,", "&amp;Wizards!$B$13,""))</f>
        <v/>
      </c>
      <c r="U28">
        <f>IF($A28="","",IF(INDEX(Matrix!$P$2:$P$351,$A28)=1,", "&amp;Wizards!$B$14,""))</f>
        <v/>
      </c>
      <c r="V28">
        <f>IF($A28="","",IF(INDEX(Matrix!$Q$2:$Q$351,$A28)=1,", "&amp;Wizards!$B$15,""))</f>
        <v/>
      </c>
      <c r="W28">
        <f>IF($A28="","",IF(INDEX(Matrix!$R$2:$R$351,$A28)=1,", "&amp;Wizards!$B$16,""))</f>
        <v/>
      </c>
      <c r="X28">
        <f>IF($A28="","",IF(INDEX(Matrix!$S$2:$S$351,$A28)=1,", "&amp;Wizards!$B$17,""))</f>
        <v/>
      </c>
      <c r="Y28">
        <f>IF($A28="","",IF(INDEX(Matrix!$T$2:$T$351,$A28)=1,", "&amp;Wizards!$B$18,""))</f>
        <v/>
      </c>
      <c r="Z28">
        <f>IF($A28="","",IF(INDEX(Matrix!$U$2:$U$351,$A28)=1,", "&amp;Wizards!$B$19,""))</f>
        <v/>
      </c>
      <c r="AA28">
        <f>IF($A28="","",IF(INDEX(Matrix!$V$2:$V$351,$A28)=1,", "&amp;Wizards!$B$20,""))</f>
        <v/>
      </c>
      <c r="AB28">
        <f>IF($A28="","",IF(INDEX(Matrix!$W$2:$W$351,$A28)=1,", "&amp;Wizards!$B$21,""))</f>
        <v/>
      </c>
      <c r="AC28">
        <f>IF($A28="","",IF(INDEX(Matrix!$X$2:$X$351,$A28)=1,", "&amp;Wizards!$B$22,""))</f>
        <v/>
      </c>
      <c r="AD28">
        <f>IF($A28="","",IF(INDEX(Matrix!$Y$2:$Y$351,$A28)=1,", "&amp;Wizards!$B$23,""))</f>
        <v/>
      </c>
      <c r="AE28">
        <f>IF($A28="","",IF(INDEX(Matrix!$Z$2:$Z$351,$A28)=1,", "&amp;Wizards!$B$24,""))</f>
        <v/>
      </c>
      <c r="AF28">
        <f>IF($A28="","",IF(INDEX(Matrix!$AA$2:$AA$351,$A28)=1,", "&amp;Wizards!$B$25,""))</f>
        <v/>
      </c>
    </row>
    <row r="29">
      <c r="A29">
        <f>IFERROR(SMALL(Calc!$A$2:$A$351,18),"")</f>
        <v/>
      </c>
      <c r="B29">
        <f>IF($A29="","",INDEX(Spells!$B$2:$B$351,$A29))</f>
        <v/>
      </c>
      <c r="C29">
        <f>IF($A29="","",INDEX(Spells!$A$2:$A$351,$A29))</f>
        <v/>
      </c>
      <c r="D29">
        <f>IF($A29="","",$C29*50)</f>
        <v/>
      </c>
      <c r="E29">
        <f>IF($A29="","",INDEX(Matrix!$AZ$2:$AZ$351,$A29))</f>
        <v/>
      </c>
      <c r="F29">
        <f>IF($A29="","",MID($I29&amp;$J29&amp;$K29&amp;$L29&amp;$M29&amp;$N29&amp;$O29&amp;$P29&amp;$Q29&amp;$R29&amp;$S29&amp;$T29&amp;$U29&amp;$V29&amp;$W29&amp;$X29&amp;$Y29&amp;$Z29&amp;$AA29&amp;$AB29&amp;$AC29&amp;$AD29&amp;$AE29&amp;$AF29,3,32767))</f>
        <v/>
      </c>
      <c r="H29">
        <f>IF($A29="","","; "&amp;$B29&amp;" (L"&amp;$C29&amp;", "&amp;$D29&amp;" GP) from "&amp;$E29)</f>
        <v/>
      </c>
      <c r="I29">
        <f>IF($A29="","",IF(INDEX(Matrix!$D$2:$D$351,$A29)=1,", "&amp;Wizards!$B$2,""))</f>
        <v/>
      </c>
      <c r="J29">
        <f>IF($A29="","",IF(INDEX(Matrix!$E$2:$E$351,$A29)=1,", "&amp;Wizards!$B$3,""))</f>
        <v/>
      </c>
      <c r="K29">
        <f>IF($A29="","",IF(INDEX(Matrix!$F$2:$F$351,$A29)=1,", "&amp;Wizards!$B$4,""))</f>
        <v/>
      </c>
      <c r="L29">
        <f>IF($A29="","",IF(INDEX(Matrix!$G$2:$G$351,$A29)=1,", "&amp;Wizards!$B$5,""))</f>
        <v/>
      </c>
      <c r="M29">
        <f>IF($A29="","",IF(INDEX(Matrix!$H$2:$H$351,$A29)=1,", "&amp;Wizards!$B$6,""))</f>
        <v/>
      </c>
      <c r="N29">
        <f>IF($A29="","",IF(INDEX(Matrix!$I$2:$I$351,$A29)=1,", "&amp;Wizards!$B$7,""))</f>
        <v/>
      </c>
      <c r="O29">
        <f>IF($A29="","",IF(INDEX(Matrix!$J$2:$J$351,$A29)=1,", "&amp;Wizards!$B$8,""))</f>
        <v/>
      </c>
      <c r="P29">
        <f>IF($A29="","",IF(INDEX(Matrix!$K$2:$K$351,$A29)=1,", "&amp;Wizards!$B$9,""))</f>
        <v/>
      </c>
      <c r="Q29">
        <f>IF($A29="","",IF(INDEX(Matrix!$L$2:$L$351,$A29)=1,", "&amp;Wizards!$B$10,""))</f>
        <v/>
      </c>
      <c r="R29">
        <f>IF($A29="","",IF(INDEX(Matrix!$M$2:$M$351,$A29)=1,", "&amp;Wizards!$B$11,""))</f>
        <v/>
      </c>
      <c r="S29">
        <f>IF($A29="","",IF(INDEX(Matrix!$N$2:$N$351,$A29)=1,", "&amp;Wizards!$B$12,""))</f>
        <v/>
      </c>
      <c r="T29">
        <f>IF($A29="","",IF(INDEX(Matrix!$O$2:$O$351,$A29)=1,", "&amp;Wizards!$B$13,""))</f>
        <v/>
      </c>
      <c r="U29">
        <f>IF($A29="","",IF(INDEX(Matrix!$P$2:$P$351,$A29)=1,", "&amp;Wizards!$B$14,""))</f>
        <v/>
      </c>
      <c r="V29">
        <f>IF($A29="","",IF(INDEX(Matrix!$Q$2:$Q$351,$A29)=1,", "&amp;Wizards!$B$15,""))</f>
        <v/>
      </c>
      <c r="W29">
        <f>IF($A29="","",IF(INDEX(Matrix!$R$2:$R$351,$A29)=1,", "&amp;Wizards!$B$16,""))</f>
        <v/>
      </c>
      <c r="X29">
        <f>IF($A29="","",IF(INDEX(Matrix!$S$2:$S$351,$A29)=1,", "&amp;Wizards!$B$17,""))</f>
        <v/>
      </c>
      <c r="Y29">
        <f>IF($A29="","",IF(INDEX(Matrix!$T$2:$T$351,$A29)=1,", "&amp;Wizards!$B$18,""))</f>
        <v/>
      </c>
      <c r="Z29">
        <f>IF($A29="","",IF(INDEX(Matrix!$U$2:$U$351,$A29)=1,", "&amp;Wizards!$B$19,""))</f>
        <v/>
      </c>
      <c r="AA29">
        <f>IF($A29="","",IF(INDEX(Matrix!$V$2:$V$351,$A29)=1,", "&amp;Wizards!$B$20,""))</f>
        <v/>
      </c>
      <c r="AB29">
        <f>IF($A29="","",IF(INDEX(Matrix!$W$2:$W$351,$A29)=1,", "&amp;Wizards!$B$21,""))</f>
        <v/>
      </c>
      <c r="AC29">
        <f>IF($A29="","",IF(INDEX(Matrix!$X$2:$X$351,$A29)=1,", "&amp;Wizards!$B$22,""))</f>
        <v/>
      </c>
      <c r="AD29">
        <f>IF($A29="","",IF(INDEX(Matrix!$Y$2:$Y$351,$A29)=1,", "&amp;Wizards!$B$23,""))</f>
        <v/>
      </c>
      <c r="AE29">
        <f>IF($A29="","",IF(INDEX(Matrix!$Z$2:$Z$351,$A29)=1,", "&amp;Wizards!$B$24,""))</f>
        <v/>
      </c>
      <c r="AF29">
        <f>IF($A29="","",IF(INDEX(Matrix!$AA$2:$AA$351,$A29)=1,", "&amp;Wizards!$B$25,""))</f>
        <v/>
      </c>
    </row>
    <row r="30">
      <c r="A30">
        <f>IFERROR(SMALL(Calc!$A$2:$A$351,19),"")</f>
        <v/>
      </c>
      <c r="B30">
        <f>IF($A30="","",INDEX(Spells!$B$2:$B$351,$A30))</f>
        <v/>
      </c>
      <c r="C30">
        <f>IF($A30="","",INDEX(Spells!$A$2:$A$351,$A30))</f>
        <v/>
      </c>
      <c r="D30">
        <f>IF($A30="","",$C30*50)</f>
        <v/>
      </c>
      <c r="E30">
        <f>IF($A30="","",INDEX(Matrix!$AZ$2:$AZ$351,$A30))</f>
        <v/>
      </c>
      <c r="F30">
        <f>IF($A30="","",MID($I30&amp;$J30&amp;$K30&amp;$L30&amp;$M30&amp;$N30&amp;$O30&amp;$P30&amp;$Q30&amp;$R30&amp;$S30&amp;$T30&amp;$U30&amp;$V30&amp;$W30&amp;$X30&amp;$Y30&amp;$Z30&amp;$AA30&amp;$AB30&amp;$AC30&amp;$AD30&amp;$AE30&amp;$AF30,3,32767))</f>
        <v/>
      </c>
      <c r="H30">
        <f>IF($A30="","","; "&amp;$B30&amp;" (L"&amp;$C30&amp;", "&amp;$D30&amp;" GP) from "&amp;$E30)</f>
        <v/>
      </c>
      <c r="I30">
        <f>IF($A30="","",IF(INDEX(Matrix!$D$2:$D$351,$A30)=1,", "&amp;Wizards!$B$2,""))</f>
        <v/>
      </c>
      <c r="J30">
        <f>IF($A30="","",IF(INDEX(Matrix!$E$2:$E$351,$A30)=1,", "&amp;Wizards!$B$3,""))</f>
        <v/>
      </c>
      <c r="K30">
        <f>IF($A30="","",IF(INDEX(Matrix!$F$2:$F$351,$A30)=1,", "&amp;Wizards!$B$4,""))</f>
        <v/>
      </c>
      <c r="L30">
        <f>IF($A30="","",IF(INDEX(Matrix!$G$2:$G$351,$A30)=1,", "&amp;Wizards!$B$5,""))</f>
        <v/>
      </c>
      <c r="M30">
        <f>IF($A30="","",IF(INDEX(Matrix!$H$2:$H$351,$A30)=1,", "&amp;Wizards!$B$6,""))</f>
        <v/>
      </c>
      <c r="N30">
        <f>IF($A30="","",IF(INDEX(Matrix!$I$2:$I$351,$A30)=1,", "&amp;Wizards!$B$7,""))</f>
        <v/>
      </c>
      <c r="O30">
        <f>IF($A30="","",IF(INDEX(Matrix!$J$2:$J$351,$A30)=1,", "&amp;Wizards!$B$8,""))</f>
        <v/>
      </c>
      <c r="P30">
        <f>IF($A30="","",IF(INDEX(Matrix!$K$2:$K$351,$A30)=1,", "&amp;Wizards!$B$9,""))</f>
        <v/>
      </c>
      <c r="Q30">
        <f>IF($A30="","",IF(INDEX(Matrix!$L$2:$L$351,$A30)=1,", "&amp;Wizards!$B$10,""))</f>
        <v/>
      </c>
      <c r="R30">
        <f>IF($A30="","",IF(INDEX(Matrix!$M$2:$M$351,$A30)=1,", "&amp;Wizards!$B$11,""))</f>
        <v/>
      </c>
      <c r="S30">
        <f>IF($A30="","",IF(INDEX(Matrix!$N$2:$N$351,$A30)=1,", "&amp;Wizards!$B$12,""))</f>
        <v/>
      </c>
      <c r="T30">
        <f>IF($A30="","",IF(INDEX(Matrix!$O$2:$O$351,$A30)=1,", "&amp;Wizards!$B$13,""))</f>
        <v/>
      </c>
      <c r="U30">
        <f>IF($A30="","",IF(INDEX(Matrix!$P$2:$P$351,$A30)=1,", "&amp;Wizards!$B$14,""))</f>
        <v/>
      </c>
      <c r="V30">
        <f>IF($A30="","",IF(INDEX(Matrix!$Q$2:$Q$351,$A30)=1,", "&amp;Wizards!$B$15,""))</f>
        <v/>
      </c>
      <c r="W30">
        <f>IF($A30="","",IF(INDEX(Matrix!$R$2:$R$351,$A30)=1,", "&amp;Wizards!$B$16,""))</f>
        <v/>
      </c>
      <c r="X30">
        <f>IF($A30="","",IF(INDEX(Matrix!$S$2:$S$351,$A30)=1,", "&amp;Wizards!$B$17,""))</f>
        <v/>
      </c>
      <c r="Y30">
        <f>IF($A30="","",IF(INDEX(Matrix!$T$2:$T$351,$A30)=1,", "&amp;Wizards!$B$18,""))</f>
        <v/>
      </c>
      <c r="Z30">
        <f>IF($A30="","",IF(INDEX(Matrix!$U$2:$U$351,$A30)=1,", "&amp;Wizards!$B$19,""))</f>
        <v/>
      </c>
      <c r="AA30">
        <f>IF($A30="","",IF(INDEX(Matrix!$V$2:$V$351,$A30)=1,", "&amp;Wizards!$B$20,""))</f>
        <v/>
      </c>
      <c r="AB30">
        <f>IF($A30="","",IF(INDEX(Matrix!$W$2:$W$351,$A30)=1,", "&amp;Wizards!$B$21,""))</f>
        <v/>
      </c>
      <c r="AC30">
        <f>IF($A30="","",IF(INDEX(Matrix!$X$2:$X$351,$A30)=1,", "&amp;Wizards!$B$22,""))</f>
        <v/>
      </c>
      <c r="AD30">
        <f>IF($A30="","",IF(INDEX(Matrix!$Y$2:$Y$351,$A30)=1,", "&amp;Wizards!$B$23,""))</f>
        <v/>
      </c>
      <c r="AE30">
        <f>IF($A30="","",IF(INDEX(Matrix!$Z$2:$Z$351,$A30)=1,", "&amp;Wizards!$B$24,""))</f>
        <v/>
      </c>
      <c r="AF30">
        <f>IF($A30="","",IF(INDEX(Matrix!$AA$2:$AA$351,$A30)=1,", "&amp;Wizards!$B$25,""))</f>
        <v/>
      </c>
    </row>
    <row r="31">
      <c r="A31">
        <f>IFERROR(SMALL(Calc!$A$2:$A$351,20),"")</f>
        <v/>
      </c>
      <c r="B31">
        <f>IF($A31="","",INDEX(Spells!$B$2:$B$351,$A31))</f>
        <v/>
      </c>
      <c r="C31">
        <f>IF($A31="","",INDEX(Spells!$A$2:$A$351,$A31))</f>
        <v/>
      </c>
      <c r="D31">
        <f>IF($A31="","",$C31*50)</f>
        <v/>
      </c>
      <c r="E31">
        <f>IF($A31="","",INDEX(Matrix!$AZ$2:$AZ$351,$A31))</f>
        <v/>
      </c>
      <c r="F31">
        <f>IF($A31="","",MID($I31&amp;$J31&amp;$K31&amp;$L31&amp;$M31&amp;$N31&amp;$O31&amp;$P31&amp;$Q31&amp;$R31&amp;$S31&amp;$T31&amp;$U31&amp;$V31&amp;$W31&amp;$X31&amp;$Y31&amp;$Z31&amp;$AA31&amp;$AB31&amp;$AC31&amp;$AD31&amp;$AE31&amp;$AF31,3,32767))</f>
        <v/>
      </c>
      <c r="H31">
        <f>IF($A31="","","; "&amp;$B31&amp;" (L"&amp;$C31&amp;", "&amp;$D31&amp;" GP) from "&amp;$E31)</f>
        <v/>
      </c>
      <c r="I31">
        <f>IF($A31="","",IF(INDEX(Matrix!$D$2:$D$351,$A31)=1,", "&amp;Wizards!$B$2,""))</f>
        <v/>
      </c>
      <c r="J31">
        <f>IF($A31="","",IF(INDEX(Matrix!$E$2:$E$351,$A31)=1,", "&amp;Wizards!$B$3,""))</f>
        <v/>
      </c>
      <c r="K31">
        <f>IF($A31="","",IF(INDEX(Matrix!$F$2:$F$351,$A31)=1,", "&amp;Wizards!$B$4,""))</f>
        <v/>
      </c>
      <c r="L31">
        <f>IF($A31="","",IF(INDEX(Matrix!$G$2:$G$351,$A31)=1,", "&amp;Wizards!$B$5,""))</f>
        <v/>
      </c>
      <c r="M31">
        <f>IF($A31="","",IF(INDEX(Matrix!$H$2:$H$351,$A31)=1,", "&amp;Wizards!$B$6,""))</f>
        <v/>
      </c>
      <c r="N31">
        <f>IF($A31="","",IF(INDEX(Matrix!$I$2:$I$351,$A31)=1,", "&amp;Wizards!$B$7,""))</f>
        <v/>
      </c>
      <c r="O31">
        <f>IF($A31="","",IF(INDEX(Matrix!$J$2:$J$351,$A31)=1,", "&amp;Wizards!$B$8,""))</f>
        <v/>
      </c>
      <c r="P31">
        <f>IF($A31="","",IF(INDEX(Matrix!$K$2:$K$351,$A31)=1,", "&amp;Wizards!$B$9,""))</f>
        <v/>
      </c>
      <c r="Q31">
        <f>IF($A31="","",IF(INDEX(Matrix!$L$2:$L$351,$A31)=1,", "&amp;Wizards!$B$10,""))</f>
        <v/>
      </c>
      <c r="R31">
        <f>IF($A31="","",IF(INDEX(Matrix!$M$2:$M$351,$A31)=1,", "&amp;Wizards!$B$11,""))</f>
        <v/>
      </c>
      <c r="S31">
        <f>IF($A31="","",IF(INDEX(Matrix!$N$2:$N$351,$A31)=1,", "&amp;Wizards!$B$12,""))</f>
        <v/>
      </c>
      <c r="T31">
        <f>IF($A31="","",IF(INDEX(Matrix!$O$2:$O$351,$A31)=1,", "&amp;Wizards!$B$13,""))</f>
        <v/>
      </c>
      <c r="U31">
        <f>IF($A31="","",IF(INDEX(Matrix!$P$2:$P$351,$A31)=1,", "&amp;Wizards!$B$14,""))</f>
        <v/>
      </c>
      <c r="V31">
        <f>IF($A31="","",IF(INDEX(Matrix!$Q$2:$Q$351,$A31)=1,", "&amp;Wizards!$B$15,""))</f>
        <v/>
      </c>
      <c r="W31">
        <f>IF($A31="","",IF(INDEX(Matrix!$R$2:$R$351,$A31)=1,", "&amp;Wizards!$B$16,""))</f>
        <v/>
      </c>
      <c r="X31">
        <f>IF($A31="","",IF(INDEX(Matrix!$S$2:$S$351,$A31)=1,", "&amp;Wizards!$B$17,""))</f>
        <v/>
      </c>
      <c r="Y31">
        <f>IF($A31="","",IF(INDEX(Matrix!$T$2:$T$351,$A31)=1,", "&amp;Wizards!$B$18,""))</f>
        <v/>
      </c>
      <c r="Z31">
        <f>IF($A31="","",IF(INDEX(Matrix!$U$2:$U$351,$A31)=1,", "&amp;Wizards!$B$19,""))</f>
        <v/>
      </c>
      <c r="AA31">
        <f>IF($A31="","",IF(INDEX(Matrix!$V$2:$V$351,$A31)=1,", "&amp;Wizards!$B$20,""))</f>
        <v/>
      </c>
      <c r="AB31">
        <f>IF($A31="","",IF(INDEX(Matrix!$W$2:$W$351,$A31)=1,", "&amp;Wizards!$B$21,""))</f>
        <v/>
      </c>
      <c r="AC31">
        <f>IF($A31="","",IF(INDEX(Matrix!$X$2:$X$351,$A31)=1,", "&amp;Wizards!$B$22,""))</f>
        <v/>
      </c>
      <c r="AD31">
        <f>IF($A31="","",IF(INDEX(Matrix!$Y$2:$Y$351,$A31)=1,", "&amp;Wizards!$B$23,""))</f>
        <v/>
      </c>
      <c r="AE31">
        <f>IF($A31="","",IF(INDEX(Matrix!$Z$2:$Z$351,$A31)=1,", "&amp;Wizards!$B$24,""))</f>
        <v/>
      </c>
      <c r="AF31">
        <f>IF($A31="","",IF(INDEX(Matrix!$AA$2:$AA$351,$A31)=1,", "&amp;Wizards!$B$25,""))</f>
        <v/>
      </c>
    </row>
    <row r="32">
      <c r="A32">
        <f>IFERROR(SMALL(Calc!$A$2:$A$351,21),"")</f>
        <v/>
      </c>
      <c r="B32">
        <f>IF($A32="","",INDEX(Spells!$B$2:$B$351,$A32))</f>
        <v/>
      </c>
      <c r="C32">
        <f>IF($A32="","",INDEX(Spells!$A$2:$A$351,$A32))</f>
        <v/>
      </c>
      <c r="D32">
        <f>IF($A32="","",$C32*50)</f>
        <v/>
      </c>
      <c r="E32">
        <f>IF($A32="","",INDEX(Matrix!$AZ$2:$AZ$351,$A32))</f>
        <v/>
      </c>
      <c r="F32">
        <f>IF($A32="","",MID($I32&amp;$J32&amp;$K32&amp;$L32&amp;$M32&amp;$N32&amp;$O32&amp;$P32&amp;$Q32&amp;$R32&amp;$S32&amp;$T32&amp;$U32&amp;$V32&amp;$W32&amp;$X32&amp;$Y32&amp;$Z32&amp;$AA32&amp;$AB32&amp;$AC32&amp;$AD32&amp;$AE32&amp;$AF32,3,32767))</f>
        <v/>
      </c>
      <c r="H32">
        <f>IF($A32="","","; "&amp;$B32&amp;" (L"&amp;$C32&amp;", "&amp;$D32&amp;" GP) from "&amp;$E32)</f>
        <v/>
      </c>
      <c r="I32">
        <f>IF($A32="","",IF(INDEX(Matrix!$D$2:$D$351,$A32)=1,", "&amp;Wizards!$B$2,""))</f>
        <v/>
      </c>
      <c r="J32">
        <f>IF($A32="","",IF(INDEX(Matrix!$E$2:$E$351,$A32)=1,", "&amp;Wizards!$B$3,""))</f>
        <v/>
      </c>
      <c r="K32">
        <f>IF($A32="","",IF(INDEX(Matrix!$F$2:$F$351,$A32)=1,", "&amp;Wizards!$B$4,""))</f>
        <v/>
      </c>
      <c r="L32">
        <f>IF($A32="","",IF(INDEX(Matrix!$G$2:$G$351,$A32)=1,", "&amp;Wizards!$B$5,""))</f>
        <v/>
      </c>
      <c r="M32">
        <f>IF($A32="","",IF(INDEX(Matrix!$H$2:$H$351,$A32)=1,", "&amp;Wizards!$B$6,""))</f>
        <v/>
      </c>
      <c r="N32">
        <f>IF($A32="","",IF(INDEX(Matrix!$I$2:$I$351,$A32)=1,", "&amp;Wizards!$B$7,""))</f>
        <v/>
      </c>
      <c r="O32">
        <f>IF($A32="","",IF(INDEX(Matrix!$J$2:$J$351,$A32)=1,", "&amp;Wizards!$B$8,""))</f>
        <v/>
      </c>
      <c r="P32">
        <f>IF($A32="","",IF(INDEX(Matrix!$K$2:$K$351,$A32)=1,", "&amp;Wizards!$B$9,""))</f>
        <v/>
      </c>
      <c r="Q32">
        <f>IF($A32="","",IF(INDEX(Matrix!$L$2:$L$351,$A32)=1,", "&amp;Wizards!$B$10,""))</f>
        <v/>
      </c>
      <c r="R32">
        <f>IF($A32="","",IF(INDEX(Matrix!$M$2:$M$351,$A32)=1,", "&amp;Wizards!$B$11,""))</f>
        <v/>
      </c>
      <c r="S32">
        <f>IF($A32="","",IF(INDEX(Matrix!$N$2:$N$351,$A32)=1,", "&amp;Wizards!$B$12,""))</f>
        <v/>
      </c>
      <c r="T32">
        <f>IF($A32="","",IF(INDEX(Matrix!$O$2:$O$351,$A32)=1,", "&amp;Wizards!$B$13,""))</f>
        <v/>
      </c>
      <c r="U32">
        <f>IF($A32="","",IF(INDEX(Matrix!$P$2:$P$351,$A32)=1,", "&amp;Wizards!$B$14,""))</f>
        <v/>
      </c>
      <c r="V32">
        <f>IF($A32="","",IF(INDEX(Matrix!$Q$2:$Q$351,$A32)=1,", "&amp;Wizards!$B$15,""))</f>
        <v/>
      </c>
      <c r="W32">
        <f>IF($A32="","",IF(INDEX(Matrix!$R$2:$R$351,$A32)=1,", "&amp;Wizards!$B$16,""))</f>
        <v/>
      </c>
      <c r="X32">
        <f>IF($A32="","",IF(INDEX(Matrix!$S$2:$S$351,$A32)=1,", "&amp;Wizards!$B$17,""))</f>
        <v/>
      </c>
      <c r="Y32">
        <f>IF($A32="","",IF(INDEX(Matrix!$T$2:$T$351,$A32)=1,", "&amp;Wizards!$B$18,""))</f>
        <v/>
      </c>
      <c r="Z32">
        <f>IF($A32="","",IF(INDEX(Matrix!$U$2:$U$351,$A32)=1,", "&amp;Wizards!$B$19,""))</f>
        <v/>
      </c>
      <c r="AA32">
        <f>IF($A32="","",IF(INDEX(Matrix!$V$2:$V$351,$A32)=1,", "&amp;Wizards!$B$20,""))</f>
        <v/>
      </c>
      <c r="AB32">
        <f>IF($A32="","",IF(INDEX(Matrix!$W$2:$W$351,$A32)=1,", "&amp;Wizards!$B$21,""))</f>
        <v/>
      </c>
      <c r="AC32">
        <f>IF($A32="","",IF(INDEX(Matrix!$X$2:$X$351,$A32)=1,", "&amp;Wizards!$B$22,""))</f>
        <v/>
      </c>
      <c r="AD32">
        <f>IF($A32="","",IF(INDEX(Matrix!$Y$2:$Y$351,$A32)=1,", "&amp;Wizards!$B$23,""))</f>
        <v/>
      </c>
      <c r="AE32">
        <f>IF($A32="","",IF(INDEX(Matrix!$Z$2:$Z$351,$A32)=1,", "&amp;Wizards!$B$24,""))</f>
        <v/>
      </c>
      <c r="AF32">
        <f>IF($A32="","",IF(INDEX(Matrix!$AA$2:$AA$351,$A32)=1,", "&amp;Wizards!$B$25,""))</f>
        <v/>
      </c>
    </row>
    <row r="33">
      <c r="A33">
        <f>IFERROR(SMALL(Calc!$A$2:$A$351,22),"")</f>
        <v/>
      </c>
      <c r="B33">
        <f>IF($A33="","",INDEX(Spells!$B$2:$B$351,$A33))</f>
        <v/>
      </c>
      <c r="C33">
        <f>IF($A33="","",INDEX(Spells!$A$2:$A$351,$A33))</f>
        <v/>
      </c>
      <c r="D33">
        <f>IF($A33="","",$C33*50)</f>
        <v/>
      </c>
      <c r="E33">
        <f>IF($A33="","",INDEX(Matrix!$AZ$2:$AZ$351,$A33))</f>
        <v/>
      </c>
      <c r="F33">
        <f>IF($A33="","",MID($I33&amp;$J33&amp;$K33&amp;$L33&amp;$M33&amp;$N33&amp;$O33&amp;$P33&amp;$Q33&amp;$R33&amp;$S33&amp;$T33&amp;$U33&amp;$V33&amp;$W33&amp;$X33&amp;$Y33&amp;$Z33&amp;$AA33&amp;$AB33&amp;$AC33&amp;$AD33&amp;$AE33&amp;$AF33,3,32767))</f>
        <v/>
      </c>
      <c r="H33">
        <f>IF($A33="","","; "&amp;$B33&amp;" (L"&amp;$C33&amp;", "&amp;$D33&amp;" GP) from "&amp;$E33)</f>
        <v/>
      </c>
      <c r="I33">
        <f>IF($A33="","",IF(INDEX(Matrix!$D$2:$D$351,$A33)=1,", "&amp;Wizards!$B$2,""))</f>
        <v/>
      </c>
      <c r="J33">
        <f>IF($A33="","",IF(INDEX(Matrix!$E$2:$E$351,$A33)=1,", "&amp;Wizards!$B$3,""))</f>
        <v/>
      </c>
      <c r="K33">
        <f>IF($A33="","",IF(INDEX(Matrix!$F$2:$F$351,$A33)=1,", "&amp;Wizards!$B$4,""))</f>
        <v/>
      </c>
      <c r="L33">
        <f>IF($A33="","",IF(INDEX(Matrix!$G$2:$G$351,$A33)=1,", "&amp;Wizards!$B$5,""))</f>
        <v/>
      </c>
      <c r="M33">
        <f>IF($A33="","",IF(INDEX(Matrix!$H$2:$H$351,$A33)=1,", "&amp;Wizards!$B$6,""))</f>
        <v/>
      </c>
      <c r="N33">
        <f>IF($A33="","",IF(INDEX(Matrix!$I$2:$I$351,$A33)=1,", "&amp;Wizards!$B$7,""))</f>
        <v/>
      </c>
      <c r="O33">
        <f>IF($A33="","",IF(INDEX(Matrix!$J$2:$J$351,$A33)=1,", "&amp;Wizards!$B$8,""))</f>
        <v/>
      </c>
      <c r="P33">
        <f>IF($A33="","",IF(INDEX(Matrix!$K$2:$K$351,$A33)=1,", "&amp;Wizards!$B$9,""))</f>
        <v/>
      </c>
      <c r="Q33">
        <f>IF($A33="","",IF(INDEX(Matrix!$L$2:$L$351,$A33)=1,", "&amp;Wizards!$B$10,""))</f>
        <v/>
      </c>
      <c r="R33">
        <f>IF($A33="","",IF(INDEX(Matrix!$M$2:$M$351,$A33)=1,", "&amp;Wizards!$B$11,""))</f>
        <v/>
      </c>
      <c r="S33">
        <f>IF($A33="","",IF(INDEX(Matrix!$N$2:$N$351,$A33)=1,", "&amp;Wizards!$B$12,""))</f>
        <v/>
      </c>
      <c r="T33">
        <f>IF($A33="","",IF(INDEX(Matrix!$O$2:$O$351,$A33)=1,", "&amp;Wizards!$B$13,""))</f>
        <v/>
      </c>
      <c r="U33">
        <f>IF($A33="","",IF(INDEX(Matrix!$P$2:$P$351,$A33)=1,", "&amp;Wizards!$B$14,""))</f>
        <v/>
      </c>
      <c r="V33">
        <f>IF($A33="","",IF(INDEX(Matrix!$Q$2:$Q$351,$A33)=1,", "&amp;Wizards!$B$15,""))</f>
        <v/>
      </c>
      <c r="W33">
        <f>IF($A33="","",IF(INDEX(Matrix!$R$2:$R$351,$A33)=1,", "&amp;Wizards!$B$16,""))</f>
        <v/>
      </c>
      <c r="X33">
        <f>IF($A33="","",IF(INDEX(Matrix!$S$2:$S$351,$A33)=1,", "&amp;Wizards!$B$17,""))</f>
        <v/>
      </c>
      <c r="Y33">
        <f>IF($A33="","",IF(INDEX(Matrix!$T$2:$T$351,$A33)=1,", "&amp;Wizards!$B$18,""))</f>
        <v/>
      </c>
      <c r="Z33">
        <f>IF($A33="","",IF(INDEX(Matrix!$U$2:$U$351,$A33)=1,", "&amp;Wizards!$B$19,""))</f>
        <v/>
      </c>
      <c r="AA33">
        <f>IF($A33="","",IF(INDEX(Matrix!$V$2:$V$351,$A33)=1,", "&amp;Wizards!$B$20,""))</f>
        <v/>
      </c>
      <c r="AB33">
        <f>IF($A33="","",IF(INDEX(Matrix!$W$2:$W$351,$A33)=1,", "&amp;Wizards!$B$21,""))</f>
        <v/>
      </c>
      <c r="AC33">
        <f>IF($A33="","",IF(INDEX(Matrix!$X$2:$X$351,$A33)=1,", "&amp;Wizards!$B$22,""))</f>
        <v/>
      </c>
      <c r="AD33">
        <f>IF($A33="","",IF(INDEX(Matrix!$Y$2:$Y$351,$A33)=1,", "&amp;Wizards!$B$23,""))</f>
        <v/>
      </c>
      <c r="AE33">
        <f>IF($A33="","",IF(INDEX(Matrix!$Z$2:$Z$351,$A33)=1,", "&amp;Wizards!$B$24,""))</f>
        <v/>
      </c>
      <c r="AF33">
        <f>IF($A33="","",IF(INDEX(Matrix!$AA$2:$AA$351,$A33)=1,", "&amp;Wizards!$B$25,""))</f>
        <v/>
      </c>
    </row>
    <row r="34">
      <c r="A34">
        <f>IFERROR(SMALL(Calc!$A$2:$A$351,23),"")</f>
        <v/>
      </c>
      <c r="B34">
        <f>IF($A34="","",INDEX(Spells!$B$2:$B$351,$A34))</f>
        <v/>
      </c>
      <c r="C34">
        <f>IF($A34="","",INDEX(Spells!$A$2:$A$351,$A34))</f>
        <v/>
      </c>
      <c r="D34">
        <f>IF($A34="","",$C34*50)</f>
        <v/>
      </c>
      <c r="E34">
        <f>IF($A34="","",INDEX(Matrix!$AZ$2:$AZ$351,$A34))</f>
        <v/>
      </c>
      <c r="F34">
        <f>IF($A34="","",MID($I34&amp;$J34&amp;$K34&amp;$L34&amp;$M34&amp;$N34&amp;$O34&amp;$P34&amp;$Q34&amp;$R34&amp;$S34&amp;$T34&amp;$U34&amp;$V34&amp;$W34&amp;$X34&amp;$Y34&amp;$Z34&amp;$AA34&amp;$AB34&amp;$AC34&amp;$AD34&amp;$AE34&amp;$AF34,3,32767))</f>
        <v/>
      </c>
      <c r="H34">
        <f>IF($A34="","","; "&amp;$B34&amp;" (L"&amp;$C34&amp;", "&amp;$D34&amp;" GP) from "&amp;$E34)</f>
        <v/>
      </c>
      <c r="I34">
        <f>IF($A34="","",IF(INDEX(Matrix!$D$2:$D$351,$A34)=1,", "&amp;Wizards!$B$2,""))</f>
        <v/>
      </c>
      <c r="J34">
        <f>IF($A34="","",IF(INDEX(Matrix!$E$2:$E$351,$A34)=1,", "&amp;Wizards!$B$3,""))</f>
        <v/>
      </c>
      <c r="K34">
        <f>IF($A34="","",IF(INDEX(Matrix!$F$2:$F$351,$A34)=1,", "&amp;Wizards!$B$4,""))</f>
        <v/>
      </c>
      <c r="L34">
        <f>IF($A34="","",IF(INDEX(Matrix!$G$2:$G$351,$A34)=1,", "&amp;Wizards!$B$5,""))</f>
        <v/>
      </c>
      <c r="M34">
        <f>IF($A34="","",IF(INDEX(Matrix!$H$2:$H$351,$A34)=1,", "&amp;Wizards!$B$6,""))</f>
        <v/>
      </c>
      <c r="N34">
        <f>IF($A34="","",IF(INDEX(Matrix!$I$2:$I$351,$A34)=1,", "&amp;Wizards!$B$7,""))</f>
        <v/>
      </c>
      <c r="O34">
        <f>IF($A34="","",IF(INDEX(Matrix!$J$2:$J$351,$A34)=1,", "&amp;Wizards!$B$8,""))</f>
        <v/>
      </c>
      <c r="P34">
        <f>IF($A34="","",IF(INDEX(Matrix!$K$2:$K$351,$A34)=1,", "&amp;Wizards!$B$9,""))</f>
        <v/>
      </c>
      <c r="Q34">
        <f>IF($A34="","",IF(INDEX(Matrix!$L$2:$L$351,$A34)=1,", "&amp;Wizards!$B$10,""))</f>
        <v/>
      </c>
      <c r="R34">
        <f>IF($A34="","",IF(INDEX(Matrix!$M$2:$M$351,$A34)=1,", "&amp;Wizards!$B$11,""))</f>
        <v/>
      </c>
      <c r="S34">
        <f>IF($A34="","",IF(INDEX(Matrix!$N$2:$N$351,$A34)=1,", "&amp;Wizards!$B$12,""))</f>
        <v/>
      </c>
      <c r="T34">
        <f>IF($A34="","",IF(INDEX(Matrix!$O$2:$O$351,$A34)=1,", "&amp;Wizards!$B$13,""))</f>
        <v/>
      </c>
      <c r="U34">
        <f>IF($A34="","",IF(INDEX(Matrix!$P$2:$P$351,$A34)=1,", "&amp;Wizards!$B$14,""))</f>
        <v/>
      </c>
      <c r="V34">
        <f>IF($A34="","",IF(INDEX(Matrix!$Q$2:$Q$351,$A34)=1,", "&amp;Wizards!$B$15,""))</f>
        <v/>
      </c>
      <c r="W34">
        <f>IF($A34="","",IF(INDEX(Matrix!$R$2:$R$351,$A34)=1,", "&amp;Wizards!$B$16,""))</f>
        <v/>
      </c>
      <c r="X34">
        <f>IF($A34="","",IF(INDEX(Matrix!$S$2:$S$351,$A34)=1,", "&amp;Wizards!$B$17,""))</f>
        <v/>
      </c>
      <c r="Y34">
        <f>IF($A34="","",IF(INDEX(Matrix!$T$2:$T$351,$A34)=1,", "&amp;Wizards!$B$18,""))</f>
        <v/>
      </c>
      <c r="Z34">
        <f>IF($A34="","",IF(INDEX(Matrix!$U$2:$U$351,$A34)=1,", "&amp;Wizards!$B$19,""))</f>
        <v/>
      </c>
      <c r="AA34">
        <f>IF($A34="","",IF(INDEX(Matrix!$V$2:$V$351,$A34)=1,", "&amp;Wizards!$B$20,""))</f>
        <v/>
      </c>
      <c r="AB34">
        <f>IF($A34="","",IF(INDEX(Matrix!$W$2:$W$351,$A34)=1,", "&amp;Wizards!$B$21,""))</f>
        <v/>
      </c>
      <c r="AC34">
        <f>IF($A34="","",IF(INDEX(Matrix!$X$2:$X$351,$A34)=1,", "&amp;Wizards!$B$22,""))</f>
        <v/>
      </c>
      <c r="AD34">
        <f>IF($A34="","",IF(INDEX(Matrix!$Y$2:$Y$351,$A34)=1,", "&amp;Wizards!$B$23,""))</f>
        <v/>
      </c>
      <c r="AE34">
        <f>IF($A34="","",IF(INDEX(Matrix!$Z$2:$Z$351,$A34)=1,", "&amp;Wizards!$B$24,""))</f>
        <v/>
      </c>
      <c r="AF34">
        <f>IF($A34="","",IF(INDEX(Matrix!$AA$2:$AA$351,$A34)=1,", "&amp;Wizards!$B$25,""))</f>
        <v/>
      </c>
    </row>
    <row r="35">
      <c r="A35">
        <f>IFERROR(SMALL(Calc!$A$2:$A$351,24),"")</f>
        <v/>
      </c>
      <c r="B35">
        <f>IF($A35="","",INDEX(Spells!$B$2:$B$351,$A35))</f>
        <v/>
      </c>
      <c r="C35">
        <f>IF($A35="","",INDEX(Spells!$A$2:$A$351,$A35))</f>
        <v/>
      </c>
      <c r="D35">
        <f>IF($A35="","",$C35*50)</f>
        <v/>
      </c>
      <c r="E35">
        <f>IF($A35="","",INDEX(Matrix!$AZ$2:$AZ$351,$A35))</f>
        <v/>
      </c>
      <c r="F35">
        <f>IF($A35="","",MID($I35&amp;$J35&amp;$K35&amp;$L35&amp;$M35&amp;$N35&amp;$O35&amp;$P35&amp;$Q35&amp;$R35&amp;$S35&amp;$T35&amp;$U35&amp;$V35&amp;$W35&amp;$X35&amp;$Y35&amp;$Z35&amp;$AA35&amp;$AB35&amp;$AC35&amp;$AD35&amp;$AE35&amp;$AF35,3,32767))</f>
        <v/>
      </c>
      <c r="H35">
        <f>IF($A35="","","; "&amp;$B35&amp;" (L"&amp;$C35&amp;", "&amp;$D35&amp;" GP) from "&amp;$E35)</f>
        <v/>
      </c>
      <c r="I35">
        <f>IF($A35="","",IF(INDEX(Matrix!$D$2:$D$351,$A35)=1,", "&amp;Wizards!$B$2,""))</f>
        <v/>
      </c>
      <c r="J35">
        <f>IF($A35="","",IF(INDEX(Matrix!$E$2:$E$351,$A35)=1,", "&amp;Wizards!$B$3,""))</f>
        <v/>
      </c>
      <c r="K35">
        <f>IF($A35="","",IF(INDEX(Matrix!$F$2:$F$351,$A35)=1,", "&amp;Wizards!$B$4,""))</f>
        <v/>
      </c>
      <c r="L35">
        <f>IF($A35="","",IF(INDEX(Matrix!$G$2:$G$351,$A35)=1,", "&amp;Wizards!$B$5,""))</f>
        <v/>
      </c>
      <c r="M35">
        <f>IF($A35="","",IF(INDEX(Matrix!$H$2:$H$351,$A35)=1,", "&amp;Wizards!$B$6,""))</f>
        <v/>
      </c>
      <c r="N35">
        <f>IF($A35="","",IF(INDEX(Matrix!$I$2:$I$351,$A35)=1,", "&amp;Wizards!$B$7,""))</f>
        <v/>
      </c>
      <c r="O35">
        <f>IF($A35="","",IF(INDEX(Matrix!$J$2:$J$351,$A35)=1,", "&amp;Wizards!$B$8,""))</f>
        <v/>
      </c>
      <c r="P35">
        <f>IF($A35="","",IF(INDEX(Matrix!$K$2:$K$351,$A35)=1,", "&amp;Wizards!$B$9,""))</f>
        <v/>
      </c>
      <c r="Q35">
        <f>IF($A35="","",IF(INDEX(Matrix!$L$2:$L$351,$A35)=1,", "&amp;Wizards!$B$10,""))</f>
        <v/>
      </c>
      <c r="R35">
        <f>IF($A35="","",IF(INDEX(Matrix!$M$2:$M$351,$A35)=1,", "&amp;Wizards!$B$11,""))</f>
        <v/>
      </c>
      <c r="S35">
        <f>IF($A35="","",IF(INDEX(Matrix!$N$2:$N$351,$A35)=1,", "&amp;Wizards!$B$12,""))</f>
        <v/>
      </c>
      <c r="T35">
        <f>IF($A35="","",IF(INDEX(Matrix!$O$2:$O$351,$A35)=1,", "&amp;Wizards!$B$13,""))</f>
        <v/>
      </c>
      <c r="U35">
        <f>IF($A35="","",IF(INDEX(Matrix!$P$2:$P$351,$A35)=1,", "&amp;Wizards!$B$14,""))</f>
        <v/>
      </c>
      <c r="V35">
        <f>IF($A35="","",IF(INDEX(Matrix!$Q$2:$Q$351,$A35)=1,", "&amp;Wizards!$B$15,""))</f>
        <v/>
      </c>
      <c r="W35">
        <f>IF($A35="","",IF(INDEX(Matrix!$R$2:$R$351,$A35)=1,", "&amp;Wizards!$B$16,""))</f>
        <v/>
      </c>
      <c r="X35">
        <f>IF($A35="","",IF(INDEX(Matrix!$S$2:$S$351,$A35)=1,", "&amp;Wizards!$B$17,""))</f>
        <v/>
      </c>
      <c r="Y35">
        <f>IF($A35="","",IF(INDEX(Matrix!$T$2:$T$351,$A35)=1,", "&amp;Wizards!$B$18,""))</f>
        <v/>
      </c>
      <c r="Z35">
        <f>IF($A35="","",IF(INDEX(Matrix!$U$2:$U$351,$A35)=1,", "&amp;Wizards!$B$19,""))</f>
        <v/>
      </c>
      <c r="AA35">
        <f>IF($A35="","",IF(INDEX(Matrix!$V$2:$V$351,$A35)=1,", "&amp;Wizards!$B$20,""))</f>
        <v/>
      </c>
      <c r="AB35">
        <f>IF($A35="","",IF(INDEX(Matrix!$W$2:$W$351,$A35)=1,", "&amp;Wizards!$B$21,""))</f>
        <v/>
      </c>
      <c r="AC35">
        <f>IF($A35="","",IF(INDEX(Matrix!$X$2:$X$351,$A35)=1,", "&amp;Wizards!$B$22,""))</f>
        <v/>
      </c>
      <c r="AD35">
        <f>IF($A35="","",IF(INDEX(Matrix!$Y$2:$Y$351,$A35)=1,", "&amp;Wizards!$B$23,""))</f>
        <v/>
      </c>
      <c r="AE35">
        <f>IF($A35="","",IF(INDEX(Matrix!$Z$2:$Z$351,$A35)=1,", "&amp;Wizards!$B$24,""))</f>
        <v/>
      </c>
      <c r="AF35">
        <f>IF($A35="","",IF(INDEX(Matrix!$AA$2:$AA$351,$A35)=1,", "&amp;Wizards!$B$25,""))</f>
        <v/>
      </c>
    </row>
    <row r="36">
      <c r="A36">
        <f>IFERROR(SMALL(Calc!$A$2:$A$351,25),"")</f>
        <v/>
      </c>
      <c r="B36">
        <f>IF($A36="","",INDEX(Spells!$B$2:$B$351,$A36))</f>
        <v/>
      </c>
      <c r="C36">
        <f>IF($A36="","",INDEX(Spells!$A$2:$A$351,$A36))</f>
        <v/>
      </c>
      <c r="D36">
        <f>IF($A36="","",$C36*50)</f>
        <v/>
      </c>
      <c r="E36">
        <f>IF($A36="","",INDEX(Matrix!$AZ$2:$AZ$351,$A36))</f>
        <v/>
      </c>
      <c r="F36">
        <f>IF($A36="","",MID($I36&amp;$J36&amp;$K36&amp;$L36&amp;$M36&amp;$N36&amp;$O36&amp;$P36&amp;$Q36&amp;$R36&amp;$S36&amp;$T36&amp;$U36&amp;$V36&amp;$W36&amp;$X36&amp;$Y36&amp;$Z36&amp;$AA36&amp;$AB36&amp;$AC36&amp;$AD36&amp;$AE36&amp;$AF36,3,32767))</f>
        <v/>
      </c>
      <c r="H36">
        <f>IF($A36="","","; "&amp;$B36&amp;" (L"&amp;$C36&amp;", "&amp;$D36&amp;" GP) from "&amp;$E36)</f>
        <v/>
      </c>
      <c r="I36">
        <f>IF($A36="","",IF(INDEX(Matrix!$D$2:$D$351,$A36)=1,", "&amp;Wizards!$B$2,""))</f>
        <v/>
      </c>
      <c r="J36">
        <f>IF($A36="","",IF(INDEX(Matrix!$E$2:$E$351,$A36)=1,", "&amp;Wizards!$B$3,""))</f>
        <v/>
      </c>
      <c r="K36">
        <f>IF($A36="","",IF(INDEX(Matrix!$F$2:$F$351,$A36)=1,", "&amp;Wizards!$B$4,""))</f>
        <v/>
      </c>
      <c r="L36">
        <f>IF($A36="","",IF(INDEX(Matrix!$G$2:$G$351,$A36)=1,", "&amp;Wizards!$B$5,""))</f>
        <v/>
      </c>
      <c r="M36">
        <f>IF($A36="","",IF(INDEX(Matrix!$H$2:$H$351,$A36)=1,", "&amp;Wizards!$B$6,""))</f>
        <v/>
      </c>
      <c r="N36">
        <f>IF($A36="","",IF(INDEX(Matrix!$I$2:$I$351,$A36)=1,", "&amp;Wizards!$B$7,""))</f>
        <v/>
      </c>
      <c r="O36">
        <f>IF($A36="","",IF(INDEX(Matrix!$J$2:$J$351,$A36)=1,", "&amp;Wizards!$B$8,""))</f>
        <v/>
      </c>
      <c r="P36">
        <f>IF($A36="","",IF(INDEX(Matrix!$K$2:$K$351,$A36)=1,", "&amp;Wizards!$B$9,""))</f>
        <v/>
      </c>
      <c r="Q36">
        <f>IF($A36="","",IF(INDEX(Matrix!$L$2:$L$351,$A36)=1,", "&amp;Wizards!$B$10,""))</f>
        <v/>
      </c>
      <c r="R36">
        <f>IF($A36="","",IF(INDEX(Matrix!$M$2:$M$351,$A36)=1,", "&amp;Wizards!$B$11,""))</f>
        <v/>
      </c>
      <c r="S36">
        <f>IF($A36="","",IF(INDEX(Matrix!$N$2:$N$351,$A36)=1,", "&amp;Wizards!$B$12,""))</f>
        <v/>
      </c>
      <c r="T36">
        <f>IF($A36="","",IF(INDEX(Matrix!$O$2:$O$351,$A36)=1,", "&amp;Wizards!$B$13,""))</f>
        <v/>
      </c>
      <c r="U36">
        <f>IF($A36="","",IF(INDEX(Matrix!$P$2:$P$351,$A36)=1,", "&amp;Wizards!$B$14,""))</f>
        <v/>
      </c>
      <c r="V36">
        <f>IF($A36="","",IF(INDEX(Matrix!$Q$2:$Q$351,$A36)=1,", "&amp;Wizards!$B$15,""))</f>
        <v/>
      </c>
      <c r="W36">
        <f>IF($A36="","",IF(INDEX(Matrix!$R$2:$R$351,$A36)=1,", "&amp;Wizards!$B$16,""))</f>
        <v/>
      </c>
      <c r="X36">
        <f>IF($A36="","",IF(INDEX(Matrix!$S$2:$S$351,$A36)=1,", "&amp;Wizards!$B$17,""))</f>
        <v/>
      </c>
      <c r="Y36">
        <f>IF($A36="","",IF(INDEX(Matrix!$T$2:$T$351,$A36)=1,", "&amp;Wizards!$B$18,""))</f>
        <v/>
      </c>
      <c r="Z36">
        <f>IF($A36="","",IF(INDEX(Matrix!$U$2:$U$351,$A36)=1,", "&amp;Wizards!$B$19,""))</f>
        <v/>
      </c>
      <c r="AA36">
        <f>IF($A36="","",IF(INDEX(Matrix!$V$2:$V$351,$A36)=1,", "&amp;Wizards!$B$20,""))</f>
        <v/>
      </c>
      <c r="AB36">
        <f>IF($A36="","",IF(INDEX(Matrix!$W$2:$W$351,$A36)=1,", "&amp;Wizards!$B$21,""))</f>
        <v/>
      </c>
      <c r="AC36">
        <f>IF($A36="","",IF(INDEX(Matrix!$X$2:$X$351,$A36)=1,", "&amp;Wizards!$B$22,""))</f>
        <v/>
      </c>
      <c r="AD36">
        <f>IF($A36="","",IF(INDEX(Matrix!$Y$2:$Y$351,$A36)=1,", "&amp;Wizards!$B$23,""))</f>
        <v/>
      </c>
      <c r="AE36">
        <f>IF($A36="","",IF(INDEX(Matrix!$Z$2:$Z$351,$A36)=1,", "&amp;Wizards!$B$24,""))</f>
        <v/>
      </c>
      <c r="AF36">
        <f>IF($A36="","",IF(INDEX(Matrix!$AA$2:$AA$351,$A36)=1,", "&amp;Wizards!$B$25,""))</f>
        <v/>
      </c>
    </row>
    <row r="37">
      <c r="A37">
        <f>IFERROR(SMALL(Calc!$A$2:$A$351,26),"")</f>
        <v/>
      </c>
      <c r="B37">
        <f>IF($A37="","",INDEX(Spells!$B$2:$B$351,$A37))</f>
        <v/>
      </c>
      <c r="C37">
        <f>IF($A37="","",INDEX(Spells!$A$2:$A$351,$A37))</f>
        <v/>
      </c>
      <c r="D37">
        <f>IF($A37="","",$C37*50)</f>
        <v/>
      </c>
      <c r="E37">
        <f>IF($A37="","",INDEX(Matrix!$AZ$2:$AZ$351,$A37))</f>
        <v/>
      </c>
      <c r="F37">
        <f>IF($A37="","",MID($I37&amp;$J37&amp;$K37&amp;$L37&amp;$M37&amp;$N37&amp;$O37&amp;$P37&amp;$Q37&amp;$R37&amp;$S37&amp;$T37&amp;$U37&amp;$V37&amp;$W37&amp;$X37&amp;$Y37&amp;$Z37&amp;$AA37&amp;$AB37&amp;$AC37&amp;$AD37&amp;$AE37&amp;$AF37,3,32767))</f>
        <v/>
      </c>
      <c r="H37">
        <f>IF($A37="","","; "&amp;$B37&amp;" (L"&amp;$C37&amp;", "&amp;$D37&amp;" GP) from "&amp;$E37)</f>
        <v/>
      </c>
      <c r="I37">
        <f>IF($A37="","",IF(INDEX(Matrix!$D$2:$D$351,$A37)=1,", "&amp;Wizards!$B$2,""))</f>
        <v/>
      </c>
      <c r="J37">
        <f>IF($A37="","",IF(INDEX(Matrix!$E$2:$E$351,$A37)=1,", "&amp;Wizards!$B$3,""))</f>
        <v/>
      </c>
      <c r="K37">
        <f>IF($A37="","",IF(INDEX(Matrix!$F$2:$F$351,$A37)=1,", "&amp;Wizards!$B$4,""))</f>
        <v/>
      </c>
      <c r="L37">
        <f>IF($A37="","",IF(INDEX(Matrix!$G$2:$G$351,$A37)=1,", "&amp;Wizards!$B$5,""))</f>
        <v/>
      </c>
      <c r="M37">
        <f>IF($A37="","",IF(INDEX(Matrix!$H$2:$H$351,$A37)=1,", "&amp;Wizards!$B$6,""))</f>
        <v/>
      </c>
      <c r="N37">
        <f>IF($A37="","",IF(INDEX(Matrix!$I$2:$I$351,$A37)=1,", "&amp;Wizards!$B$7,""))</f>
        <v/>
      </c>
      <c r="O37">
        <f>IF($A37="","",IF(INDEX(Matrix!$J$2:$J$351,$A37)=1,", "&amp;Wizards!$B$8,""))</f>
        <v/>
      </c>
      <c r="P37">
        <f>IF($A37="","",IF(INDEX(Matrix!$K$2:$K$351,$A37)=1,", "&amp;Wizards!$B$9,""))</f>
        <v/>
      </c>
      <c r="Q37">
        <f>IF($A37="","",IF(INDEX(Matrix!$L$2:$L$351,$A37)=1,", "&amp;Wizards!$B$10,""))</f>
        <v/>
      </c>
      <c r="R37">
        <f>IF($A37="","",IF(INDEX(Matrix!$M$2:$M$351,$A37)=1,", "&amp;Wizards!$B$11,""))</f>
        <v/>
      </c>
      <c r="S37">
        <f>IF($A37="","",IF(INDEX(Matrix!$N$2:$N$351,$A37)=1,", "&amp;Wizards!$B$12,""))</f>
        <v/>
      </c>
      <c r="T37">
        <f>IF($A37="","",IF(INDEX(Matrix!$O$2:$O$351,$A37)=1,", "&amp;Wizards!$B$13,""))</f>
        <v/>
      </c>
      <c r="U37">
        <f>IF($A37="","",IF(INDEX(Matrix!$P$2:$P$351,$A37)=1,", "&amp;Wizards!$B$14,""))</f>
        <v/>
      </c>
      <c r="V37">
        <f>IF($A37="","",IF(INDEX(Matrix!$Q$2:$Q$351,$A37)=1,", "&amp;Wizards!$B$15,""))</f>
        <v/>
      </c>
      <c r="W37">
        <f>IF($A37="","",IF(INDEX(Matrix!$R$2:$R$351,$A37)=1,", "&amp;Wizards!$B$16,""))</f>
        <v/>
      </c>
      <c r="X37">
        <f>IF($A37="","",IF(INDEX(Matrix!$S$2:$S$351,$A37)=1,", "&amp;Wizards!$B$17,""))</f>
        <v/>
      </c>
      <c r="Y37">
        <f>IF($A37="","",IF(INDEX(Matrix!$T$2:$T$351,$A37)=1,", "&amp;Wizards!$B$18,""))</f>
        <v/>
      </c>
      <c r="Z37">
        <f>IF($A37="","",IF(INDEX(Matrix!$U$2:$U$351,$A37)=1,", "&amp;Wizards!$B$19,""))</f>
        <v/>
      </c>
      <c r="AA37">
        <f>IF($A37="","",IF(INDEX(Matrix!$V$2:$V$351,$A37)=1,", "&amp;Wizards!$B$20,""))</f>
        <v/>
      </c>
      <c r="AB37">
        <f>IF($A37="","",IF(INDEX(Matrix!$W$2:$W$351,$A37)=1,", "&amp;Wizards!$B$21,""))</f>
        <v/>
      </c>
      <c r="AC37">
        <f>IF($A37="","",IF(INDEX(Matrix!$X$2:$X$351,$A37)=1,", "&amp;Wizards!$B$22,""))</f>
        <v/>
      </c>
      <c r="AD37">
        <f>IF($A37="","",IF(INDEX(Matrix!$Y$2:$Y$351,$A37)=1,", "&amp;Wizards!$B$23,""))</f>
        <v/>
      </c>
      <c r="AE37">
        <f>IF($A37="","",IF(INDEX(Matrix!$Z$2:$Z$351,$A37)=1,", "&amp;Wizards!$B$24,""))</f>
        <v/>
      </c>
      <c r="AF37">
        <f>IF($A37="","",IF(INDEX(Matrix!$AA$2:$AA$351,$A37)=1,", "&amp;Wizards!$B$25,""))</f>
        <v/>
      </c>
    </row>
    <row r="38">
      <c r="A38">
        <f>IFERROR(SMALL(Calc!$A$2:$A$351,27),"")</f>
        <v/>
      </c>
      <c r="B38">
        <f>IF($A38="","",INDEX(Spells!$B$2:$B$351,$A38))</f>
        <v/>
      </c>
      <c r="C38">
        <f>IF($A38="","",INDEX(Spells!$A$2:$A$351,$A38))</f>
        <v/>
      </c>
      <c r="D38">
        <f>IF($A38="","",$C38*50)</f>
        <v/>
      </c>
      <c r="E38">
        <f>IF($A38="","",INDEX(Matrix!$AZ$2:$AZ$351,$A38))</f>
        <v/>
      </c>
      <c r="F38">
        <f>IF($A38="","",MID($I38&amp;$J38&amp;$K38&amp;$L38&amp;$M38&amp;$N38&amp;$O38&amp;$P38&amp;$Q38&amp;$R38&amp;$S38&amp;$T38&amp;$U38&amp;$V38&amp;$W38&amp;$X38&amp;$Y38&amp;$Z38&amp;$AA38&amp;$AB38&amp;$AC38&amp;$AD38&amp;$AE38&amp;$AF38,3,32767))</f>
        <v/>
      </c>
      <c r="H38">
        <f>IF($A38="","","; "&amp;$B38&amp;" (L"&amp;$C38&amp;", "&amp;$D38&amp;" GP) from "&amp;$E38)</f>
        <v/>
      </c>
      <c r="I38">
        <f>IF($A38="","",IF(INDEX(Matrix!$D$2:$D$351,$A38)=1,", "&amp;Wizards!$B$2,""))</f>
        <v/>
      </c>
      <c r="J38">
        <f>IF($A38="","",IF(INDEX(Matrix!$E$2:$E$351,$A38)=1,", "&amp;Wizards!$B$3,""))</f>
        <v/>
      </c>
      <c r="K38">
        <f>IF($A38="","",IF(INDEX(Matrix!$F$2:$F$351,$A38)=1,", "&amp;Wizards!$B$4,""))</f>
        <v/>
      </c>
      <c r="L38">
        <f>IF($A38="","",IF(INDEX(Matrix!$G$2:$G$351,$A38)=1,", "&amp;Wizards!$B$5,""))</f>
        <v/>
      </c>
      <c r="M38">
        <f>IF($A38="","",IF(INDEX(Matrix!$H$2:$H$351,$A38)=1,", "&amp;Wizards!$B$6,""))</f>
        <v/>
      </c>
      <c r="N38">
        <f>IF($A38="","",IF(INDEX(Matrix!$I$2:$I$351,$A38)=1,", "&amp;Wizards!$B$7,""))</f>
        <v/>
      </c>
      <c r="O38">
        <f>IF($A38="","",IF(INDEX(Matrix!$J$2:$J$351,$A38)=1,", "&amp;Wizards!$B$8,""))</f>
        <v/>
      </c>
      <c r="P38">
        <f>IF($A38="","",IF(INDEX(Matrix!$K$2:$K$351,$A38)=1,", "&amp;Wizards!$B$9,""))</f>
        <v/>
      </c>
      <c r="Q38">
        <f>IF($A38="","",IF(INDEX(Matrix!$L$2:$L$351,$A38)=1,", "&amp;Wizards!$B$10,""))</f>
        <v/>
      </c>
      <c r="R38">
        <f>IF($A38="","",IF(INDEX(Matrix!$M$2:$M$351,$A38)=1,", "&amp;Wizards!$B$11,""))</f>
        <v/>
      </c>
      <c r="S38">
        <f>IF($A38="","",IF(INDEX(Matrix!$N$2:$N$351,$A38)=1,", "&amp;Wizards!$B$12,""))</f>
        <v/>
      </c>
      <c r="T38">
        <f>IF($A38="","",IF(INDEX(Matrix!$O$2:$O$351,$A38)=1,", "&amp;Wizards!$B$13,""))</f>
        <v/>
      </c>
      <c r="U38">
        <f>IF($A38="","",IF(INDEX(Matrix!$P$2:$P$351,$A38)=1,", "&amp;Wizards!$B$14,""))</f>
        <v/>
      </c>
      <c r="V38">
        <f>IF($A38="","",IF(INDEX(Matrix!$Q$2:$Q$351,$A38)=1,", "&amp;Wizards!$B$15,""))</f>
        <v/>
      </c>
      <c r="W38">
        <f>IF($A38="","",IF(INDEX(Matrix!$R$2:$R$351,$A38)=1,", "&amp;Wizards!$B$16,""))</f>
        <v/>
      </c>
      <c r="X38">
        <f>IF($A38="","",IF(INDEX(Matrix!$S$2:$S$351,$A38)=1,", "&amp;Wizards!$B$17,""))</f>
        <v/>
      </c>
      <c r="Y38">
        <f>IF($A38="","",IF(INDEX(Matrix!$T$2:$T$351,$A38)=1,", "&amp;Wizards!$B$18,""))</f>
        <v/>
      </c>
      <c r="Z38">
        <f>IF($A38="","",IF(INDEX(Matrix!$U$2:$U$351,$A38)=1,", "&amp;Wizards!$B$19,""))</f>
        <v/>
      </c>
      <c r="AA38">
        <f>IF($A38="","",IF(INDEX(Matrix!$V$2:$V$351,$A38)=1,", "&amp;Wizards!$B$20,""))</f>
        <v/>
      </c>
      <c r="AB38">
        <f>IF($A38="","",IF(INDEX(Matrix!$W$2:$W$351,$A38)=1,", "&amp;Wizards!$B$21,""))</f>
        <v/>
      </c>
      <c r="AC38">
        <f>IF($A38="","",IF(INDEX(Matrix!$X$2:$X$351,$A38)=1,", "&amp;Wizards!$B$22,""))</f>
        <v/>
      </c>
      <c r="AD38">
        <f>IF($A38="","",IF(INDEX(Matrix!$Y$2:$Y$351,$A38)=1,", "&amp;Wizards!$B$23,""))</f>
        <v/>
      </c>
      <c r="AE38">
        <f>IF($A38="","",IF(INDEX(Matrix!$Z$2:$Z$351,$A38)=1,", "&amp;Wizards!$B$24,""))</f>
        <v/>
      </c>
      <c r="AF38">
        <f>IF($A38="","",IF(INDEX(Matrix!$AA$2:$AA$351,$A38)=1,", "&amp;Wizards!$B$25,""))</f>
        <v/>
      </c>
    </row>
    <row r="39">
      <c r="A39">
        <f>IFERROR(SMALL(Calc!$A$2:$A$351,28),"")</f>
        <v/>
      </c>
      <c r="B39">
        <f>IF($A39="","",INDEX(Spells!$B$2:$B$351,$A39))</f>
        <v/>
      </c>
      <c r="C39">
        <f>IF($A39="","",INDEX(Spells!$A$2:$A$351,$A39))</f>
        <v/>
      </c>
      <c r="D39">
        <f>IF($A39="","",$C39*50)</f>
        <v/>
      </c>
      <c r="E39">
        <f>IF($A39="","",INDEX(Matrix!$AZ$2:$AZ$351,$A39))</f>
        <v/>
      </c>
      <c r="F39">
        <f>IF($A39="","",MID($I39&amp;$J39&amp;$K39&amp;$L39&amp;$M39&amp;$N39&amp;$O39&amp;$P39&amp;$Q39&amp;$R39&amp;$S39&amp;$T39&amp;$U39&amp;$V39&amp;$W39&amp;$X39&amp;$Y39&amp;$Z39&amp;$AA39&amp;$AB39&amp;$AC39&amp;$AD39&amp;$AE39&amp;$AF39,3,32767))</f>
        <v/>
      </c>
      <c r="H39">
        <f>IF($A39="","","; "&amp;$B39&amp;" (L"&amp;$C39&amp;", "&amp;$D39&amp;" GP) from "&amp;$E39)</f>
        <v/>
      </c>
      <c r="I39">
        <f>IF($A39="","",IF(INDEX(Matrix!$D$2:$D$351,$A39)=1,", "&amp;Wizards!$B$2,""))</f>
        <v/>
      </c>
      <c r="J39">
        <f>IF($A39="","",IF(INDEX(Matrix!$E$2:$E$351,$A39)=1,", "&amp;Wizards!$B$3,""))</f>
        <v/>
      </c>
      <c r="K39">
        <f>IF($A39="","",IF(INDEX(Matrix!$F$2:$F$351,$A39)=1,", "&amp;Wizards!$B$4,""))</f>
        <v/>
      </c>
      <c r="L39">
        <f>IF($A39="","",IF(INDEX(Matrix!$G$2:$G$351,$A39)=1,", "&amp;Wizards!$B$5,""))</f>
        <v/>
      </c>
      <c r="M39">
        <f>IF($A39="","",IF(INDEX(Matrix!$H$2:$H$351,$A39)=1,", "&amp;Wizards!$B$6,""))</f>
        <v/>
      </c>
      <c r="N39">
        <f>IF($A39="","",IF(INDEX(Matrix!$I$2:$I$351,$A39)=1,", "&amp;Wizards!$B$7,""))</f>
        <v/>
      </c>
      <c r="O39">
        <f>IF($A39="","",IF(INDEX(Matrix!$J$2:$J$351,$A39)=1,", "&amp;Wizards!$B$8,""))</f>
        <v/>
      </c>
      <c r="P39">
        <f>IF($A39="","",IF(INDEX(Matrix!$K$2:$K$351,$A39)=1,", "&amp;Wizards!$B$9,""))</f>
        <v/>
      </c>
      <c r="Q39">
        <f>IF($A39="","",IF(INDEX(Matrix!$L$2:$L$351,$A39)=1,", "&amp;Wizards!$B$10,""))</f>
        <v/>
      </c>
      <c r="R39">
        <f>IF($A39="","",IF(INDEX(Matrix!$M$2:$M$351,$A39)=1,", "&amp;Wizards!$B$11,""))</f>
        <v/>
      </c>
      <c r="S39">
        <f>IF($A39="","",IF(INDEX(Matrix!$N$2:$N$351,$A39)=1,", "&amp;Wizards!$B$12,""))</f>
        <v/>
      </c>
      <c r="T39">
        <f>IF($A39="","",IF(INDEX(Matrix!$O$2:$O$351,$A39)=1,", "&amp;Wizards!$B$13,""))</f>
        <v/>
      </c>
      <c r="U39">
        <f>IF($A39="","",IF(INDEX(Matrix!$P$2:$P$351,$A39)=1,", "&amp;Wizards!$B$14,""))</f>
        <v/>
      </c>
      <c r="V39">
        <f>IF($A39="","",IF(INDEX(Matrix!$Q$2:$Q$351,$A39)=1,", "&amp;Wizards!$B$15,""))</f>
        <v/>
      </c>
      <c r="W39">
        <f>IF($A39="","",IF(INDEX(Matrix!$R$2:$R$351,$A39)=1,", "&amp;Wizards!$B$16,""))</f>
        <v/>
      </c>
      <c r="X39">
        <f>IF($A39="","",IF(INDEX(Matrix!$S$2:$S$351,$A39)=1,", "&amp;Wizards!$B$17,""))</f>
        <v/>
      </c>
      <c r="Y39">
        <f>IF($A39="","",IF(INDEX(Matrix!$T$2:$T$351,$A39)=1,", "&amp;Wizards!$B$18,""))</f>
        <v/>
      </c>
      <c r="Z39">
        <f>IF($A39="","",IF(INDEX(Matrix!$U$2:$U$351,$A39)=1,", "&amp;Wizards!$B$19,""))</f>
        <v/>
      </c>
      <c r="AA39">
        <f>IF($A39="","",IF(INDEX(Matrix!$V$2:$V$351,$A39)=1,", "&amp;Wizards!$B$20,""))</f>
        <v/>
      </c>
      <c r="AB39">
        <f>IF($A39="","",IF(INDEX(Matrix!$W$2:$W$351,$A39)=1,", "&amp;Wizards!$B$21,""))</f>
        <v/>
      </c>
      <c r="AC39">
        <f>IF($A39="","",IF(INDEX(Matrix!$X$2:$X$351,$A39)=1,", "&amp;Wizards!$B$22,""))</f>
        <v/>
      </c>
      <c r="AD39">
        <f>IF($A39="","",IF(INDEX(Matrix!$Y$2:$Y$351,$A39)=1,", "&amp;Wizards!$B$23,""))</f>
        <v/>
      </c>
      <c r="AE39">
        <f>IF($A39="","",IF(INDEX(Matrix!$Z$2:$Z$351,$A39)=1,", "&amp;Wizards!$B$24,""))</f>
        <v/>
      </c>
      <c r="AF39">
        <f>IF($A39="","",IF(INDEX(Matrix!$AA$2:$AA$351,$A39)=1,", "&amp;Wizards!$B$25,""))</f>
        <v/>
      </c>
    </row>
    <row r="40">
      <c r="A40">
        <f>IFERROR(SMALL(Calc!$A$2:$A$351,29),"")</f>
        <v/>
      </c>
      <c r="B40">
        <f>IF($A40="","",INDEX(Spells!$B$2:$B$351,$A40))</f>
        <v/>
      </c>
      <c r="C40">
        <f>IF($A40="","",INDEX(Spells!$A$2:$A$351,$A40))</f>
        <v/>
      </c>
      <c r="D40">
        <f>IF($A40="","",$C40*50)</f>
        <v/>
      </c>
      <c r="E40">
        <f>IF($A40="","",INDEX(Matrix!$AZ$2:$AZ$351,$A40))</f>
        <v/>
      </c>
      <c r="F40">
        <f>IF($A40="","",MID($I40&amp;$J40&amp;$K40&amp;$L40&amp;$M40&amp;$N40&amp;$O40&amp;$P40&amp;$Q40&amp;$R40&amp;$S40&amp;$T40&amp;$U40&amp;$V40&amp;$W40&amp;$X40&amp;$Y40&amp;$Z40&amp;$AA40&amp;$AB40&amp;$AC40&amp;$AD40&amp;$AE40&amp;$AF40,3,32767))</f>
        <v/>
      </c>
      <c r="H40">
        <f>IF($A40="","","; "&amp;$B40&amp;" (L"&amp;$C40&amp;", "&amp;$D40&amp;" GP) from "&amp;$E40)</f>
        <v/>
      </c>
      <c r="I40">
        <f>IF($A40="","",IF(INDEX(Matrix!$D$2:$D$351,$A40)=1,", "&amp;Wizards!$B$2,""))</f>
        <v/>
      </c>
      <c r="J40">
        <f>IF($A40="","",IF(INDEX(Matrix!$E$2:$E$351,$A40)=1,", "&amp;Wizards!$B$3,""))</f>
        <v/>
      </c>
      <c r="K40">
        <f>IF($A40="","",IF(INDEX(Matrix!$F$2:$F$351,$A40)=1,", "&amp;Wizards!$B$4,""))</f>
        <v/>
      </c>
      <c r="L40">
        <f>IF($A40="","",IF(INDEX(Matrix!$G$2:$G$351,$A40)=1,", "&amp;Wizards!$B$5,""))</f>
        <v/>
      </c>
      <c r="M40">
        <f>IF($A40="","",IF(INDEX(Matrix!$H$2:$H$351,$A40)=1,", "&amp;Wizards!$B$6,""))</f>
        <v/>
      </c>
      <c r="N40">
        <f>IF($A40="","",IF(INDEX(Matrix!$I$2:$I$351,$A40)=1,", "&amp;Wizards!$B$7,""))</f>
        <v/>
      </c>
      <c r="O40">
        <f>IF($A40="","",IF(INDEX(Matrix!$J$2:$J$351,$A40)=1,", "&amp;Wizards!$B$8,""))</f>
        <v/>
      </c>
      <c r="P40">
        <f>IF($A40="","",IF(INDEX(Matrix!$K$2:$K$351,$A40)=1,", "&amp;Wizards!$B$9,""))</f>
        <v/>
      </c>
      <c r="Q40">
        <f>IF($A40="","",IF(INDEX(Matrix!$L$2:$L$351,$A40)=1,", "&amp;Wizards!$B$10,""))</f>
        <v/>
      </c>
      <c r="R40">
        <f>IF($A40="","",IF(INDEX(Matrix!$M$2:$M$351,$A40)=1,", "&amp;Wizards!$B$11,""))</f>
        <v/>
      </c>
      <c r="S40">
        <f>IF($A40="","",IF(INDEX(Matrix!$N$2:$N$351,$A40)=1,", "&amp;Wizards!$B$12,""))</f>
        <v/>
      </c>
      <c r="T40">
        <f>IF($A40="","",IF(INDEX(Matrix!$O$2:$O$351,$A40)=1,", "&amp;Wizards!$B$13,""))</f>
        <v/>
      </c>
      <c r="U40">
        <f>IF($A40="","",IF(INDEX(Matrix!$P$2:$P$351,$A40)=1,", "&amp;Wizards!$B$14,""))</f>
        <v/>
      </c>
      <c r="V40">
        <f>IF($A40="","",IF(INDEX(Matrix!$Q$2:$Q$351,$A40)=1,", "&amp;Wizards!$B$15,""))</f>
        <v/>
      </c>
      <c r="W40">
        <f>IF($A40="","",IF(INDEX(Matrix!$R$2:$R$351,$A40)=1,", "&amp;Wizards!$B$16,""))</f>
        <v/>
      </c>
      <c r="X40">
        <f>IF($A40="","",IF(INDEX(Matrix!$S$2:$S$351,$A40)=1,", "&amp;Wizards!$B$17,""))</f>
        <v/>
      </c>
      <c r="Y40">
        <f>IF($A40="","",IF(INDEX(Matrix!$T$2:$T$351,$A40)=1,", "&amp;Wizards!$B$18,""))</f>
        <v/>
      </c>
      <c r="Z40">
        <f>IF($A40="","",IF(INDEX(Matrix!$U$2:$U$351,$A40)=1,", "&amp;Wizards!$B$19,""))</f>
        <v/>
      </c>
      <c r="AA40">
        <f>IF($A40="","",IF(INDEX(Matrix!$V$2:$V$351,$A40)=1,", "&amp;Wizards!$B$20,""))</f>
        <v/>
      </c>
      <c r="AB40">
        <f>IF($A40="","",IF(INDEX(Matrix!$W$2:$W$351,$A40)=1,", "&amp;Wizards!$B$21,""))</f>
        <v/>
      </c>
      <c r="AC40">
        <f>IF($A40="","",IF(INDEX(Matrix!$X$2:$X$351,$A40)=1,", "&amp;Wizards!$B$22,""))</f>
        <v/>
      </c>
      <c r="AD40">
        <f>IF($A40="","",IF(INDEX(Matrix!$Y$2:$Y$351,$A40)=1,", "&amp;Wizards!$B$23,""))</f>
        <v/>
      </c>
      <c r="AE40">
        <f>IF($A40="","",IF(INDEX(Matrix!$Z$2:$Z$351,$A40)=1,", "&amp;Wizards!$B$24,""))</f>
        <v/>
      </c>
      <c r="AF40">
        <f>IF($A40="","",IF(INDEX(Matrix!$AA$2:$AA$351,$A40)=1,", "&amp;Wizards!$B$25,""))</f>
        <v/>
      </c>
    </row>
    <row r="41">
      <c r="A41">
        <f>IFERROR(SMALL(Calc!$A$2:$A$351,30),"")</f>
        <v/>
      </c>
      <c r="B41">
        <f>IF($A41="","",INDEX(Spells!$B$2:$B$351,$A41))</f>
        <v/>
      </c>
      <c r="C41">
        <f>IF($A41="","",INDEX(Spells!$A$2:$A$351,$A41))</f>
        <v/>
      </c>
      <c r="D41">
        <f>IF($A41="","",$C41*50)</f>
        <v/>
      </c>
      <c r="E41">
        <f>IF($A41="","",INDEX(Matrix!$AZ$2:$AZ$351,$A41))</f>
        <v/>
      </c>
      <c r="F41">
        <f>IF($A41="","",MID($I41&amp;$J41&amp;$K41&amp;$L41&amp;$M41&amp;$N41&amp;$O41&amp;$P41&amp;$Q41&amp;$R41&amp;$S41&amp;$T41&amp;$U41&amp;$V41&amp;$W41&amp;$X41&amp;$Y41&amp;$Z41&amp;$AA41&amp;$AB41&amp;$AC41&amp;$AD41&amp;$AE41&amp;$AF41,3,32767))</f>
        <v/>
      </c>
      <c r="H41">
        <f>IF($A41="","","; "&amp;$B41&amp;" (L"&amp;$C41&amp;", "&amp;$D41&amp;" GP) from "&amp;$E41)</f>
        <v/>
      </c>
      <c r="I41">
        <f>IF($A41="","",IF(INDEX(Matrix!$D$2:$D$351,$A41)=1,", "&amp;Wizards!$B$2,""))</f>
        <v/>
      </c>
      <c r="J41">
        <f>IF($A41="","",IF(INDEX(Matrix!$E$2:$E$351,$A41)=1,", "&amp;Wizards!$B$3,""))</f>
        <v/>
      </c>
      <c r="K41">
        <f>IF($A41="","",IF(INDEX(Matrix!$F$2:$F$351,$A41)=1,", "&amp;Wizards!$B$4,""))</f>
        <v/>
      </c>
      <c r="L41">
        <f>IF($A41="","",IF(INDEX(Matrix!$G$2:$G$351,$A41)=1,", "&amp;Wizards!$B$5,""))</f>
        <v/>
      </c>
      <c r="M41">
        <f>IF($A41="","",IF(INDEX(Matrix!$H$2:$H$351,$A41)=1,", "&amp;Wizards!$B$6,""))</f>
        <v/>
      </c>
      <c r="N41">
        <f>IF($A41="","",IF(INDEX(Matrix!$I$2:$I$351,$A41)=1,", "&amp;Wizards!$B$7,""))</f>
        <v/>
      </c>
      <c r="O41">
        <f>IF($A41="","",IF(INDEX(Matrix!$J$2:$J$351,$A41)=1,", "&amp;Wizards!$B$8,""))</f>
        <v/>
      </c>
      <c r="P41">
        <f>IF($A41="","",IF(INDEX(Matrix!$K$2:$K$351,$A41)=1,", "&amp;Wizards!$B$9,""))</f>
        <v/>
      </c>
      <c r="Q41">
        <f>IF($A41="","",IF(INDEX(Matrix!$L$2:$L$351,$A41)=1,", "&amp;Wizards!$B$10,""))</f>
        <v/>
      </c>
      <c r="R41">
        <f>IF($A41="","",IF(INDEX(Matrix!$M$2:$M$351,$A41)=1,", "&amp;Wizards!$B$11,""))</f>
        <v/>
      </c>
      <c r="S41">
        <f>IF($A41="","",IF(INDEX(Matrix!$N$2:$N$351,$A41)=1,", "&amp;Wizards!$B$12,""))</f>
        <v/>
      </c>
      <c r="T41">
        <f>IF($A41="","",IF(INDEX(Matrix!$O$2:$O$351,$A41)=1,", "&amp;Wizards!$B$13,""))</f>
        <v/>
      </c>
      <c r="U41">
        <f>IF($A41="","",IF(INDEX(Matrix!$P$2:$P$351,$A41)=1,", "&amp;Wizards!$B$14,""))</f>
        <v/>
      </c>
      <c r="V41">
        <f>IF($A41="","",IF(INDEX(Matrix!$Q$2:$Q$351,$A41)=1,", "&amp;Wizards!$B$15,""))</f>
        <v/>
      </c>
      <c r="W41">
        <f>IF($A41="","",IF(INDEX(Matrix!$R$2:$R$351,$A41)=1,", "&amp;Wizards!$B$16,""))</f>
        <v/>
      </c>
      <c r="X41">
        <f>IF($A41="","",IF(INDEX(Matrix!$S$2:$S$351,$A41)=1,", "&amp;Wizards!$B$17,""))</f>
        <v/>
      </c>
      <c r="Y41">
        <f>IF($A41="","",IF(INDEX(Matrix!$T$2:$T$351,$A41)=1,", "&amp;Wizards!$B$18,""))</f>
        <v/>
      </c>
      <c r="Z41">
        <f>IF($A41="","",IF(INDEX(Matrix!$U$2:$U$351,$A41)=1,", "&amp;Wizards!$B$19,""))</f>
        <v/>
      </c>
      <c r="AA41">
        <f>IF($A41="","",IF(INDEX(Matrix!$V$2:$V$351,$A41)=1,", "&amp;Wizards!$B$20,""))</f>
        <v/>
      </c>
      <c r="AB41">
        <f>IF($A41="","",IF(INDEX(Matrix!$W$2:$W$351,$A41)=1,", "&amp;Wizards!$B$21,""))</f>
        <v/>
      </c>
      <c r="AC41">
        <f>IF($A41="","",IF(INDEX(Matrix!$X$2:$X$351,$A41)=1,", "&amp;Wizards!$B$22,""))</f>
        <v/>
      </c>
      <c r="AD41">
        <f>IF($A41="","",IF(INDEX(Matrix!$Y$2:$Y$351,$A41)=1,", "&amp;Wizards!$B$23,""))</f>
        <v/>
      </c>
      <c r="AE41">
        <f>IF($A41="","",IF(INDEX(Matrix!$Z$2:$Z$351,$A41)=1,", "&amp;Wizards!$B$24,""))</f>
        <v/>
      </c>
      <c r="AF41">
        <f>IF($A41="","",IF(INDEX(Matrix!$AA$2:$AA$351,$A41)=1,", "&amp;Wizards!$B$25,""))</f>
        <v/>
      </c>
    </row>
    <row r="42">
      <c r="A42">
        <f>IFERROR(SMALL(Calc!$A$2:$A$351,31),"")</f>
        <v/>
      </c>
      <c r="B42">
        <f>IF($A42="","",INDEX(Spells!$B$2:$B$351,$A42))</f>
        <v/>
      </c>
      <c r="C42">
        <f>IF($A42="","",INDEX(Spells!$A$2:$A$351,$A42))</f>
        <v/>
      </c>
      <c r="D42">
        <f>IF($A42="","",$C42*50)</f>
        <v/>
      </c>
      <c r="E42">
        <f>IF($A42="","",INDEX(Matrix!$AZ$2:$AZ$351,$A42))</f>
        <v/>
      </c>
      <c r="F42">
        <f>IF($A42="","",MID($I42&amp;$J42&amp;$K42&amp;$L42&amp;$M42&amp;$N42&amp;$O42&amp;$P42&amp;$Q42&amp;$R42&amp;$S42&amp;$T42&amp;$U42&amp;$V42&amp;$W42&amp;$X42&amp;$Y42&amp;$Z42&amp;$AA42&amp;$AB42&amp;$AC42&amp;$AD42&amp;$AE42&amp;$AF42,3,32767))</f>
        <v/>
      </c>
      <c r="H42">
        <f>IF($A42="","","; "&amp;$B42&amp;" (L"&amp;$C42&amp;", "&amp;$D42&amp;" GP) from "&amp;$E42)</f>
        <v/>
      </c>
      <c r="I42">
        <f>IF($A42="","",IF(INDEX(Matrix!$D$2:$D$351,$A42)=1,", "&amp;Wizards!$B$2,""))</f>
        <v/>
      </c>
      <c r="J42">
        <f>IF($A42="","",IF(INDEX(Matrix!$E$2:$E$351,$A42)=1,", "&amp;Wizards!$B$3,""))</f>
        <v/>
      </c>
      <c r="K42">
        <f>IF($A42="","",IF(INDEX(Matrix!$F$2:$F$351,$A42)=1,", "&amp;Wizards!$B$4,""))</f>
        <v/>
      </c>
      <c r="L42">
        <f>IF($A42="","",IF(INDEX(Matrix!$G$2:$G$351,$A42)=1,", "&amp;Wizards!$B$5,""))</f>
        <v/>
      </c>
      <c r="M42">
        <f>IF($A42="","",IF(INDEX(Matrix!$H$2:$H$351,$A42)=1,", "&amp;Wizards!$B$6,""))</f>
        <v/>
      </c>
      <c r="N42">
        <f>IF($A42="","",IF(INDEX(Matrix!$I$2:$I$351,$A42)=1,", "&amp;Wizards!$B$7,""))</f>
        <v/>
      </c>
      <c r="O42">
        <f>IF($A42="","",IF(INDEX(Matrix!$J$2:$J$351,$A42)=1,", "&amp;Wizards!$B$8,""))</f>
        <v/>
      </c>
      <c r="P42">
        <f>IF($A42="","",IF(INDEX(Matrix!$K$2:$K$351,$A42)=1,", "&amp;Wizards!$B$9,""))</f>
        <v/>
      </c>
      <c r="Q42">
        <f>IF($A42="","",IF(INDEX(Matrix!$L$2:$L$351,$A42)=1,", "&amp;Wizards!$B$10,""))</f>
        <v/>
      </c>
      <c r="R42">
        <f>IF($A42="","",IF(INDEX(Matrix!$M$2:$M$351,$A42)=1,", "&amp;Wizards!$B$11,""))</f>
        <v/>
      </c>
      <c r="S42">
        <f>IF($A42="","",IF(INDEX(Matrix!$N$2:$N$351,$A42)=1,", "&amp;Wizards!$B$12,""))</f>
        <v/>
      </c>
      <c r="T42">
        <f>IF($A42="","",IF(INDEX(Matrix!$O$2:$O$351,$A42)=1,", "&amp;Wizards!$B$13,""))</f>
        <v/>
      </c>
      <c r="U42">
        <f>IF($A42="","",IF(INDEX(Matrix!$P$2:$P$351,$A42)=1,", "&amp;Wizards!$B$14,""))</f>
        <v/>
      </c>
      <c r="V42">
        <f>IF($A42="","",IF(INDEX(Matrix!$Q$2:$Q$351,$A42)=1,", "&amp;Wizards!$B$15,""))</f>
        <v/>
      </c>
      <c r="W42">
        <f>IF($A42="","",IF(INDEX(Matrix!$R$2:$R$351,$A42)=1,", "&amp;Wizards!$B$16,""))</f>
        <v/>
      </c>
      <c r="X42">
        <f>IF($A42="","",IF(INDEX(Matrix!$S$2:$S$351,$A42)=1,", "&amp;Wizards!$B$17,""))</f>
        <v/>
      </c>
      <c r="Y42">
        <f>IF($A42="","",IF(INDEX(Matrix!$T$2:$T$351,$A42)=1,", "&amp;Wizards!$B$18,""))</f>
        <v/>
      </c>
      <c r="Z42">
        <f>IF($A42="","",IF(INDEX(Matrix!$U$2:$U$351,$A42)=1,", "&amp;Wizards!$B$19,""))</f>
        <v/>
      </c>
      <c r="AA42">
        <f>IF($A42="","",IF(INDEX(Matrix!$V$2:$V$351,$A42)=1,", "&amp;Wizards!$B$20,""))</f>
        <v/>
      </c>
      <c r="AB42">
        <f>IF($A42="","",IF(INDEX(Matrix!$W$2:$W$351,$A42)=1,", "&amp;Wizards!$B$21,""))</f>
        <v/>
      </c>
      <c r="AC42">
        <f>IF($A42="","",IF(INDEX(Matrix!$X$2:$X$351,$A42)=1,", "&amp;Wizards!$B$22,""))</f>
        <v/>
      </c>
      <c r="AD42">
        <f>IF($A42="","",IF(INDEX(Matrix!$Y$2:$Y$351,$A42)=1,", "&amp;Wizards!$B$23,""))</f>
        <v/>
      </c>
      <c r="AE42">
        <f>IF($A42="","",IF(INDEX(Matrix!$Z$2:$Z$351,$A42)=1,", "&amp;Wizards!$B$24,""))</f>
        <v/>
      </c>
      <c r="AF42">
        <f>IF($A42="","",IF(INDEX(Matrix!$AA$2:$AA$351,$A42)=1,", "&amp;Wizards!$B$25,""))</f>
        <v/>
      </c>
    </row>
    <row r="43">
      <c r="A43">
        <f>IFERROR(SMALL(Calc!$A$2:$A$351,32),"")</f>
        <v/>
      </c>
      <c r="B43">
        <f>IF($A43="","",INDEX(Spells!$B$2:$B$351,$A43))</f>
        <v/>
      </c>
      <c r="C43">
        <f>IF($A43="","",INDEX(Spells!$A$2:$A$351,$A43))</f>
        <v/>
      </c>
      <c r="D43">
        <f>IF($A43="","",$C43*50)</f>
        <v/>
      </c>
      <c r="E43">
        <f>IF($A43="","",INDEX(Matrix!$AZ$2:$AZ$351,$A43))</f>
        <v/>
      </c>
      <c r="F43">
        <f>IF($A43="","",MID($I43&amp;$J43&amp;$K43&amp;$L43&amp;$M43&amp;$N43&amp;$O43&amp;$P43&amp;$Q43&amp;$R43&amp;$S43&amp;$T43&amp;$U43&amp;$V43&amp;$W43&amp;$X43&amp;$Y43&amp;$Z43&amp;$AA43&amp;$AB43&amp;$AC43&amp;$AD43&amp;$AE43&amp;$AF43,3,32767))</f>
        <v/>
      </c>
      <c r="H43">
        <f>IF($A43="","","; "&amp;$B43&amp;" (L"&amp;$C43&amp;", "&amp;$D43&amp;" GP) from "&amp;$E43)</f>
        <v/>
      </c>
      <c r="I43">
        <f>IF($A43="","",IF(INDEX(Matrix!$D$2:$D$351,$A43)=1,", "&amp;Wizards!$B$2,""))</f>
        <v/>
      </c>
      <c r="J43">
        <f>IF($A43="","",IF(INDEX(Matrix!$E$2:$E$351,$A43)=1,", "&amp;Wizards!$B$3,""))</f>
        <v/>
      </c>
      <c r="K43">
        <f>IF($A43="","",IF(INDEX(Matrix!$F$2:$F$351,$A43)=1,", "&amp;Wizards!$B$4,""))</f>
        <v/>
      </c>
      <c r="L43">
        <f>IF($A43="","",IF(INDEX(Matrix!$G$2:$G$351,$A43)=1,", "&amp;Wizards!$B$5,""))</f>
        <v/>
      </c>
      <c r="M43">
        <f>IF($A43="","",IF(INDEX(Matrix!$H$2:$H$351,$A43)=1,", "&amp;Wizards!$B$6,""))</f>
        <v/>
      </c>
      <c r="N43">
        <f>IF($A43="","",IF(INDEX(Matrix!$I$2:$I$351,$A43)=1,", "&amp;Wizards!$B$7,""))</f>
        <v/>
      </c>
      <c r="O43">
        <f>IF($A43="","",IF(INDEX(Matrix!$J$2:$J$351,$A43)=1,", "&amp;Wizards!$B$8,""))</f>
        <v/>
      </c>
      <c r="P43">
        <f>IF($A43="","",IF(INDEX(Matrix!$K$2:$K$351,$A43)=1,", "&amp;Wizards!$B$9,""))</f>
        <v/>
      </c>
      <c r="Q43">
        <f>IF($A43="","",IF(INDEX(Matrix!$L$2:$L$351,$A43)=1,", "&amp;Wizards!$B$10,""))</f>
        <v/>
      </c>
      <c r="R43">
        <f>IF($A43="","",IF(INDEX(Matrix!$M$2:$M$351,$A43)=1,", "&amp;Wizards!$B$11,""))</f>
        <v/>
      </c>
      <c r="S43">
        <f>IF($A43="","",IF(INDEX(Matrix!$N$2:$N$351,$A43)=1,", "&amp;Wizards!$B$12,""))</f>
        <v/>
      </c>
      <c r="T43">
        <f>IF($A43="","",IF(INDEX(Matrix!$O$2:$O$351,$A43)=1,", "&amp;Wizards!$B$13,""))</f>
        <v/>
      </c>
      <c r="U43">
        <f>IF($A43="","",IF(INDEX(Matrix!$P$2:$P$351,$A43)=1,", "&amp;Wizards!$B$14,""))</f>
        <v/>
      </c>
      <c r="V43">
        <f>IF($A43="","",IF(INDEX(Matrix!$Q$2:$Q$351,$A43)=1,", "&amp;Wizards!$B$15,""))</f>
        <v/>
      </c>
      <c r="W43">
        <f>IF($A43="","",IF(INDEX(Matrix!$R$2:$R$351,$A43)=1,", "&amp;Wizards!$B$16,""))</f>
        <v/>
      </c>
      <c r="X43">
        <f>IF($A43="","",IF(INDEX(Matrix!$S$2:$S$351,$A43)=1,", "&amp;Wizards!$B$17,""))</f>
        <v/>
      </c>
      <c r="Y43">
        <f>IF($A43="","",IF(INDEX(Matrix!$T$2:$T$351,$A43)=1,", "&amp;Wizards!$B$18,""))</f>
        <v/>
      </c>
      <c r="Z43">
        <f>IF($A43="","",IF(INDEX(Matrix!$U$2:$U$351,$A43)=1,", "&amp;Wizards!$B$19,""))</f>
        <v/>
      </c>
      <c r="AA43">
        <f>IF($A43="","",IF(INDEX(Matrix!$V$2:$V$351,$A43)=1,", "&amp;Wizards!$B$20,""))</f>
        <v/>
      </c>
      <c r="AB43">
        <f>IF($A43="","",IF(INDEX(Matrix!$W$2:$W$351,$A43)=1,", "&amp;Wizards!$B$21,""))</f>
        <v/>
      </c>
      <c r="AC43">
        <f>IF($A43="","",IF(INDEX(Matrix!$X$2:$X$351,$A43)=1,", "&amp;Wizards!$B$22,""))</f>
        <v/>
      </c>
      <c r="AD43">
        <f>IF($A43="","",IF(INDEX(Matrix!$Y$2:$Y$351,$A43)=1,", "&amp;Wizards!$B$23,""))</f>
        <v/>
      </c>
      <c r="AE43">
        <f>IF($A43="","",IF(INDEX(Matrix!$Z$2:$Z$351,$A43)=1,", "&amp;Wizards!$B$24,""))</f>
        <v/>
      </c>
      <c r="AF43">
        <f>IF($A43="","",IF(INDEX(Matrix!$AA$2:$AA$351,$A43)=1,", "&amp;Wizards!$B$25,""))</f>
        <v/>
      </c>
    </row>
    <row r="44">
      <c r="A44">
        <f>IFERROR(SMALL(Calc!$A$2:$A$351,33),"")</f>
        <v/>
      </c>
      <c r="B44">
        <f>IF($A44="","",INDEX(Spells!$B$2:$B$351,$A44))</f>
        <v/>
      </c>
      <c r="C44">
        <f>IF($A44="","",INDEX(Spells!$A$2:$A$351,$A44))</f>
        <v/>
      </c>
      <c r="D44">
        <f>IF($A44="","",$C44*50)</f>
        <v/>
      </c>
      <c r="E44">
        <f>IF($A44="","",INDEX(Matrix!$AZ$2:$AZ$351,$A44))</f>
        <v/>
      </c>
      <c r="F44">
        <f>IF($A44="","",MID($I44&amp;$J44&amp;$K44&amp;$L44&amp;$M44&amp;$N44&amp;$O44&amp;$P44&amp;$Q44&amp;$R44&amp;$S44&amp;$T44&amp;$U44&amp;$V44&amp;$W44&amp;$X44&amp;$Y44&amp;$Z44&amp;$AA44&amp;$AB44&amp;$AC44&amp;$AD44&amp;$AE44&amp;$AF44,3,32767))</f>
        <v/>
      </c>
      <c r="H44">
        <f>IF($A44="","","; "&amp;$B44&amp;" (L"&amp;$C44&amp;", "&amp;$D44&amp;" GP) from "&amp;$E44)</f>
        <v/>
      </c>
      <c r="I44">
        <f>IF($A44="","",IF(INDEX(Matrix!$D$2:$D$351,$A44)=1,", "&amp;Wizards!$B$2,""))</f>
        <v/>
      </c>
      <c r="J44">
        <f>IF($A44="","",IF(INDEX(Matrix!$E$2:$E$351,$A44)=1,", "&amp;Wizards!$B$3,""))</f>
        <v/>
      </c>
      <c r="K44">
        <f>IF($A44="","",IF(INDEX(Matrix!$F$2:$F$351,$A44)=1,", "&amp;Wizards!$B$4,""))</f>
        <v/>
      </c>
      <c r="L44">
        <f>IF($A44="","",IF(INDEX(Matrix!$G$2:$G$351,$A44)=1,", "&amp;Wizards!$B$5,""))</f>
        <v/>
      </c>
      <c r="M44">
        <f>IF($A44="","",IF(INDEX(Matrix!$H$2:$H$351,$A44)=1,", "&amp;Wizards!$B$6,""))</f>
        <v/>
      </c>
      <c r="N44">
        <f>IF($A44="","",IF(INDEX(Matrix!$I$2:$I$351,$A44)=1,", "&amp;Wizards!$B$7,""))</f>
        <v/>
      </c>
      <c r="O44">
        <f>IF($A44="","",IF(INDEX(Matrix!$J$2:$J$351,$A44)=1,", "&amp;Wizards!$B$8,""))</f>
        <v/>
      </c>
      <c r="P44">
        <f>IF($A44="","",IF(INDEX(Matrix!$K$2:$K$351,$A44)=1,", "&amp;Wizards!$B$9,""))</f>
        <v/>
      </c>
      <c r="Q44">
        <f>IF($A44="","",IF(INDEX(Matrix!$L$2:$L$351,$A44)=1,", "&amp;Wizards!$B$10,""))</f>
        <v/>
      </c>
      <c r="R44">
        <f>IF($A44="","",IF(INDEX(Matrix!$M$2:$M$351,$A44)=1,", "&amp;Wizards!$B$11,""))</f>
        <v/>
      </c>
      <c r="S44">
        <f>IF($A44="","",IF(INDEX(Matrix!$N$2:$N$351,$A44)=1,", "&amp;Wizards!$B$12,""))</f>
        <v/>
      </c>
      <c r="T44">
        <f>IF($A44="","",IF(INDEX(Matrix!$O$2:$O$351,$A44)=1,", "&amp;Wizards!$B$13,""))</f>
        <v/>
      </c>
      <c r="U44">
        <f>IF($A44="","",IF(INDEX(Matrix!$P$2:$P$351,$A44)=1,", "&amp;Wizards!$B$14,""))</f>
        <v/>
      </c>
      <c r="V44">
        <f>IF($A44="","",IF(INDEX(Matrix!$Q$2:$Q$351,$A44)=1,", "&amp;Wizards!$B$15,""))</f>
        <v/>
      </c>
      <c r="W44">
        <f>IF($A44="","",IF(INDEX(Matrix!$R$2:$R$351,$A44)=1,", "&amp;Wizards!$B$16,""))</f>
        <v/>
      </c>
      <c r="X44">
        <f>IF($A44="","",IF(INDEX(Matrix!$S$2:$S$351,$A44)=1,", "&amp;Wizards!$B$17,""))</f>
        <v/>
      </c>
      <c r="Y44">
        <f>IF($A44="","",IF(INDEX(Matrix!$T$2:$T$351,$A44)=1,", "&amp;Wizards!$B$18,""))</f>
        <v/>
      </c>
      <c r="Z44">
        <f>IF($A44="","",IF(INDEX(Matrix!$U$2:$U$351,$A44)=1,", "&amp;Wizards!$B$19,""))</f>
        <v/>
      </c>
      <c r="AA44">
        <f>IF($A44="","",IF(INDEX(Matrix!$V$2:$V$351,$A44)=1,", "&amp;Wizards!$B$20,""))</f>
        <v/>
      </c>
      <c r="AB44">
        <f>IF($A44="","",IF(INDEX(Matrix!$W$2:$W$351,$A44)=1,", "&amp;Wizards!$B$21,""))</f>
        <v/>
      </c>
      <c r="AC44">
        <f>IF($A44="","",IF(INDEX(Matrix!$X$2:$X$351,$A44)=1,", "&amp;Wizards!$B$22,""))</f>
        <v/>
      </c>
      <c r="AD44">
        <f>IF($A44="","",IF(INDEX(Matrix!$Y$2:$Y$351,$A44)=1,", "&amp;Wizards!$B$23,""))</f>
        <v/>
      </c>
      <c r="AE44">
        <f>IF($A44="","",IF(INDEX(Matrix!$Z$2:$Z$351,$A44)=1,", "&amp;Wizards!$B$24,""))</f>
        <v/>
      </c>
      <c r="AF44">
        <f>IF($A44="","",IF(INDEX(Matrix!$AA$2:$AA$351,$A44)=1,", "&amp;Wizards!$B$25,""))</f>
        <v/>
      </c>
    </row>
    <row r="45">
      <c r="A45">
        <f>IFERROR(SMALL(Calc!$A$2:$A$351,34),"")</f>
        <v/>
      </c>
      <c r="B45">
        <f>IF($A45="","",INDEX(Spells!$B$2:$B$351,$A45))</f>
        <v/>
      </c>
      <c r="C45">
        <f>IF($A45="","",INDEX(Spells!$A$2:$A$351,$A45))</f>
        <v/>
      </c>
      <c r="D45">
        <f>IF($A45="","",$C45*50)</f>
        <v/>
      </c>
      <c r="E45">
        <f>IF($A45="","",INDEX(Matrix!$AZ$2:$AZ$351,$A45))</f>
        <v/>
      </c>
      <c r="F45">
        <f>IF($A45="","",MID($I45&amp;$J45&amp;$K45&amp;$L45&amp;$M45&amp;$N45&amp;$O45&amp;$P45&amp;$Q45&amp;$R45&amp;$S45&amp;$T45&amp;$U45&amp;$V45&amp;$W45&amp;$X45&amp;$Y45&amp;$Z45&amp;$AA45&amp;$AB45&amp;$AC45&amp;$AD45&amp;$AE45&amp;$AF45,3,32767))</f>
        <v/>
      </c>
      <c r="H45">
        <f>IF($A45="","","; "&amp;$B45&amp;" (L"&amp;$C45&amp;", "&amp;$D45&amp;" GP) from "&amp;$E45)</f>
        <v/>
      </c>
      <c r="I45">
        <f>IF($A45="","",IF(INDEX(Matrix!$D$2:$D$351,$A45)=1,", "&amp;Wizards!$B$2,""))</f>
        <v/>
      </c>
      <c r="J45">
        <f>IF($A45="","",IF(INDEX(Matrix!$E$2:$E$351,$A45)=1,", "&amp;Wizards!$B$3,""))</f>
        <v/>
      </c>
      <c r="K45">
        <f>IF($A45="","",IF(INDEX(Matrix!$F$2:$F$351,$A45)=1,", "&amp;Wizards!$B$4,""))</f>
        <v/>
      </c>
      <c r="L45">
        <f>IF($A45="","",IF(INDEX(Matrix!$G$2:$G$351,$A45)=1,", "&amp;Wizards!$B$5,""))</f>
        <v/>
      </c>
      <c r="M45">
        <f>IF($A45="","",IF(INDEX(Matrix!$H$2:$H$351,$A45)=1,", "&amp;Wizards!$B$6,""))</f>
        <v/>
      </c>
      <c r="N45">
        <f>IF($A45="","",IF(INDEX(Matrix!$I$2:$I$351,$A45)=1,", "&amp;Wizards!$B$7,""))</f>
        <v/>
      </c>
      <c r="O45">
        <f>IF($A45="","",IF(INDEX(Matrix!$J$2:$J$351,$A45)=1,", "&amp;Wizards!$B$8,""))</f>
        <v/>
      </c>
      <c r="P45">
        <f>IF($A45="","",IF(INDEX(Matrix!$K$2:$K$351,$A45)=1,", "&amp;Wizards!$B$9,""))</f>
        <v/>
      </c>
      <c r="Q45">
        <f>IF($A45="","",IF(INDEX(Matrix!$L$2:$L$351,$A45)=1,", "&amp;Wizards!$B$10,""))</f>
        <v/>
      </c>
      <c r="R45">
        <f>IF($A45="","",IF(INDEX(Matrix!$M$2:$M$351,$A45)=1,", "&amp;Wizards!$B$11,""))</f>
        <v/>
      </c>
      <c r="S45">
        <f>IF($A45="","",IF(INDEX(Matrix!$N$2:$N$351,$A45)=1,", "&amp;Wizards!$B$12,""))</f>
        <v/>
      </c>
      <c r="T45">
        <f>IF($A45="","",IF(INDEX(Matrix!$O$2:$O$351,$A45)=1,", "&amp;Wizards!$B$13,""))</f>
        <v/>
      </c>
      <c r="U45">
        <f>IF($A45="","",IF(INDEX(Matrix!$P$2:$P$351,$A45)=1,", "&amp;Wizards!$B$14,""))</f>
        <v/>
      </c>
      <c r="V45">
        <f>IF($A45="","",IF(INDEX(Matrix!$Q$2:$Q$351,$A45)=1,", "&amp;Wizards!$B$15,""))</f>
        <v/>
      </c>
      <c r="W45">
        <f>IF($A45="","",IF(INDEX(Matrix!$R$2:$R$351,$A45)=1,", "&amp;Wizards!$B$16,""))</f>
        <v/>
      </c>
      <c r="X45">
        <f>IF($A45="","",IF(INDEX(Matrix!$S$2:$S$351,$A45)=1,", "&amp;Wizards!$B$17,""))</f>
        <v/>
      </c>
      <c r="Y45">
        <f>IF($A45="","",IF(INDEX(Matrix!$T$2:$T$351,$A45)=1,", "&amp;Wizards!$B$18,""))</f>
        <v/>
      </c>
      <c r="Z45">
        <f>IF($A45="","",IF(INDEX(Matrix!$U$2:$U$351,$A45)=1,", "&amp;Wizards!$B$19,""))</f>
        <v/>
      </c>
      <c r="AA45">
        <f>IF($A45="","",IF(INDEX(Matrix!$V$2:$V$351,$A45)=1,", "&amp;Wizards!$B$20,""))</f>
        <v/>
      </c>
      <c r="AB45">
        <f>IF($A45="","",IF(INDEX(Matrix!$W$2:$W$351,$A45)=1,", "&amp;Wizards!$B$21,""))</f>
        <v/>
      </c>
      <c r="AC45">
        <f>IF($A45="","",IF(INDEX(Matrix!$X$2:$X$351,$A45)=1,", "&amp;Wizards!$B$22,""))</f>
        <v/>
      </c>
      <c r="AD45">
        <f>IF($A45="","",IF(INDEX(Matrix!$Y$2:$Y$351,$A45)=1,", "&amp;Wizards!$B$23,""))</f>
        <v/>
      </c>
      <c r="AE45">
        <f>IF($A45="","",IF(INDEX(Matrix!$Z$2:$Z$351,$A45)=1,", "&amp;Wizards!$B$24,""))</f>
        <v/>
      </c>
      <c r="AF45">
        <f>IF($A45="","",IF(INDEX(Matrix!$AA$2:$AA$351,$A45)=1,", "&amp;Wizards!$B$25,""))</f>
        <v/>
      </c>
    </row>
    <row r="46">
      <c r="A46">
        <f>IFERROR(SMALL(Calc!$A$2:$A$351,35),"")</f>
        <v/>
      </c>
      <c r="B46">
        <f>IF($A46="","",INDEX(Spells!$B$2:$B$351,$A46))</f>
        <v/>
      </c>
      <c r="C46">
        <f>IF($A46="","",INDEX(Spells!$A$2:$A$351,$A46))</f>
        <v/>
      </c>
      <c r="D46">
        <f>IF($A46="","",$C46*50)</f>
        <v/>
      </c>
      <c r="E46">
        <f>IF($A46="","",INDEX(Matrix!$AZ$2:$AZ$351,$A46))</f>
        <v/>
      </c>
      <c r="F46">
        <f>IF($A46="","",MID($I46&amp;$J46&amp;$K46&amp;$L46&amp;$M46&amp;$N46&amp;$O46&amp;$P46&amp;$Q46&amp;$R46&amp;$S46&amp;$T46&amp;$U46&amp;$V46&amp;$W46&amp;$X46&amp;$Y46&amp;$Z46&amp;$AA46&amp;$AB46&amp;$AC46&amp;$AD46&amp;$AE46&amp;$AF46,3,32767))</f>
        <v/>
      </c>
      <c r="H46">
        <f>IF($A46="","","; "&amp;$B46&amp;" (L"&amp;$C46&amp;", "&amp;$D46&amp;" GP) from "&amp;$E46)</f>
        <v/>
      </c>
      <c r="I46">
        <f>IF($A46="","",IF(INDEX(Matrix!$D$2:$D$351,$A46)=1,", "&amp;Wizards!$B$2,""))</f>
        <v/>
      </c>
      <c r="J46">
        <f>IF($A46="","",IF(INDEX(Matrix!$E$2:$E$351,$A46)=1,", "&amp;Wizards!$B$3,""))</f>
        <v/>
      </c>
      <c r="K46">
        <f>IF($A46="","",IF(INDEX(Matrix!$F$2:$F$351,$A46)=1,", "&amp;Wizards!$B$4,""))</f>
        <v/>
      </c>
      <c r="L46">
        <f>IF($A46="","",IF(INDEX(Matrix!$G$2:$G$351,$A46)=1,", "&amp;Wizards!$B$5,""))</f>
        <v/>
      </c>
      <c r="M46">
        <f>IF($A46="","",IF(INDEX(Matrix!$H$2:$H$351,$A46)=1,", "&amp;Wizards!$B$6,""))</f>
        <v/>
      </c>
      <c r="N46">
        <f>IF($A46="","",IF(INDEX(Matrix!$I$2:$I$351,$A46)=1,", "&amp;Wizards!$B$7,""))</f>
        <v/>
      </c>
      <c r="O46">
        <f>IF($A46="","",IF(INDEX(Matrix!$J$2:$J$351,$A46)=1,", "&amp;Wizards!$B$8,""))</f>
        <v/>
      </c>
      <c r="P46">
        <f>IF($A46="","",IF(INDEX(Matrix!$K$2:$K$351,$A46)=1,", "&amp;Wizards!$B$9,""))</f>
        <v/>
      </c>
      <c r="Q46">
        <f>IF($A46="","",IF(INDEX(Matrix!$L$2:$L$351,$A46)=1,", "&amp;Wizards!$B$10,""))</f>
        <v/>
      </c>
      <c r="R46">
        <f>IF($A46="","",IF(INDEX(Matrix!$M$2:$M$351,$A46)=1,", "&amp;Wizards!$B$11,""))</f>
        <v/>
      </c>
      <c r="S46">
        <f>IF($A46="","",IF(INDEX(Matrix!$N$2:$N$351,$A46)=1,", "&amp;Wizards!$B$12,""))</f>
        <v/>
      </c>
      <c r="T46">
        <f>IF($A46="","",IF(INDEX(Matrix!$O$2:$O$351,$A46)=1,", "&amp;Wizards!$B$13,""))</f>
        <v/>
      </c>
      <c r="U46">
        <f>IF($A46="","",IF(INDEX(Matrix!$P$2:$P$351,$A46)=1,", "&amp;Wizards!$B$14,""))</f>
        <v/>
      </c>
      <c r="V46">
        <f>IF($A46="","",IF(INDEX(Matrix!$Q$2:$Q$351,$A46)=1,", "&amp;Wizards!$B$15,""))</f>
        <v/>
      </c>
      <c r="W46">
        <f>IF($A46="","",IF(INDEX(Matrix!$R$2:$R$351,$A46)=1,", "&amp;Wizards!$B$16,""))</f>
        <v/>
      </c>
      <c r="X46">
        <f>IF($A46="","",IF(INDEX(Matrix!$S$2:$S$351,$A46)=1,", "&amp;Wizards!$B$17,""))</f>
        <v/>
      </c>
      <c r="Y46">
        <f>IF($A46="","",IF(INDEX(Matrix!$T$2:$T$351,$A46)=1,", "&amp;Wizards!$B$18,""))</f>
        <v/>
      </c>
      <c r="Z46">
        <f>IF($A46="","",IF(INDEX(Matrix!$U$2:$U$351,$A46)=1,", "&amp;Wizards!$B$19,""))</f>
        <v/>
      </c>
      <c r="AA46">
        <f>IF($A46="","",IF(INDEX(Matrix!$V$2:$V$351,$A46)=1,", "&amp;Wizards!$B$20,""))</f>
        <v/>
      </c>
      <c r="AB46">
        <f>IF($A46="","",IF(INDEX(Matrix!$W$2:$W$351,$A46)=1,", "&amp;Wizards!$B$21,""))</f>
        <v/>
      </c>
      <c r="AC46">
        <f>IF($A46="","",IF(INDEX(Matrix!$X$2:$X$351,$A46)=1,", "&amp;Wizards!$B$22,""))</f>
        <v/>
      </c>
      <c r="AD46">
        <f>IF($A46="","",IF(INDEX(Matrix!$Y$2:$Y$351,$A46)=1,", "&amp;Wizards!$B$23,""))</f>
        <v/>
      </c>
      <c r="AE46">
        <f>IF($A46="","",IF(INDEX(Matrix!$Z$2:$Z$351,$A46)=1,", "&amp;Wizards!$B$24,""))</f>
        <v/>
      </c>
      <c r="AF46">
        <f>IF($A46="","",IF(INDEX(Matrix!$AA$2:$AA$351,$A46)=1,", "&amp;Wizards!$B$25,""))</f>
        <v/>
      </c>
    </row>
    <row r="47">
      <c r="A47">
        <f>IFERROR(SMALL(Calc!$A$2:$A$351,36),"")</f>
        <v/>
      </c>
      <c r="B47">
        <f>IF($A47="","",INDEX(Spells!$B$2:$B$351,$A47))</f>
        <v/>
      </c>
      <c r="C47">
        <f>IF($A47="","",INDEX(Spells!$A$2:$A$351,$A47))</f>
        <v/>
      </c>
      <c r="D47">
        <f>IF($A47="","",$C47*50)</f>
        <v/>
      </c>
      <c r="E47">
        <f>IF($A47="","",INDEX(Matrix!$AZ$2:$AZ$351,$A47))</f>
        <v/>
      </c>
      <c r="F47">
        <f>IF($A47="","",MID($I47&amp;$J47&amp;$K47&amp;$L47&amp;$M47&amp;$N47&amp;$O47&amp;$P47&amp;$Q47&amp;$R47&amp;$S47&amp;$T47&amp;$U47&amp;$V47&amp;$W47&amp;$X47&amp;$Y47&amp;$Z47&amp;$AA47&amp;$AB47&amp;$AC47&amp;$AD47&amp;$AE47&amp;$AF47,3,32767))</f>
        <v/>
      </c>
      <c r="H47">
        <f>IF($A47="","","; "&amp;$B47&amp;" (L"&amp;$C47&amp;", "&amp;$D47&amp;" GP) from "&amp;$E47)</f>
        <v/>
      </c>
      <c r="I47">
        <f>IF($A47="","",IF(INDEX(Matrix!$D$2:$D$351,$A47)=1,", "&amp;Wizards!$B$2,""))</f>
        <v/>
      </c>
      <c r="J47">
        <f>IF($A47="","",IF(INDEX(Matrix!$E$2:$E$351,$A47)=1,", "&amp;Wizards!$B$3,""))</f>
        <v/>
      </c>
      <c r="K47">
        <f>IF($A47="","",IF(INDEX(Matrix!$F$2:$F$351,$A47)=1,", "&amp;Wizards!$B$4,""))</f>
        <v/>
      </c>
      <c r="L47">
        <f>IF($A47="","",IF(INDEX(Matrix!$G$2:$G$351,$A47)=1,", "&amp;Wizards!$B$5,""))</f>
        <v/>
      </c>
      <c r="M47">
        <f>IF($A47="","",IF(INDEX(Matrix!$H$2:$H$351,$A47)=1,", "&amp;Wizards!$B$6,""))</f>
        <v/>
      </c>
      <c r="N47">
        <f>IF($A47="","",IF(INDEX(Matrix!$I$2:$I$351,$A47)=1,", "&amp;Wizards!$B$7,""))</f>
        <v/>
      </c>
      <c r="O47">
        <f>IF($A47="","",IF(INDEX(Matrix!$J$2:$J$351,$A47)=1,", "&amp;Wizards!$B$8,""))</f>
        <v/>
      </c>
      <c r="P47">
        <f>IF($A47="","",IF(INDEX(Matrix!$K$2:$K$351,$A47)=1,", "&amp;Wizards!$B$9,""))</f>
        <v/>
      </c>
      <c r="Q47">
        <f>IF($A47="","",IF(INDEX(Matrix!$L$2:$L$351,$A47)=1,", "&amp;Wizards!$B$10,""))</f>
        <v/>
      </c>
      <c r="R47">
        <f>IF($A47="","",IF(INDEX(Matrix!$M$2:$M$351,$A47)=1,", "&amp;Wizards!$B$11,""))</f>
        <v/>
      </c>
      <c r="S47">
        <f>IF($A47="","",IF(INDEX(Matrix!$N$2:$N$351,$A47)=1,", "&amp;Wizards!$B$12,""))</f>
        <v/>
      </c>
      <c r="T47">
        <f>IF($A47="","",IF(INDEX(Matrix!$O$2:$O$351,$A47)=1,", "&amp;Wizards!$B$13,""))</f>
        <v/>
      </c>
      <c r="U47">
        <f>IF($A47="","",IF(INDEX(Matrix!$P$2:$P$351,$A47)=1,", "&amp;Wizards!$B$14,""))</f>
        <v/>
      </c>
      <c r="V47">
        <f>IF($A47="","",IF(INDEX(Matrix!$Q$2:$Q$351,$A47)=1,", "&amp;Wizards!$B$15,""))</f>
        <v/>
      </c>
      <c r="W47">
        <f>IF($A47="","",IF(INDEX(Matrix!$R$2:$R$351,$A47)=1,", "&amp;Wizards!$B$16,""))</f>
        <v/>
      </c>
      <c r="X47">
        <f>IF($A47="","",IF(INDEX(Matrix!$S$2:$S$351,$A47)=1,", "&amp;Wizards!$B$17,""))</f>
        <v/>
      </c>
      <c r="Y47">
        <f>IF($A47="","",IF(INDEX(Matrix!$T$2:$T$351,$A47)=1,", "&amp;Wizards!$B$18,""))</f>
        <v/>
      </c>
      <c r="Z47">
        <f>IF($A47="","",IF(INDEX(Matrix!$U$2:$U$351,$A47)=1,", "&amp;Wizards!$B$19,""))</f>
        <v/>
      </c>
      <c r="AA47">
        <f>IF($A47="","",IF(INDEX(Matrix!$V$2:$V$351,$A47)=1,", "&amp;Wizards!$B$20,""))</f>
        <v/>
      </c>
      <c r="AB47">
        <f>IF($A47="","",IF(INDEX(Matrix!$W$2:$W$351,$A47)=1,", "&amp;Wizards!$B$21,""))</f>
        <v/>
      </c>
      <c r="AC47">
        <f>IF($A47="","",IF(INDEX(Matrix!$X$2:$X$351,$A47)=1,", "&amp;Wizards!$B$22,""))</f>
        <v/>
      </c>
      <c r="AD47">
        <f>IF($A47="","",IF(INDEX(Matrix!$Y$2:$Y$351,$A47)=1,", "&amp;Wizards!$B$23,""))</f>
        <v/>
      </c>
      <c r="AE47">
        <f>IF($A47="","",IF(INDEX(Matrix!$Z$2:$Z$351,$A47)=1,", "&amp;Wizards!$B$24,""))</f>
        <v/>
      </c>
      <c r="AF47">
        <f>IF($A47="","",IF(INDEX(Matrix!$AA$2:$AA$351,$A47)=1,", "&amp;Wizards!$B$25,""))</f>
        <v/>
      </c>
    </row>
    <row r="48">
      <c r="A48">
        <f>IFERROR(SMALL(Calc!$A$2:$A$351,37),"")</f>
        <v/>
      </c>
      <c r="B48">
        <f>IF($A48="","",INDEX(Spells!$B$2:$B$351,$A48))</f>
        <v/>
      </c>
      <c r="C48">
        <f>IF($A48="","",INDEX(Spells!$A$2:$A$351,$A48))</f>
        <v/>
      </c>
      <c r="D48">
        <f>IF($A48="","",$C48*50)</f>
        <v/>
      </c>
      <c r="E48">
        <f>IF($A48="","",INDEX(Matrix!$AZ$2:$AZ$351,$A48))</f>
        <v/>
      </c>
      <c r="F48">
        <f>IF($A48="","",MID($I48&amp;$J48&amp;$K48&amp;$L48&amp;$M48&amp;$N48&amp;$O48&amp;$P48&amp;$Q48&amp;$R48&amp;$S48&amp;$T48&amp;$U48&amp;$V48&amp;$W48&amp;$X48&amp;$Y48&amp;$Z48&amp;$AA48&amp;$AB48&amp;$AC48&amp;$AD48&amp;$AE48&amp;$AF48,3,32767))</f>
        <v/>
      </c>
      <c r="H48">
        <f>IF($A48="","","; "&amp;$B48&amp;" (L"&amp;$C48&amp;", "&amp;$D48&amp;" GP) from "&amp;$E48)</f>
        <v/>
      </c>
      <c r="I48">
        <f>IF($A48="","",IF(INDEX(Matrix!$D$2:$D$351,$A48)=1,", "&amp;Wizards!$B$2,""))</f>
        <v/>
      </c>
      <c r="J48">
        <f>IF($A48="","",IF(INDEX(Matrix!$E$2:$E$351,$A48)=1,", "&amp;Wizards!$B$3,""))</f>
        <v/>
      </c>
      <c r="K48">
        <f>IF($A48="","",IF(INDEX(Matrix!$F$2:$F$351,$A48)=1,", "&amp;Wizards!$B$4,""))</f>
        <v/>
      </c>
      <c r="L48">
        <f>IF($A48="","",IF(INDEX(Matrix!$G$2:$G$351,$A48)=1,", "&amp;Wizards!$B$5,""))</f>
        <v/>
      </c>
      <c r="M48">
        <f>IF($A48="","",IF(INDEX(Matrix!$H$2:$H$351,$A48)=1,", "&amp;Wizards!$B$6,""))</f>
        <v/>
      </c>
      <c r="N48">
        <f>IF($A48="","",IF(INDEX(Matrix!$I$2:$I$351,$A48)=1,", "&amp;Wizards!$B$7,""))</f>
        <v/>
      </c>
      <c r="O48">
        <f>IF($A48="","",IF(INDEX(Matrix!$J$2:$J$351,$A48)=1,", "&amp;Wizards!$B$8,""))</f>
        <v/>
      </c>
      <c r="P48">
        <f>IF($A48="","",IF(INDEX(Matrix!$K$2:$K$351,$A48)=1,", "&amp;Wizards!$B$9,""))</f>
        <v/>
      </c>
      <c r="Q48">
        <f>IF($A48="","",IF(INDEX(Matrix!$L$2:$L$351,$A48)=1,", "&amp;Wizards!$B$10,""))</f>
        <v/>
      </c>
      <c r="R48">
        <f>IF($A48="","",IF(INDEX(Matrix!$M$2:$M$351,$A48)=1,", "&amp;Wizards!$B$11,""))</f>
        <v/>
      </c>
      <c r="S48">
        <f>IF($A48="","",IF(INDEX(Matrix!$N$2:$N$351,$A48)=1,", "&amp;Wizards!$B$12,""))</f>
        <v/>
      </c>
      <c r="T48">
        <f>IF($A48="","",IF(INDEX(Matrix!$O$2:$O$351,$A48)=1,", "&amp;Wizards!$B$13,""))</f>
        <v/>
      </c>
      <c r="U48">
        <f>IF($A48="","",IF(INDEX(Matrix!$P$2:$P$351,$A48)=1,", "&amp;Wizards!$B$14,""))</f>
        <v/>
      </c>
      <c r="V48">
        <f>IF($A48="","",IF(INDEX(Matrix!$Q$2:$Q$351,$A48)=1,", "&amp;Wizards!$B$15,""))</f>
        <v/>
      </c>
      <c r="W48">
        <f>IF($A48="","",IF(INDEX(Matrix!$R$2:$R$351,$A48)=1,", "&amp;Wizards!$B$16,""))</f>
        <v/>
      </c>
      <c r="X48">
        <f>IF($A48="","",IF(INDEX(Matrix!$S$2:$S$351,$A48)=1,", "&amp;Wizards!$B$17,""))</f>
        <v/>
      </c>
      <c r="Y48">
        <f>IF($A48="","",IF(INDEX(Matrix!$T$2:$T$351,$A48)=1,", "&amp;Wizards!$B$18,""))</f>
        <v/>
      </c>
      <c r="Z48">
        <f>IF($A48="","",IF(INDEX(Matrix!$U$2:$U$351,$A48)=1,", "&amp;Wizards!$B$19,""))</f>
        <v/>
      </c>
      <c r="AA48">
        <f>IF($A48="","",IF(INDEX(Matrix!$V$2:$V$351,$A48)=1,", "&amp;Wizards!$B$20,""))</f>
        <v/>
      </c>
      <c r="AB48">
        <f>IF($A48="","",IF(INDEX(Matrix!$W$2:$W$351,$A48)=1,", "&amp;Wizards!$B$21,""))</f>
        <v/>
      </c>
      <c r="AC48">
        <f>IF($A48="","",IF(INDEX(Matrix!$X$2:$X$351,$A48)=1,", "&amp;Wizards!$B$22,""))</f>
        <v/>
      </c>
      <c r="AD48">
        <f>IF($A48="","",IF(INDEX(Matrix!$Y$2:$Y$351,$A48)=1,", "&amp;Wizards!$B$23,""))</f>
        <v/>
      </c>
      <c r="AE48">
        <f>IF($A48="","",IF(INDEX(Matrix!$Z$2:$Z$351,$A48)=1,", "&amp;Wizards!$B$24,""))</f>
        <v/>
      </c>
      <c r="AF48">
        <f>IF($A48="","",IF(INDEX(Matrix!$AA$2:$AA$351,$A48)=1,", "&amp;Wizards!$B$25,""))</f>
        <v/>
      </c>
    </row>
    <row r="49">
      <c r="A49">
        <f>IFERROR(SMALL(Calc!$A$2:$A$351,38),"")</f>
        <v/>
      </c>
      <c r="B49">
        <f>IF($A49="","",INDEX(Spells!$B$2:$B$351,$A49))</f>
        <v/>
      </c>
      <c r="C49">
        <f>IF($A49="","",INDEX(Spells!$A$2:$A$351,$A49))</f>
        <v/>
      </c>
      <c r="D49">
        <f>IF($A49="","",$C49*50)</f>
        <v/>
      </c>
      <c r="E49">
        <f>IF($A49="","",INDEX(Matrix!$AZ$2:$AZ$351,$A49))</f>
        <v/>
      </c>
      <c r="F49">
        <f>IF($A49="","",MID($I49&amp;$J49&amp;$K49&amp;$L49&amp;$M49&amp;$N49&amp;$O49&amp;$P49&amp;$Q49&amp;$R49&amp;$S49&amp;$T49&amp;$U49&amp;$V49&amp;$W49&amp;$X49&amp;$Y49&amp;$Z49&amp;$AA49&amp;$AB49&amp;$AC49&amp;$AD49&amp;$AE49&amp;$AF49,3,32767))</f>
        <v/>
      </c>
      <c r="H49">
        <f>IF($A49="","","; "&amp;$B49&amp;" (L"&amp;$C49&amp;", "&amp;$D49&amp;" GP) from "&amp;$E49)</f>
        <v/>
      </c>
      <c r="I49">
        <f>IF($A49="","",IF(INDEX(Matrix!$D$2:$D$351,$A49)=1,", "&amp;Wizards!$B$2,""))</f>
        <v/>
      </c>
      <c r="J49">
        <f>IF($A49="","",IF(INDEX(Matrix!$E$2:$E$351,$A49)=1,", "&amp;Wizards!$B$3,""))</f>
        <v/>
      </c>
      <c r="K49">
        <f>IF($A49="","",IF(INDEX(Matrix!$F$2:$F$351,$A49)=1,", "&amp;Wizards!$B$4,""))</f>
        <v/>
      </c>
      <c r="L49">
        <f>IF($A49="","",IF(INDEX(Matrix!$G$2:$G$351,$A49)=1,", "&amp;Wizards!$B$5,""))</f>
        <v/>
      </c>
      <c r="M49">
        <f>IF($A49="","",IF(INDEX(Matrix!$H$2:$H$351,$A49)=1,", "&amp;Wizards!$B$6,""))</f>
        <v/>
      </c>
      <c r="N49">
        <f>IF($A49="","",IF(INDEX(Matrix!$I$2:$I$351,$A49)=1,", "&amp;Wizards!$B$7,""))</f>
        <v/>
      </c>
      <c r="O49">
        <f>IF($A49="","",IF(INDEX(Matrix!$J$2:$J$351,$A49)=1,", "&amp;Wizards!$B$8,""))</f>
        <v/>
      </c>
      <c r="P49">
        <f>IF($A49="","",IF(INDEX(Matrix!$K$2:$K$351,$A49)=1,", "&amp;Wizards!$B$9,""))</f>
        <v/>
      </c>
      <c r="Q49">
        <f>IF($A49="","",IF(INDEX(Matrix!$L$2:$L$351,$A49)=1,", "&amp;Wizards!$B$10,""))</f>
        <v/>
      </c>
      <c r="R49">
        <f>IF($A49="","",IF(INDEX(Matrix!$M$2:$M$351,$A49)=1,", "&amp;Wizards!$B$11,""))</f>
        <v/>
      </c>
      <c r="S49">
        <f>IF($A49="","",IF(INDEX(Matrix!$N$2:$N$351,$A49)=1,", "&amp;Wizards!$B$12,""))</f>
        <v/>
      </c>
      <c r="T49">
        <f>IF($A49="","",IF(INDEX(Matrix!$O$2:$O$351,$A49)=1,", "&amp;Wizards!$B$13,""))</f>
        <v/>
      </c>
      <c r="U49">
        <f>IF($A49="","",IF(INDEX(Matrix!$P$2:$P$351,$A49)=1,", "&amp;Wizards!$B$14,""))</f>
        <v/>
      </c>
      <c r="V49">
        <f>IF($A49="","",IF(INDEX(Matrix!$Q$2:$Q$351,$A49)=1,", "&amp;Wizards!$B$15,""))</f>
        <v/>
      </c>
      <c r="W49">
        <f>IF($A49="","",IF(INDEX(Matrix!$R$2:$R$351,$A49)=1,", "&amp;Wizards!$B$16,""))</f>
        <v/>
      </c>
      <c r="X49">
        <f>IF($A49="","",IF(INDEX(Matrix!$S$2:$S$351,$A49)=1,", "&amp;Wizards!$B$17,""))</f>
        <v/>
      </c>
      <c r="Y49">
        <f>IF($A49="","",IF(INDEX(Matrix!$T$2:$T$351,$A49)=1,", "&amp;Wizards!$B$18,""))</f>
        <v/>
      </c>
      <c r="Z49">
        <f>IF($A49="","",IF(INDEX(Matrix!$U$2:$U$351,$A49)=1,", "&amp;Wizards!$B$19,""))</f>
        <v/>
      </c>
      <c r="AA49">
        <f>IF($A49="","",IF(INDEX(Matrix!$V$2:$V$351,$A49)=1,", "&amp;Wizards!$B$20,""))</f>
        <v/>
      </c>
      <c r="AB49">
        <f>IF($A49="","",IF(INDEX(Matrix!$W$2:$W$351,$A49)=1,", "&amp;Wizards!$B$21,""))</f>
        <v/>
      </c>
      <c r="AC49">
        <f>IF($A49="","",IF(INDEX(Matrix!$X$2:$X$351,$A49)=1,", "&amp;Wizards!$B$22,""))</f>
        <v/>
      </c>
      <c r="AD49">
        <f>IF($A49="","",IF(INDEX(Matrix!$Y$2:$Y$351,$A49)=1,", "&amp;Wizards!$B$23,""))</f>
        <v/>
      </c>
      <c r="AE49">
        <f>IF($A49="","",IF(INDEX(Matrix!$Z$2:$Z$351,$A49)=1,", "&amp;Wizards!$B$24,""))</f>
        <v/>
      </c>
      <c r="AF49">
        <f>IF($A49="","",IF(INDEX(Matrix!$AA$2:$AA$351,$A49)=1,", "&amp;Wizards!$B$25,""))</f>
        <v/>
      </c>
    </row>
    <row r="50">
      <c r="A50">
        <f>IFERROR(SMALL(Calc!$A$2:$A$351,39),"")</f>
        <v/>
      </c>
      <c r="B50">
        <f>IF($A50="","",INDEX(Spells!$B$2:$B$351,$A50))</f>
        <v/>
      </c>
      <c r="C50">
        <f>IF($A50="","",INDEX(Spells!$A$2:$A$351,$A50))</f>
        <v/>
      </c>
      <c r="D50">
        <f>IF($A50="","",$C50*50)</f>
        <v/>
      </c>
      <c r="E50">
        <f>IF($A50="","",INDEX(Matrix!$AZ$2:$AZ$351,$A50))</f>
        <v/>
      </c>
      <c r="F50">
        <f>IF($A50="","",MID($I50&amp;$J50&amp;$K50&amp;$L50&amp;$M50&amp;$N50&amp;$O50&amp;$P50&amp;$Q50&amp;$R50&amp;$S50&amp;$T50&amp;$U50&amp;$V50&amp;$W50&amp;$X50&amp;$Y50&amp;$Z50&amp;$AA50&amp;$AB50&amp;$AC50&amp;$AD50&amp;$AE50&amp;$AF50,3,32767))</f>
        <v/>
      </c>
      <c r="H50">
        <f>IF($A50="","","; "&amp;$B50&amp;" (L"&amp;$C50&amp;", "&amp;$D50&amp;" GP) from "&amp;$E50)</f>
        <v/>
      </c>
      <c r="I50">
        <f>IF($A50="","",IF(INDEX(Matrix!$D$2:$D$351,$A50)=1,", "&amp;Wizards!$B$2,""))</f>
        <v/>
      </c>
      <c r="J50">
        <f>IF($A50="","",IF(INDEX(Matrix!$E$2:$E$351,$A50)=1,", "&amp;Wizards!$B$3,""))</f>
        <v/>
      </c>
      <c r="K50">
        <f>IF($A50="","",IF(INDEX(Matrix!$F$2:$F$351,$A50)=1,", "&amp;Wizards!$B$4,""))</f>
        <v/>
      </c>
      <c r="L50">
        <f>IF($A50="","",IF(INDEX(Matrix!$G$2:$G$351,$A50)=1,", "&amp;Wizards!$B$5,""))</f>
        <v/>
      </c>
      <c r="M50">
        <f>IF($A50="","",IF(INDEX(Matrix!$H$2:$H$351,$A50)=1,", "&amp;Wizards!$B$6,""))</f>
        <v/>
      </c>
      <c r="N50">
        <f>IF($A50="","",IF(INDEX(Matrix!$I$2:$I$351,$A50)=1,", "&amp;Wizards!$B$7,""))</f>
        <v/>
      </c>
      <c r="O50">
        <f>IF($A50="","",IF(INDEX(Matrix!$J$2:$J$351,$A50)=1,", "&amp;Wizards!$B$8,""))</f>
        <v/>
      </c>
      <c r="P50">
        <f>IF($A50="","",IF(INDEX(Matrix!$K$2:$K$351,$A50)=1,", "&amp;Wizards!$B$9,""))</f>
        <v/>
      </c>
      <c r="Q50">
        <f>IF($A50="","",IF(INDEX(Matrix!$L$2:$L$351,$A50)=1,", "&amp;Wizards!$B$10,""))</f>
        <v/>
      </c>
      <c r="R50">
        <f>IF($A50="","",IF(INDEX(Matrix!$M$2:$M$351,$A50)=1,", "&amp;Wizards!$B$11,""))</f>
        <v/>
      </c>
      <c r="S50">
        <f>IF($A50="","",IF(INDEX(Matrix!$N$2:$N$351,$A50)=1,", "&amp;Wizards!$B$12,""))</f>
        <v/>
      </c>
      <c r="T50">
        <f>IF($A50="","",IF(INDEX(Matrix!$O$2:$O$351,$A50)=1,", "&amp;Wizards!$B$13,""))</f>
        <v/>
      </c>
      <c r="U50">
        <f>IF($A50="","",IF(INDEX(Matrix!$P$2:$P$351,$A50)=1,", "&amp;Wizards!$B$14,""))</f>
        <v/>
      </c>
      <c r="V50">
        <f>IF($A50="","",IF(INDEX(Matrix!$Q$2:$Q$351,$A50)=1,", "&amp;Wizards!$B$15,""))</f>
        <v/>
      </c>
      <c r="W50">
        <f>IF($A50="","",IF(INDEX(Matrix!$R$2:$R$351,$A50)=1,", "&amp;Wizards!$B$16,""))</f>
        <v/>
      </c>
      <c r="X50">
        <f>IF($A50="","",IF(INDEX(Matrix!$S$2:$S$351,$A50)=1,", "&amp;Wizards!$B$17,""))</f>
        <v/>
      </c>
      <c r="Y50">
        <f>IF($A50="","",IF(INDEX(Matrix!$T$2:$T$351,$A50)=1,", "&amp;Wizards!$B$18,""))</f>
        <v/>
      </c>
      <c r="Z50">
        <f>IF($A50="","",IF(INDEX(Matrix!$U$2:$U$351,$A50)=1,", "&amp;Wizards!$B$19,""))</f>
        <v/>
      </c>
      <c r="AA50">
        <f>IF($A50="","",IF(INDEX(Matrix!$V$2:$V$351,$A50)=1,", "&amp;Wizards!$B$20,""))</f>
        <v/>
      </c>
      <c r="AB50">
        <f>IF($A50="","",IF(INDEX(Matrix!$W$2:$W$351,$A50)=1,", "&amp;Wizards!$B$21,""))</f>
        <v/>
      </c>
      <c r="AC50">
        <f>IF($A50="","",IF(INDEX(Matrix!$X$2:$X$351,$A50)=1,", "&amp;Wizards!$B$22,""))</f>
        <v/>
      </c>
      <c r="AD50">
        <f>IF($A50="","",IF(INDEX(Matrix!$Y$2:$Y$351,$A50)=1,", "&amp;Wizards!$B$23,""))</f>
        <v/>
      </c>
      <c r="AE50">
        <f>IF($A50="","",IF(INDEX(Matrix!$Z$2:$Z$351,$A50)=1,", "&amp;Wizards!$B$24,""))</f>
        <v/>
      </c>
      <c r="AF50">
        <f>IF($A50="","",IF(INDEX(Matrix!$AA$2:$AA$351,$A50)=1,", "&amp;Wizards!$B$25,""))</f>
        <v/>
      </c>
    </row>
    <row r="51">
      <c r="A51">
        <f>IFERROR(SMALL(Calc!$A$2:$A$351,40),"")</f>
        <v/>
      </c>
      <c r="B51">
        <f>IF($A51="","",INDEX(Spells!$B$2:$B$351,$A51))</f>
        <v/>
      </c>
      <c r="C51">
        <f>IF($A51="","",INDEX(Spells!$A$2:$A$351,$A51))</f>
        <v/>
      </c>
      <c r="D51">
        <f>IF($A51="","",$C51*50)</f>
        <v/>
      </c>
      <c r="E51">
        <f>IF($A51="","",INDEX(Matrix!$AZ$2:$AZ$351,$A51))</f>
        <v/>
      </c>
      <c r="F51">
        <f>IF($A51="","",MID($I51&amp;$J51&amp;$K51&amp;$L51&amp;$M51&amp;$N51&amp;$O51&amp;$P51&amp;$Q51&amp;$R51&amp;$S51&amp;$T51&amp;$U51&amp;$V51&amp;$W51&amp;$X51&amp;$Y51&amp;$Z51&amp;$AA51&amp;$AB51&amp;$AC51&amp;$AD51&amp;$AE51&amp;$AF51,3,32767))</f>
        <v/>
      </c>
      <c r="H51">
        <f>IF($A51="","","; "&amp;$B51&amp;" (L"&amp;$C51&amp;", "&amp;$D51&amp;" GP) from "&amp;$E51)</f>
        <v/>
      </c>
      <c r="I51">
        <f>IF($A51="","",IF(INDEX(Matrix!$D$2:$D$351,$A51)=1,", "&amp;Wizards!$B$2,""))</f>
        <v/>
      </c>
      <c r="J51">
        <f>IF($A51="","",IF(INDEX(Matrix!$E$2:$E$351,$A51)=1,", "&amp;Wizards!$B$3,""))</f>
        <v/>
      </c>
      <c r="K51">
        <f>IF($A51="","",IF(INDEX(Matrix!$F$2:$F$351,$A51)=1,", "&amp;Wizards!$B$4,""))</f>
        <v/>
      </c>
      <c r="L51">
        <f>IF($A51="","",IF(INDEX(Matrix!$G$2:$G$351,$A51)=1,", "&amp;Wizards!$B$5,""))</f>
        <v/>
      </c>
      <c r="M51">
        <f>IF($A51="","",IF(INDEX(Matrix!$H$2:$H$351,$A51)=1,", "&amp;Wizards!$B$6,""))</f>
        <v/>
      </c>
      <c r="N51">
        <f>IF($A51="","",IF(INDEX(Matrix!$I$2:$I$351,$A51)=1,", "&amp;Wizards!$B$7,""))</f>
        <v/>
      </c>
      <c r="O51">
        <f>IF($A51="","",IF(INDEX(Matrix!$J$2:$J$351,$A51)=1,", "&amp;Wizards!$B$8,""))</f>
        <v/>
      </c>
      <c r="P51">
        <f>IF($A51="","",IF(INDEX(Matrix!$K$2:$K$351,$A51)=1,", "&amp;Wizards!$B$9,""))</f>
        <v/>
      </c>
      <c r="Q51">
        <f>IF($A51="","",IF(INDEX(Matrix!$L$2:$L$351,$A51)=1,", "&amp;Wizards!$B$10,""))</f>
        <v/>
      </c>
      <c r="R51">
        <f>IF($A51="","",IF(INDEX(Matrix!$M$2:$M$351,$A51)=1,", "&amp;Wizards!$B$11,""))</f>
        <v/>
      </c>
      <c r="S51">
        <f>IF($A51="","",IF(INDEX(Matrix!$N$2:$N$351,$A51)=1,", "&amp;Wizards!$B$12,""))</f>
        <v/>
      </c>
      <c r="T51">
        <f>IF($A51="","",IF(INDEX(Matrix!$O$2:$O$351,$A51)=1,", "&amp;Wizards!$B$13,""))</f>
        <v/>
      </c>
      <c r="U51">
        <f>IF($A51="","",IF(INDEX(Matrix!$P$2:$P$351,$A51)=1,", "&amp;Wizards!$B$14,""))</f>
        <v/>
      </c>
      <c r="V51">
        <f>IF($A51="","",IF(INDEX(Matrix!$Q$2:$Q$351,$A51)=1,", "&amp;Wizards!$B$15,""))</f>
        <v/>
      </c>
      <c r="W51">
        <f>IF($A51="","",IF(INDEX(Matrix!$R$2:$R$351,$A51)=1,", "&amp;Wizards!$B$16,""))</f>
        <v/>
      </c>
      <c r="X51">
        <f>IF($A51="","",IF(INDEX(Matrix!$S$2:$S$351,$A51)=1,", "&amp;Wizards!$B$17,""))</f>
        <v/>
      </c>
      <c r="Y51">
        <f>IF($A51="","",IF(INDEX(Matrix!$T$2:$T$351,$A51)=1,", "&amp;Wizards!$B$18,""))</f>
        <v/>
      </c>
      <c r="Z51">
        <f>IF($A51="","",IF(INDEX(Matrix!$U$2:$U$351,$A51)=1,", "&amp;Wizards!$B$19,""))</f>
        <v/>
      </c>
      <c r="AA51">
        <f>IF($A51="","",IF(INDEX(Matrix!$V$2:$V$351,$A51)=1,", "&amp;Wizards!$B$20,""))</f>
        <v/>
      </c>
      <c r="AB51">
        <f>IF($A51="","",IF(INDEX(Matrix!$W$2:$W$351,$A51)=1,", "&amp;Wizards!$B$21,""))</f>
        <v/>
      </c>
      <c r="AC51">
        <f>IF($A51="","",IF(INDEX(Matrix!$X$2:$X$351,$A51)=1,", "&amp;Wizards!$B$22,""))</f>
        <v/>
      </c>
      <c r="AD51">
        <f>IF($A51="","",IF(INDEX(Matrix!$Y$2:$Y$351,$A51)=1,", "&amp;Wizards!$B$23,""))</f>
        <v/>
      </c>
      <c r="AE51">
        <f>IF($A51="","",IF(INDEX(Matrix!$Z$2:$Z$351,$A51)=1,", "&amp;Wizards!$B$24,""))</f>
        <v/>
      </c>
      <c r="AF51">
        <f>IF($A51="","",IF(INDEX(Matrix!$AA$2:$AA$351,$A51)=1,", "&amp;Wizards!$B$25,""))</f>
        <v/>
      </c>
    </row>
    <row r="53">
      <c r="A53" s="6">
        <f>IF('Copy Planner'!$L$5&gt;40,"More than 40 spells ticked - the list above is truncated.","")</f>
        <v/>
      </c>
    </row>
    <row r="55">
      <c r="A55" s="6" t="inlineStr">
        <is>
          <t>AL rule: you may copy from a character's spellbook immediately after a session in which you both played - settle it at the event.</t>
        </is>
      </c>
    </row>
  </sheetData>
  <mergeCells count="2">
    <mergeCell ref="A8:F8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2026-10-04T16:11:54Z</dcterms:created>
  <dcterms:modified xmlns:dcterms="http://purl.org/dc/terms/" xmlns:xsi="http://www.w3.org/2001/XMLSchema-instance" xsi:type="dcterms:W3CDTF">2026-10-04T16:11:54Z</dcterms:modified>
</cp:coreProperties>
</file>